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ntries by Continent" sheetId="1" r:id="rId5"/>
    <sheet state="visible" name="Scoring Guide" sheetId="2" r:id="rId6"/>
    <sheet state="visible" name="Summary" sheetId="3" r:id="rId7"/>
  </sheets>
  <definedNames>
    <definedName hidden="1" localSheetId="0" name="_xlnm._FilterDatabase">'Countries by Continent'!$A$1:$AE$196</definedName>
  </definedNames>
  <calcPr/>
</workbook>
</file>

<file path=xl/sharedStrings.xml><?xml version="1.0" encoding="utf-8"?>
<sst xmlns="http://schemas.openxmlformats.org/spreadsheetml/2006/main" count="2463" uniqueCount="490">
  <si>
    <t>Export Targeting - Scoring Model</t>
  </si>
  <si>
    <t>S. No.</t>
  </si>
  <si>
    <t>Weights (must total 100%) - edit the yellow cells to re-weight the model</t>
  </si>
  <si>
    <t>Countries by Continent - Summary</t>
  </si>
  <si>
    <t>Country</t>
  </si>
  <si>
    <t>Continent</t>
  </si>
  <si>
    <t>Criterion</t>
  </si>
  <si>
    <t>Sub-Region</t>
  </si>
  <si>
    <t>Population (2025 est.)</t>
  </si>
  <si>
    <t>Population Band</t>
  </si>
  <si>
    <t>Weight</t>
  </si>
  <si>
    <t>GDP Nominal, USD (2024)</t>
  </si>
  <si>
    <t>Market Size</t>
  </si>
  <si>
    <t>GDP per Capita, USD</t>
  </si>
  <si>
    <t>Countries</t>
  </si>
  <si>
    <t>Income Tier</t>
  </si>
  <si>
    <t>% of Total</t>
  </si>
  <si>
    <t>African Diaspora (Yes/No)</t>
  </si>
  <si>
    <t>Est. African-Descent Population</t>
  </si>
  <si>
    <t>Diaspora Profile</t>
  </si>
  <si>
    <t>Diaspora Priority</t>
  </si>
  <si>
    <t>% of World Pop.</t>
  </si>
  <si>
    <t>Landlocked</t>
  </si>
  <si>
    <t>ECOWAS Status</t>
  </si>
  <si>
    <t>Access Ease</t>
  </si>
  <si>
    <t>GDP Nominal USD (2024)</t>
  </si>
  <si>
    <t>AfCFTA</t>
  </si>
  <si>
    <t>Trade Bloc / Market Access</t>
  </si>
  <si>
    <t>Diaspora Fit</t>
  </si>
  <si>
    <t>Business Language</t>
  </si>
  <si>
    <t>% of World GDP</t>
  </si>
  <si>
    <t>Notes</t>
  </si>
  <si>
    <t>Competition</t>
  </si>
  <si>
    <t>Existing Buyer? (Y/N)</t>
  </si>
  <si>
    <t>Total</t>
  </si>
  <si>
    <t>Diaspora = Yes</t>
  </si>
  <si>
    <t>Import Duty % (HS 3923/3924)</t>
  </si>
  <si>
    <t>High Priority</t>
  </si>
  <si>
    <t>Est. Annual Import Value (USD)</t>
  </si>
  <si>
    <t>Local Competition (H/M/L)</t>
  </si>
  <si>
    <t>Medium Priority</t>
  </si>
  <si>
    <t>Distributor Status</t>
  </si>
  <si>
    <t xml:space="preserve">Assigned </t>
  </si>
  <si>
    <t>Market Size (1-5)</t>
  </si>
  <si>
    <t>Africa</t>
  </si>
  <si>
    <t>Access Ease (1-5)</t>
  </si>
  <si>
    <t>Diaspora Fit (1-5)</t>
  </si>
  <si>
    <t>Competition (1-5)</t>
  </si>
  <si>
    <t>Weighted Score</t>
  </si>
  <si>
    <t>Priority Tier</t>
  </si>
  <si>
    <t>Sao Tome and Principe</t>
  </si>
  <si>
    <t>Tier cut-offs (weighted score)</t>
  </si>
  <si>
    <t>Tier 1 - Priority</t>
  </si>
  <si>
    <t>Tier 2 - Develop</t>
  </si>
  <si>
    <t>Middle Africa</t>
  </si>
  <si>
    <t>Tier 3 - Monitor</t>
  </si>
  <si>
    <t>HOW TO USE</t>
  </si>
  <si>
    <t>1. Fill the amber columns (T-Y) on the main sheet from your own sources.</t>
  </si>
  <si>
    <t>2. Enter 1-5 scores in columns Z, AA and AC. Column AB (Diaspora Fit) is already auto-filled from the Diaspora Priority column.</t>
  </si>
  <si>
    <t>3. Weighted Score (AD) and Priority Tier (AE) calculate automatically.</t>
  </si>
  <si>
    <t>4. Filter column AE to Tier 1 to get the target list.</t>
  </si>
  <si>
    <t>SCORING SCALES (1 = worst, 5 = best)</t>
  </si>
  <si>
    <t>5 = large population with high plasticware import volume; 1 = tiny or negligible import demand</t>
  </si>
  <si>
    <t>5 = duty-free (ECOWAS/AfCFTA), coastal, short transit, no NTBs; 1 = high duty, landlocked, licensing barriers, FX restrictions</t>
  </si>
  <si>
    <t>Auto: High=5, Home=4, Medium=3, Low=1. Override manually if you have better local intelligence.</t>
  </si>
  <si>
    <t>5 = little local manufacturing, imports dominate; 1 = strong domestic plastics industry plus entrenched Chinese/Turkish supply</t>
  </si>
  <si>
    <t>WORKED EXAMPLE (do not enter this as a row - it shows the expected format)</t>
  </si>
  <si>
    <t>United Kingdom</t>
  </si>
  <si>
    <t>Y</t>
  </si>
  <si>
    <t>6.5%</t>
  </si>
  <si>
    <t>1,200,000</t>
  </si>
  <si>
    <t>M</t>
  </si>
  <si>
    <t>Appointed - London</t>
  </si>
  <si>
    <t>Owner</t>
  </si>
  <si>
    <t>Shafeeq</t>
  </si>
  <si>
    <t>Market Size / Access Ease / Competition</t>
  </si>
  <si>
    <t>4 / 4 / 3</t>
  </si>
  <si>
    <t>Resulting Weighted Score</t>
  </si>
  <si>
    <t>3.80  -&gt;  Tier 2 - Develop</t>
  </si>
  <si>
    <t>DATA SOURCES AND CAVEATS</t>
  </si>
  <si>
    <t>GDP is nominal (not PPP) in current USD, full-year 2024, on the basis of IMF World Economic Outlook estimates, rounded to 3 significant figures. Nominal is the right basis for export pricing because you invoice in hard currency. GDP per Capita (column H) and Income Tier (column I) are formulas derived from columns G and E, so they update if you overwrite either. Income Tier applies World Bank thresholds (High &gt;14,005; Upper-middle 4,516-14,005; Lower-middle 1,146-4,515; Low &lt;1,146) - note those thresholds are set against GNI per capita, so using GDP per capita as the input makes the tier indicative rather than official. Vatican City publishes no GDP and is left blank. Cuba, Syria, North Korea, Venezuela and Eritrea figures are weak - treat them as placeholders.</t>
  </si>
  <si>
    <t>Population figures are rounded 2025 estimates on the basis of the UN World Population Prospects. They are stated to 2-3 significant figures and are intended for banding and rough market sizing, not for reporting. Refresh from the UN WPP or World Bank WDI before using them in any external document. Population Band (column F) is a formula and re-derives automatically if you overwrite a population figure.</t>
  </si>
  <si>
    <t>Diaspora figures are indicative mid-range estimates compiled from UN migration stock data, national census records and Wikipedia country articles. Definitions of 'African descent' vary widely between countries (Brazil ranges from 20 m to 112 m depending on the definition used), so treat these as orders of magnitude, not audited figures.</t>
  </si>
  <si>
    <t>Diaspora Priority separates two very different commercial situations: countries where an African MIGRANT community sustains a specialist import and ethnic-retail channel (High), and countries with a large Afro-descendant population that is simply the general market and buys through ordinary retail (Medium/Low).</t>
  </si>
  <si>
    <t>ECOWAS: Burkina Faso, Mali and Niger formally exited on 29 January 2025 and formed the Alliance of Sahel States. ECOWAS has provisionally continued ETLS trade treatment for their goods until full modalities are agreed - verify current status before pricing.</t>
  </si>
  <si>
    <t>AfCFTA: 'Signatory' covers all African Union members except Eritrea. Signature is not the same as ratification or active tariff-schedule implementation - confirm per corridor before relying on preferential duty.</t>
  </si>
  <si>
    <t>Import duty, import value and competition columns are deliberately left blank. Populate them from your GlobalWits trade data and the national tariff schedules rather than from estimates.</t>
  </si>
  <si>
    <t>Home</t>
  </si>
  <si>
    <t>Source continent</t>
  </si>
  <si>
    <t>Home market - not diaspora; served directly by SACVIN Nigeria / AfCFTA</t>
  </si>
  <si>
    <t>No</t>
  </si>
  <si>
    <t>Non-member</t>
  </si>
  <si>
    <t>Signatory</t>
  </si>
  <si>
    <t>Portuguese</t>
  </si>
  <si>
    <t>Comoros</t>
  </si>
  <si>
    <t>Eastern Africa</t>
  </si>
  <si>
    <t>Asia</t>
  </si>
  <si>
    <t>Arabic / French</t>
  </si>
  <si>
    <t>Seychelles</t>
  </si>
  <si>
    <t>French / English</t>
  </si>
  <si>
    <t>Europe</t>
  </si>
  <si>
    <t>Cabo Verde</t>
  </si>
  <si>
    <t>Western Africa</t>
  </si>
  <si>
    <t>Member</t>
  </si>
  <si>
    <t>Congo (Democratic Republic of the)</t>
  </si>
  <si>
    <t>French</t>
  </si>
  <si>
    <t>North America</t>
  </si>
  <si>
    <t>Ethiopia</t>
  </si>
  <si>
    <t>Yes</t>
  </si>
  <si>
    <t>English</t>
  </si>
  <si>
    <t>South America</t>
  </si>
  <si>
    <t>Egypt</t>
  </si>
  <si>
    <t>Northern Africa</t>
  </si>
  <si>
    <t>Arabic / English</t>
  </si>
  <si>
    <t>Transcontinental - Sinai Peninsula lies in Asia</t>
  </si>
  <si>
    <t>Burundi</t>
  </si>
  <si>
    <t>Oceania</t>
  </si>
  <si>
    <t>Central African Republic</t>
  </si>
  <si>
    <t>Liberia</t>
  </si>
  <si>
    <t>South Sudan</t>
  </si>
  <si>
    <t>Scope</t>
  </si>
  <si>
    <t>Antarctica excluded as requested - it has no countries, only Antarctic Treaty research stations.</t>
  </si>
  <si>
    <t>Sierra Leone</t>
  </si>
  <si>
    <t>195 states: the 193 UN members plus Vatican City and Palestine (UN permanent observer states).</t>
  </si>
  <si>
    <t>Not included: Taiwan, Kosovo, Western Sahara, Northern Cyprus, Hong Kong, Macau, Puerto Rico, Greenland and other dependent or partially recognised territories.</t>
  </si>
  <si>
    <t>'Diaspora = Yes' counts countries outside Africa with a commercially meaningful African-descent population. African countries are marked 'Home' and are excluded from that count.</t>
  </si>
  <si>
    <t>See the Scoring Guide tab for definitions, caveats and how to use the amber input columns.</t>
  </si>
  <si>
    <t>Togo</t>
  </si>
  <si>
    <t>Mauritania</t>
  </si>
  <si>
    <t>Malawi</t>
  </si>
  <si>
    <t>Somalia</t>
  </si>
  <si>
    <t>Chad</t>
  </si>
  <si>
    <t>Rwanda</t>
  </si>
  <si>
    <t>Congo (Republic of the)</t>
  </si>
  <si>
    <t>Benin</t>
  </si>
  <si>
    <t>Burkina Faso</t>
  </si>
  <si>
    <t>Exited Jan-2025 (AES); ETLS treatment provisional</t>
  </si>
  <si>
    <t>Guinea</t>
  </si>
  <si>
    <t>Zambia</t>
  </si>
  <si>
    <t>Senegal</t>
  </si>
  <si>
    <t>Zimbabwe</t>
  </si>
  <si>
    <t>Libya</t>
  </si>
  <si>
    <t>Tunisia</t>
  </si>
  <si>
    <t>Madagascar</t>
  </si>
  <si>
    <t>Niger</t>
  </si>
  <si>
    <t>Mali</t>
  </si>
  <si>
    <t>Mozambique</t>
  </si>
  <si>
    <t>Sudan</t>
  </si>
  <si>
    <t>Cameroon</t>
  </si>
  <si>
    <t>Uganda</t>
  </si>
  <si>
    <t>Ghana</t>
  </si>
  <si>
    <t>Tanzania</t>
  </si>
  <si>
    <t>Cote d'Ivoire</t>
  </si>
  <si>
    <t>Angola</t>
  </si>
  <si>
    <t>Nigeria</t>
  </si>
  <si>
    <t>Kenya</t>
  </si>
  <si>
    <t>Morocco</t>
  </si>
  <si>
    <t>Algeria</t>
  </si>
  <si>
    <t>South Africa</t>
  </si>
  <si>
    <t>Southern Africa</t>
  </si>
  <si>
    <t>Guinea-Bissau</t>
  </si>
  <si>
    <t>Lesotho</t>
  </si>
  <si>
    <t>Eritrea</t>
  </si>
  <si>
    <t>Non-signatory</t>
  </si>
  <si>
    <t>Gambia</t>
  </si>
  <si>
    <t>Djibouti</t>
  </si>
  <si>
    <t>Eswatini</t>
  </si>
  <si>
    <t>Equatorial Guinea</t>
  </si>
  <si>
    <t>Spanish</t>
  </si>
  <si>
    <t>Namibia</t>
  </si>
  <si>
    <t>Mauritius</t>
  </si>
  <si>
    <t>Botswana</t>
  </si>
  <si>
    <t>Gabon</t>
  </si>
  <si>
    <t>Afghanistan</t>
  </si>
  <si>
    <t>Southern Asia</t>
  </si>
  <si>
    <t>Negligible</t>
  </si>
  <si>
    <t>No significant African-descent population</t>
  </si>
  <si>
    <t>Low</t>
  </si>
  <si>
    <t>Not applicable</t>
  </si>
  <si>
    <t>SAARC</t>
  </si>
  <si>
    <t>Persian</t>
  </si>
  <si>
    <t>Armenia</t>
  </si>
  <si>
    <t>Western Asia / Middle East</t>
  </si>
  <si>
    <t>EAEU</t>
  </si>
  <si>
    <t>Russian</t>
  </si>
  <si>
    <t>Geographically in Asia; politically often grouped with Europe</t>
  </si>
  <si>
    <t>Azerbaijan</t>
  </si>
  <si>
    <t>No major bloc / MFN</t>
  </si>
  <si>
    <t>Transcontinental - sometimes grouped with Europe</t>
  </si>
  <si>
    <t>Bahrain</t>
  </si>
  <si>
    <t>~50,000</t>
  </si>
  <si>
    <t>Historic Afro-Arab plus labour migration</t>
  </si>
  <si>
    <t>GCC Customs Union</t>
  </si>
  <si>
    <t>Bangladesh</t>
  </si>
  <si>
    <t>Bhutan</t>
  </si>
  <si>
    <t>Brunei</t>
  </si>
  <si>
    <t>South-Eastern Asia</t>
  </si>
  <si>
    <t>ASEAN</t>
  </si>
  <si>
    <t>Malay / English</t>
  </si>
  <si>
    <t>Cambodia</t>
  </si>
  <si>
    <t>China</t>
  </si>
  <si>
    <t>Eastern Asia</t>
  </si>
  <si>
    <t>Guangzhou African trader hub - sourcing counterparty more than consumer market</t>
  </si>
  <si>
    <t>Medium</t>
  </si>
  <si>
    <t>Mandarin / English</t>
  </si>
  <si>
    <t>Cyprus</t>
  </si>
  <si>
    <t>EU Single Market</t>
  </si>
  <si>
    <t>Greek</t>
  </si>
  <si>
    <t>Geographically in Asia; politically an EU member, often grouped with Europe</t>
  </si>
  <si>
    <t>Georgia</t>
  </si>
  <si>
    <t>India</t>
  </si>
  <si>
    <t>~70,000 Siddi + students/traders</t>
  </si>
  <si>
    <t>Siddi community plus African students and traders</t>
  </si>
  <si>
    <t>Indonesia</t>
  </si>
  <si>
    <t>Bahasa Indonesia</t>
  </si>
  <si>
    <t>Iran</t>
  </si>
  <si>
    <t>~0.1 m</t>
  </si>
  <si>
    <t>Afro-Iranian community (southern coast)</t>
  </si>
  <si>
    <t>Iraq</t>
  </si>
  <si>
    <t>~0.25 m</t>
  </si>
  <si>
    <t>Afro-Iraqi community (Basra region)</t>
  </si>
  <si>
    <t>Israel</t>
  </si>
  <si>
    <t>~0.16 m</t>
  </si>
  <si>
    <t>Ethiopian-Israeli community plus asylum seekers</t>
  </si>
  <si>
    <t>Hebrew / English</t>
  </si>
  <si>
    <t>Japan</t>
  </si>
  <si>
    <t>~20,000</t>
  </si>
  <si>
    <t>Small African community</t>
  </si>
  <si>
    <t>Japanese</t>
  </si>
  <si>
    <t>Jordan</t>
  </si>
  <si>
    <t>African migrant workers</t>
  </si>
  <si>
    <t>Kazakhstan</t>
  </si>
  <si>
    <t>Central Asia</t>
  </si>
  <si>
    <t>Transcontinental - western portion lies in Europe</t>
  </si>
  <si>
    <t>Kuwait</t>
  </si>
  <si>
    <t>African labour migration</t>
  </si>
  <si>
    <t>Kyrgyzstan</t>
  </si>
  <si>
    <t>Laos</t>
  </si>
  <si>
    <t>Lebanon</t>
  </si>
  <si>
    <t>African migrant domestic workers</t>
  </si>
  <si>
    <t>Malaysia</t>
  </si>
  <si>
    <t>~30,000</t>
  </si>
  <si>
    <t>African students and traders</t>
  </si>
  <si>
    <t>Maldives</t>
  </si>
  <si>
    <t>Mongolia</t>
  </si>
  <si>
    <t>Myanmar</t>
  </si>
  <si>
    <t>Nepal</t>
  </si>
  <si>
    <t>North Korea</t>
  </si>
  <si>
    <t>Korean</t>
  </si>
  <si>
    <t>Oman</t>
  </si>
  <si>
    <t>~0.2 m</t>
  </si>
  <si>
    <t>Historic Zanzibari/Swahili links plus labour migration</t>
  </si>
  <si>
    <t>Pakistan</t>
  </si>
  <si>
    <t>Sheedi community (Sindh/Balochistan)</t>
  </si>
  <si>
    <t>Palestine</t>
  </si>
  <si>
    <t>Non-UN member; UN permanent observer state</t>
  </si>
  <si>
    <t>Philippines</t>
  </si>
  <si>
    <t>Qatar</t>
  </si>
  <si>
    <t>~0.15 m</t>
  </si>
  <si>
    <t>Saudi Arabia</t>
  </si>
  <si>
    <t>~3.3 m Afro-Arab + migrants</t>
  </si>
  <si>
    <t>Historic Afro-Arab population plus large African labour migration</t>
  </si>
  <si>
    <t>Singapore</t>
  </si>
  <si>
    <t>South Korea</t>
  </si>
  <si>
    <t>~15,000</t>
  </si>
  <si>
    <t>Sri Lanka</t>
  </si>
  <si>
    <t>Syria</t>
  </si>
  <si>
    <t>Tajikistan</t>
  </si>
  <si>
    <t>Thailand</t>
  </si>
  <si>
    <t>Thai</t>
  </si>
  <si>
    <t>Timor-Leste</t>
  </si>
  <si>
    <t>Turkey</t>
  </si>
  <si>
    <t>~0.1 m+</t>
  </si>
  <si>
    <t>Fast-growing African trader community; Istanbul is a rising Africa re-export hub</t>
  </si>
  <si>
    <t>Turkish / English</t>
  </si>
  <si>
    <t>Transcontinental - small portion (East Thrace) lies in Europe</t>
  </si>
  <si>
    <t>Turkmenistan</t>
  </si>
  <si>
    <t>United Arab Emirates</t>
  </si>
  <si>
    <t>~0.5 m+ African expatriates</t>
  </si>
  <si>
    <t>Major Nigerian trading/expat community; Dubai is the leading re-export hub into Africa</t>
  </si>
  <si>
    <t>High</t>
  </si>
  <si>
    <t>Uzbekistan</t>
  </si>
  <si>
    <t>Vietnam</t>
  </si>
  <si>
    <t>Vietnamese</t>
  </si>
  <si>
    <t>Yemen</t>
  </si>
  <si>
    <t>~0.5 m</t>
  </si>
  <si>
    <t>Afro-Yemeni population plus Somali refugees</t>
  </si>
  <si>
    <t>Albania</t>
  </si>
  <si>
    <t>Southern Europe</t>
  </si>
  <si>
    <t>Andorra</t>
  </si>
  <si>
    <t>Austria</t>
  </si>
  <si>
    <t>Western Europe</t>
  </si>
  <si>
    <t>~60,000</t>
  </si>
  <si>
    <t>Small West African community</t>
  </si>
  <si>
    <t>German</t>
  </si>
  <si>
    <t>Belarus</t>
  </si>
  <si>
    <t>Eastern Europe</t>
  </si>
  <si>
    <t>Belgium</t>
  </si>
  <si>
    <t>Congolese/West African community; Antwerp re-export trade</t>
  </si>
  <si>
    <t>Dutch / English</t>
  </si>
  <si>
    <t>Bosnia and Herzegovina</t>
  </si>
  <si>
    <t>Bulgaria</t>
  </si>
  <si>
    <t>Croatia</t>
  </si>
  <si>
    <t>Czechia</t>
  </si>
  <si>
    <t>Denmark</t>
  </si>
  <si>
    <t>Northern Europe</t>
  </si>
  <si>
    <t>Small East African community</t>
  </si>
  <si>
    <t>Estonia</t>
  </si>
  <si>
    <t>Finland</t>
  </si>
  <si>
    <t>Small Somali community</t>
  </si>
  <si>
    <t>France</t>
  </si>
  <si>
    <t>~3-5 m</t>
  </si>
  <si>
    <t>Largest African-origin community in Europe (Francophone West &amp; North Africa)</t>
  </si>
  <si>
    <t>Germany</t>
  </si>
  <si>
    <t>~1.0 m</t>
  </si>
  <si>
    <t>Growing West &amp; East African migrant community</t>
  </si>
  <si>
    <t>Greece</t>
  </si>
  <si>
    <t>Small African migrant community</t>
  </si>
  <si>
    <t>Hungary</t>
  </si>
  <si>
    <t>Iceland</t>
  </si>
  <si>
    <t>EFTA</t>
  </si>
  <si>
    <t>Ireland</t>
  </si>
  <si>
    <t>Nigerians are the largest African group; small but concentrated</t>
  </si>
  <si>
    <t>Italy</t>
  </si>
  <si>
    <t>~1.1 m</t>
  </si>
  <si>
    <t>Large Nigerian &amp; West African community (Rome, Milan, Turin); active informal trade channel</t>
  </si>
  <si>
    <t>Italian</t>
  </si>
  <si>
    <t>Latvia</t>
  </si>
  <si>
    <t>Liechtenstein</t>
  </si>
  <si>
    <t>Lithuania</t>
  </si>
  <si>
    <t>Luxembourg</t>
  </si>
  <si>
    <t>Small Cabo Verdean community</t>
  </si>
  <si>
    <t>Malta</t>
  </si>
  <si>
    <t>Moldova</t>
  </si>
  <si>
    <t>Monaco</t>
  </si>
  <si>
    <t>Montenegro</t>
  </si>
  <si>
    <t>Netherlands</t>
  </si>
  <si>
    <t>~0.8 m</t>
  </si>
  <si>
    <t>Ghanaian/Nigerian/Surinamese community; Rotterdam is a re-export hub for West Africa</t>
  </si>
  <si>
    <t>North Macedonia</t>
  </si>
  <si>
    <t>Norway</t>
  </si>
  <si>
    <t>~0.12 m</t>
  </si>
  <si>
    <t>Somali/Eritrean community</t>
  </si>
  <si>
    <t>Poland</t>
  </si>
  <si>
    <t>Portugal</t>
  </si>
  <si>
    <t>Lusophone African community (Angola, Cabo Verde, Guinea-Bissau, Mozambique)</t>
  </si>
  <si>
    <t>Romania</t>
  </si>
  <si>
    <t>Russia</t>
  </si>
  <si>
    <t>Students and traders; limited retail channel</t>
  </si>
  <si>
    <t>Transcontinental - land mass mostly in Asia; commonly grouped with Europe</t>
  </si>
  <si>
    <t>San Marino</t>
  </si>
  <si>
    <t>Serbia</t>
  </si>
  <si>
    <t>Slovakia</t>
  </si>
  <si>
    <t>Slovenia</t>
  </si>
  <si>
    <t>Spain</t>
  </si>
  <si>
    <t>~1.2 m</t>
  </si>
  <si>
    <t>West &amp; North African community; gateway for re-export to West Africa</t>
  </si>
  <si>
    <t>Sweden</t>
  </si>
  <si>
    <t>Somali/Eritrean/Ethiopian community</t>
  </si>
  <si>
    <t>Switzerland</t>
  </si>
  <si>
    <t>Small but high-spend West African community</t>
  </si>
  <si>
    <t>German / French / Italian</t>
  </si>
  <si>
    <t>Ukraine</t>
  </si>
  <si>
    <t>~2.5 m</t>
  </si>
  <si>
    <t>Large Nigerian/Ghanaian/Caribbean community; established African food &amp; houseware importers</t>
  </si>
  <si>
    <t>UK (independent tariff schedule)</t>
  </si>
  <si>
    <t>Vatican City (Holy See)</t>
  </si>
  <si>
    <t>Antigua and Barbuda</t>
  </si>
  <si>
    <t>Caribbean</t>
  </si>
  <si>
    <t>~85,000</t>
  </si>
  <si>
    <t>Afro-descendant majority</t>
  </si>
  <si>
    <t>CARICOM</t>
  </si>
  <si>
    <t>Bahamas</t>
  </si>
  <si>
    <t>~0.32 m</t>
  </si>
  <si>
    <t>Afro-Bahamian majority - general consumer market</t>
  </si>
  <si>
    <t>Barbados</t>
  </si>
  <si>
    <t>~0.28 m</t>
  </si>
  <si>
    <t>Afro-Barbadian majority - general consumer market</t>
  </si>
  <si>
    <t>Belize</t>
  </si>
  <si>
    <t>Central America</t>
  </si>
  <si>
    <t>~0.11 m</t>
  </si>
  <si>
    <t>Kriol and Garifuna population</t>
  </si>
  <si>
    <t>Canada</t>
  </si>
  <si>
    <t>Northern America</t>
  </si>
  <si>
    <t>~1.5 m</t>
  </si>
  <si>
    <t>Fastest-growing Nigerian migration destination; strong ethnic-retail channel</t>
  </si>
  <si>
    <t>USMCA</t>
  </si>
  <si>
    <t>Costa Rica</t>
  </si>
  <si>
    <t>~0.14 m</t>
  </si>
  <si>
    <t>Afro-Costa Rican population (Limon)</t>
  </si>
  <si>
    <t>Cuba</t>
  </si>
  <si>
    <t>~1.0-4 m</t>
  </si>
  <si>
    <t>Afro-descendant plurality - general consumer market; import restrictions apply</t>
  </si>
  <si>
    <t>Dominica</t>
  </si>
  <si>
    <t>~65,000</t>
  </si>
  <si>
    <t>Dominican Republic</t>
  </si>
  <si>
    <t>~1.7-8 m</t>
  </si>
  <si>
    <t>Afro-descendant majority/mixed - general consumer market</t>
  </si>
  <si>
    <t>El Salvador</t>
  </si>
  <si>
    <t>Minimal</t>
  </si>
  <si>
    <t>Very small Afro-descendant population</t>
  </si>
  <si>
    <t>Grenada</t>
  </si>
  <si>
    <t>~90,000</t>
  </si>
  <si>
    <t>Guatemala</t>
  </si>
  <si>
    <t>~10,000</t>
  </si>
  <si>
    <t>Small Garifuna population</t>
  </si>
  <si>
    <t>Haiti</t>
  </si>
  <si>
    <t>~10.9 m</t>
  </si>
  <si>
    <t>Afro-descendant majority - general consumer market</t>
  </si>
  <si>
    <t>Honduras</t>
  </si>
  <si>
    <t>~0.19 m</t>
  </si>
  <si>
    <t>Garifuna and Afro-Honduran population</t>
  </si>
  <si>
    <t>Jamaica</t>
  </si>
  <si>
    <t>Afro-descendant majority; CARICOM distribution hub</t>
  </si>
  <si>
    <t>Mexico</t>
  </si>
  <si>
    <t>~2.6 m</t>
  </si>
  <si>
    <t>Afro-Mexican minority (Guerrero, Oaxaca, Veracruz)</t>
  </si>
  <si>
    <t>Sometimes grouped with Latin America; geographically North America</t>
  </si>
  <si>
    <t>Nicaragua</t>
  </si>
  <si>
    <t>~0.57 m</t>
  </si>
  <si>
    <t>Afro-Caribbean coast population</t>
  </si>
  <si>
    <t>Panama</t>
  </si>
  <si>
    <t>~1.26 m</t>
  </si>
  <si>
    <t>Afro-Panamanian minority; Colon Free Zone is a re-export hub for the region</t>
  </si>
  <si>
    <t>Isthmus - geographically North America (Central America)</t>
  </si>
  <si>
    <t>Saint Kitts and Nevis</t>
  </si>
  <si>
    <t>~44,000</t>
  </si>
  <si>
    <t>Saint Lucia</t>
  </si>
  <si>
    <t>Saint Vincent and the Grenadines</t>
  </si>
  <si>
    <t>Trinidad and Tobago</t>
  </si>
  <si>
    <t>~0.45 m</t>
  </si>
  <si>
    <t>Afro-Trinidadian plurality; regional trading/re-export point</t>
  </si>
  <si>
    <t>On the South American continental shelf; politically Caribbean/North America</t>
  </si>
  <si>
    <t>United States of America</t>
  </si>
  <si>
    <t>~47 m (incl. ~2.5 m African-born)</t>
  </si>
  <si>
    <t>Historic + large recent migrant community; dense African/Caribbean grocery &amp; housewares retail</t>
  </si>
  <si>
    <t>Argentina</t>
  </si>
  <si>
    <t>Small Afro-Argentine and recent African community</t>
  </si>
  <si>
    <t>MERCOSUR</t>
  </si>
  <si>
    <t>Bolivia</t>
  </si>
  <si>
    <t>~25,000</t>
  </si>
  <si>
    <t>Afro-Bolivian community (Yungas)</t>
  </si>
  <si>
    <t>Brazil</t>
  </si>
  <si>
    <t>~56-112 m</t>
  </si>
  <si>
    <t>Afro-descendant majority/plurality - general consumer market, not a specialist African-import channel</t>
  </si>
  <si>
    <t>Chile</t>
  </si>
  <si>
    <t>Small Afro-Chilean and Haitian migrant community</t>
  </si>
  <si>
    <t>Colombia</t>
  </si>
  <si>
    <t>~4.9 m</t>
  </si>
  <si>
    <t>Afro-Colombian minority - general consumer market</t>
  </si>
  <si>
    <t>Ecuador</t>
  </si>
  <si>
    <t>~0.81 m</t>
  </si>
  <si>
    <t>Afro-Ecuadorian minority</t>
  </si>
  <si>
    <t>Guyana</t>
  </si>
  <si>
    <t>~0.23 m</t>
  </si>
  <si>
    <t>Afro-Guyanese plurality</t>
  </si>
  <si>
    <t>Paraguay</t>
  </si>
  <si>
    <t>Small Afro-Paraguayan community</t>
  </si>
  <si>
    <t>Peru</t>
  </si>
  <si>
    <t>~0.83 m</t>
  </si>
  <si>
    <t>Afro-Peruvian minority</t>
  </si>
  <si>
    <t>Suriname</t>
  </si>
  <si>
    <t>~0.2 m+</t>
  </si>
  <si>
    <t>Afro-Surinamese/Maroon plurality; Dutch trade links</t>
  </si>
  <si>
    <t>Uruguay</t>
  </si>
  <si>
    <t>~0.26 m</t>
  </si>
  <si>
    <t>Afro-Uruguayan minority</t>
  </si>
  <si>
    <t>Venezuela</t>
  </si>
  <si>
    <t>~0.94-3 m</t>
  </si>
  <si>
    <t>Afro-descendant minority - general market; FX and import constraints</t>
  </si>
  <si>
    <t>Australia</t>
  </si>
  <si>
    <t>Australia and New Zealand</t>
  </si>
  <si>
    <t>~0.4 m</t>
  </si>
  <si>
    <t>Growing Sudanese/Somali/Nigerian community</t>
  </si>
  <si>
    <t>Fiji</t>
  </si>
  <si>
    <t>Melanesia</t>
  </si>
  <si>
    <t>Kiribati</t>
  </si>
  <si>
    <t>Micronesia</t>
  </si>
  <si>
    <t>Marshall Islands</t>
  </si>
  <si>
    <t>Micronesia (Federated States of)</t>
  </si>
  <si>
    <t>Nauru</t>
  </si>
  <si>
    <t>New Zealand</t>
  </si>
  <si>
    <t>Palau</t>
  </si>
  <si>
    <t>Papua New Guinea</t>
  </si>
  <si>
    <t>Samoa</t>
  </si>
  <si>
    <t>Polynesia</t>
  </si>
  <si>
    <t>Solomon Islands</t>
  </si>
  <si>
    <t>Tonga</t>
  </si>
  <si>
    <t>Tuvalu</t>
  </si>
  <si>
    <t>Vanuatu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</si>
</sst>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1.0"/>
      <color theme="1"/>
      <name val="Calibri"/>
      <scheme val="minor"/>
    </font>
    <font>
      <b/>
      <sz val="14.0"/>
      <color rgb="FF1F3864"/>
      <name val="Arial"/>
    </font>
    <font>
      <b/>
      <sz val="10.0"/>
      <color rgb="FFFFFFFF"/>
      <name val="Arial"/>
    </font>
    <font>
      <b/>
      <sz val="10.0"/>
      <color rgb="FF000000"/>
      <name val="Arial"/>
    </font>
    <font>
      <sz val="10.0"/>
      <color rgb="FF000000"/>
      <name val="Arial"/>
    </font>
    <font>
      <sz val="10.0"/>
      <color rgb="FF0000FF"/>
      <name val="Arial"/>
    </font>
    <font>
      <sz val="10.0"/>
      <color theme="1"/>
      <name val="Arial"/>
    </font>
    <font>
      <b/>
      <sz val="10.0"/>
      <color theme="1"/>
      <name val="Arial"/>
    </font>
    <font>
      <i/>
      <sz val="10.0"/>
      <color theme="1"/>
      <name val="Arial"/>
    </font>
  </fonts>
  <fills count="9">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BF8F00"/>
        <bgColor rgb="FFBF8F00"/>
      </patternFill>
    </fill>
    <fill>
      <patternFill patternType="solid">
        <fgColor rgb="FF375623"/>
        <bgColor rgb="FF375623"/>
      </patternFill>
    </fill>
    <fill>
      <patternFill patternType="solid">
        <fgColor theme="6"/>
        <bgColor theme="6"/>
      </patternFill>
    </fill>
    <fill>
      <patternFill patternType="solid">
        <fgColor rgb="FFD9E2F3"/>
        <bgColor rgb="FFD9E2F3"/>
      </patternFill>
    </fill>
    <fill>
      <patternFill patternType="solid">
        <fgColor theme="0"/>
        <bgColor theme="0"/>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0" fillId="0" fontId="4" numFmtId="0" xfId="0" applyFont="1"/>
    <xf borderId="2" fillId="3" fontId="5" numFmtId="9" xfId="0" applyBorder="1" applyFill="1" applyFont="1" applyNumberFormat="1"/>
    <xf borderId="1" fillId="4" fontId="2"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1" fillId="0" fontId="6" numFmtId="0" xfId="0" applyBorder="1" applyFont="1"/>
    <xf borderId="1" fillId="0" fontId="6" numFmtId="0" xfId="0" applyAlignment="1" applyBorder="1" applyFont="1">
      <alignment horizontal="center" vertical="top"/>
    </xf>
    <xf borderId="0" fillId="0" fontId="7" numFmtId="9" xfId="0" applyFont="1" applyNumberFormat="1"/>
    <xf borderId="1" fillId="6" fontId="6" numFmtId="0" xfId="0" applyAlignment="1" applyBorder="1" applyFill="1" applyFont="1">
      <alignment horizontal="left" vertical="top"/>
    </xf>
    <xf borderId="2" fillId="3" fontId="5" numFmtId="2" xfId="0" applyBorder="1" applyFill="1" applyFont="1" applyNumberFormat="1"/>
    <xf borderId="1" fillId="0" fontId="6" numFmtId="0" xfId="0" applyAlignment="1" applyBorder="1" applyFont="1">
      <alignment horizontal="left" vertical="top"/>
    </xf>
    <xf borderId="1" fillId="0" fontId="6" numFmtId="3" xfId="0" applyAlignment="1" applyBorder="1" applyFont="1" applyNumberFormat="1">
      <alignment horizontal="right" vertical="top"/>
    </xf>
    <xf borderId="0" fillId="0" fontId="3" numFmtId="0" xfId="0" applyAlignment="1" applyFont="1">
      <alignment shrinkToFit="0" vertical="top" wrapText="1"/>
    </xf>
    <xf borderId="0" fillId="0" fontId="4" numFmtId="0" xfId="0" applyAlignment="1" applyFont="1">
      <alignment shrinkToFit="0" vertical="top" wrapText="1"/>
    </xf>
    <xf borderId="1" fillId="0" fontId="6" numFmtId="0" xfId="0" applyAlignment="1" applyBorder="1" applyFont="1">
      <alignment horizontal="center"/>
    </xf>
    <xf borderId="1" fillId="0" fontId="6" numFmtId="164" xfId="0" applyAlignment="1" applyBorder="1" applyFont="1" applyNumberFormat="1">
      <alignment horizontal="center"/>
    </xf>
    <xf borderId="1" fillId="0" fontId="6" numFmtId="0" xfId="0" applyAlignment="1" applyBorder="1" applyFont="1">
      <alignment horizontal="left" shrinkToFit="0" vertical="top" wrapText="1"/>
    </xf>
    <xf borderId="1" fillId="0" fontId="6" numFmtId="3" xfId="0" applyAlignment="1" applyBorder="1" applyFont="1" applyNumberFormat="1">
      <alignment horizontal="center"/>
    </xf>
    <xf borderId="1" fillId="3" fontId="6" numFmtId="0" xfId="0" applyAlignment="1" applyBorder="1" applyFill="1" applyFont="1">
      <alignment horizontal="left" vertical="top"/>
    </xf>
    <xf borderId="1" fillId="0" fontId="6" numFmtId="2" xfId="0" applyAlignment="1" applyBorder="1" applyFont="1" applyNumberFormat="1">
      <alignment horizontal="center" vertical="top"/>
    </xf>
    <xf borderId="1" fillId="0" fontId="7" numFmtId="0" xfId="0" applyAlignment="1" applyBorder="1" applyFont="1">
      <alignment horizontal="center" vertical="top"/>
    </xf>
    <xf borderId="1" fillId="7" fontId="7" numFmtId="0" xfId="0" applyBorder="1" applyFill="1" applyFont="1"/>
    <xf borderId="1" fillId="7" fontId="7" numFmtId="0" xfId="0" applyAlignment="1" applyBorder="1" applyFill="1" applyFont="1">
      <alignment horizontal="center"/>
    </xf>
    <xf borderId="1" fillId="7" fontId="7" numFmtId="164" xfId="0" applyAlignment="1" applyBorder="1" applyFill="1" applyFont="1" applyNumberFormat="1">
      <alignment horizontal="center"/>
    </xf>
    <xf borderId="1" fillId="7" fontId="7" numFmtId="3" xfId="0" applyAlignment="1" applyBorder="1" applyFill="1" applyFont="1" applyNumberFormat="1">
      <alignment horizontal="center"/>
    </xf>
    <xf borderId="0" fillId="0" fontId="7" numFmtId="0" xfId="0" applyFont="1"/>
    <xf borderId="0" fillId="0" fontId="8" numFmtId="0" xfId="0" applyFont="1"/>
    <xf borderId="1" fillId="8" fontId="6" numFmtId="0" xfId="0" applyAlignment="1" applyBorder="1" applyFill="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7.0"/>
    <col customWidth="1" min="2" max="2" width="34.0"/>
    <col customWidth="1" min="3" max="3" width="15.0"/>
    <col customWidth="1" min="4" max="4" width="24.0"/>
    <col customWidth="1" min="5" max="5" width="16.0"/>
    <col customWidth="1" min="6" max="6" width="14.0"/>
    <col customWidth="1" min="7" max="7" width="20.0"/>
    <col customWidth="1" min="8" max="9" width="16.0"/>
    <col customWidth="1" min="10" max="10" width="14.0"/>
    <col customWidth="1" min="11" max="11" width="26.0"/>
    <col customWidth="1" min="12" max="12" width="62.0"/>
    <col customWidth="1" min="13" max="13" width="13.0"/>
    <col customWidth="1" min="14" max="14" width="11.0"/>
    <col customWidth="1" min="15" max="15" width="30.0"/>
    <col customWidth="1" min="16" max="16" width="11.0"/>
    <col customWidth="1" min="17" max="17" width="26.0"/>
    <col customWidth="1" min="18" max="18" width="22.0"/>
    <col customWidth="1" min="19" max="19" width="50.0"/>
    <col customWidth="1" min="20" max="20" width="14.0"/>
    <col customWidth="1" min="21" max="21" width="16.0"/>
    <col customWidth="1" min="22" max="22" width="17.0"/>
    <col customWidth="1" min="23" max="23" width="14.0"/>
    <col customWidth="1" min="24" max="24" width="18.0"/>
    <col customWidth="1" min="25" max="25" width="12.0"/>
    <col customWidth="1" min="26" max="29" width="11.0"/>
    <col customWidth="1" min="30" max="30" width="12.0"/>
    <col customWidth="1" min="31" max="31" width="20.0"/>
  </cols>
  <sheetData>
    <row r="1" ht="42.0" customHeight="1">
      <c r="A1" s="2" t="s">
        <v>1</v>
      </c>
      <c r="B1" s="2" t="s">
        <v>4</v>
      </c>
      <c r="C1" s="2" t="s">
        <v>5</v>
      </c>
      <c r="D1" s="2" t="s">
        <v>7</v>
      </c>
      <c r="E1" s="2" t="s">
        <v>8</v>
      </c>
      <c r="F1" s="2" t="s">
        <v>9</v>
      </c>
      <c r="G1" s="2" t="s">
        <v>11</v>
      </c>
      <c r="H1" s="2" t="s">
        <v>13</v>
      </c>
      <c r="I1" s="2" t="s">
        <v>15</v>
      </c>
      <c r="J1" s="2" t="s">
        <v>17</v>
      </c>
      <c r="K1" s="2" t="s">
        <v>18</v>
      </c>
      <c r="L1" s="2" t="s">
        <v>19</v>
      </c>
      <c r="M1" s="2" t="s">
        <v>20</v>
      </c>
      <c r="N1" s="2" t="s">
        <v>22</v>
      </c>
      <c r="O1" s="2" t="s">
        <v>23</v>
      </c>
      <c r="P1" s="2" t="s">
        <v>26</v>
      </c>
      <c r="Q1" s="2" t="s">
        <v>27</v>
      </c>
      <c r="R1" s="2" t="s">
        <v>29</v>
      </c>
      <c r="S1" s="2" t="s">
        <v>31</v>
      </c>
      <c r="T1" s="6" t="s">
        <v>33</v>
      </c>
      <c r="U1" s="6" t="s">
        <v>36</v>
      </c>
      <c r="V1" s="6" t="s">
        <v>38</v>
      </c>
      <c r="W1" s="6" t="s">
        <v>39</v>
      </c>
      <c r="X1" s="6" t="s">
        <v>41</v>
      </c>
      <c r="Y1" s="6" t="s">
        <v>42</v>
      </c>
      <c r="Z1" s="7" t="s">
        <v>43</v>
      </c>
      <c r="AA1" s="7" t="s">
        <v>45</v>
      </c>
      <c r="AB1" s="7" t="s">
        <v>46</v>
      </c>
      <c r="AC1" s="7" t="s">
        <v>47</v>
      </c>
      <c r="AD1" s="7" t="s">
        <v>48</v>
      </c>
      <c r="AE1" s="7" t="s">
        <v>49</v>
      </c>
    </row>
    <row r="2">
      <c r="A2" s="9">
        <v>41.0</v>
      </c>
      <c r="B2" s="11" t="s">
        <v>50</v>
      </c>
      <c r="C2" s="13" t="s">
        <v>44</v>
      </c>
      <c r="D2" s="13" t="s">
        <v>54</v>
      </c>
      <c r="E2" s="14">
        <v>240000.0</v>
      </c>
      <c r="F2" s="9" t="str">
        <f t="shared" ref="F2:F196" si="1">IF($E2="","",IF($E2&gt;=100000000,"Over 100 m",IF($E2&gt;=25000000,"25-100 m",IF($E2&gt;=5000000,"5-25 m",IF($E2&gt;=1000000,"1-5 m","Under 1 m")))))</f>
        <v>Under 1 m</v>
      </c>
      <c r="G2" s="14">
        <v>7.5E8</v>
      </c>
      <c r="H2" s="14">
        <f t="shared" ref="H2:H196" si="2">IF(OR($G2="",$E2="",$E2=0),"",ROUND($G2/$E2,0))</f>
        <v>3125</v>
      </c>
      <c r="I2" s="9" t="str">
        <f t="shared" ref="I2:I196" si="3">IF($H2="","",IF($H2&gt;14005,"High income",IF($H2&gt;4515,"Upper-middle",IF($H2&gt;1145,"Lower-middle","Low income"))))</f>
        <v>Lower-middle</v>
      </c>
      <c r="J2" s="9" t="s">
        <v>87</v>
      </c>
      <c r="K2" s="19" t="s">
        <v>88</v>
      </c>
      <c r="L2" s="19" t="s">
        <v>89</v>
      </c>
      <c r="M2" s="9" t="s">
        <v>87</v>
      </c>
      <c r="N2" s="9" t="s">
        <v>90</v>
      </c>
      <c r="O2" s="19" t="s">
        <v>91</v>
      </c>
      <c r="P2" s="9" t="s">
        <v>92</v>
      </c>
      <c r="Q2" s="13" t="s">
        <v>26</v>
      </c>
      <c r="R2" s="13" t="s">
        <v>93</v>
      </c>
      <c r="S2" s="19"/>
      <c r="T2" s="21"/>
      <c r="U2" s="21"/>
      <c r="V2" s="21"/>
      <c r="W2" s="21"/>
      <c r="X2" s="21"/>
      <c r="Y2" s="21" t="str">
        <f t="shared" ref="Y2:Y196" si="4">IF($C2="Africa","Manan",IF(OR($C2="Europe",$C2="South America",$C2="Oceania"),"Dev","Aditya"))</f>
        <v>Manan</v>
      </c>
      <c r="Z2" s="9"/>
      <c r="AA2" s="9"/>
      <c r="AB2" s="9">
        <f t="shared" ref="AB2:AB196" si="5">IF($M2="High",5,IF($M2="Medium",3,IF($M2="Home",4,IF($M2="Low",1,0))))</f>
        <v>4</v>
      </c>
      <c r="AC2" s="9"/>
      <c r="AD2" s="22" t="str">
        <f>IF(COUNT(Z2,AA2,AC2)=0,"",ROUND(Z2*'Scoring Guide'!$B$5+AA2*'Scoring Guide'!$B$6+AB2*'Scoring Guide'!$B$7+AC2*'Scoring Guide'!$B$8,2))</f>
        <v/>
      </c>
      <c r="AE2" s="23" t="str">
        <f>IF(AD2="","Not scored",IF(AD2&gt;='Scoring Guide'!$B$11,"Tier 1 - Priority",IF(AD2&gt;='Scoring Guide'!$B$12,"Tier 2 - Develop",IF(AD2&gt;='Scoring Guide'!$B$13,"Tier 3 - Monitor","Tier 4 - Deprioritise"))))</f>
        <v>Not scored</v>
      </c>
    </row>
    <row r="3">
      <c r="A3" s="9">
        <v>11.0</v>
      </c>
      <c r="B3" s="11" t="s">
        <v>94</v>
      </c>
      <c r="C3" s="13" t="s">
        <v>44</v>
      </c>
      <c r="D3" s="13" t="s">
        <v>95</v>
      </c>
      <c r="E3" s="14">
        <v>880000.0</v>
      </c>
      <c r="F3" s="9" t="str">
        <f t="shared" si="1"/>
        <v>Under 1 m</v>
      </c>
      <c r="G3" s="14">
        <v>1.4E9</v>
      </c>
      <c r="H3" s="14">
        <f t="shared" si="2"/>
        <v>1591</v>
      </c>
      <c r="I3" s="9" t="str">
        <f t="shared" si="3"/>
        <v>Lower-middle</v>
      </c>
      <c r="J3" s="9" t="s">
        <v>87</v>
      </c>
      <c r="K3" s="19" t="s">
        <v>88</v>
      </c>
      <c r="L3" s="19" t="s">
        <v>89</v>
      </c>
      <c r="M3" s="9" t="s">
        <v>87</v>
      </c>
      <c r="N3" s="9" t="s">
        <v>90</v>
      </c>
      <c r="O3" s="19" t="s">
        <v>91</v>
      </c>
      <c r="P3" s="9" t="s">
        <v>92</v>
      </c>
      <c r="Q3" s="13" t="s">
        <v>26</v>
      </c>
      <c r="R3" s="13" t="s">
        <v>97</v>
      </c>
      <c r="S3" s="19"/>
      <c r="T3" s="21"/>
      <c r="U3" s="21"/>
      <c r="V3" s="21"/>
      <c r="W3" s="21"/>
      <c r="X3" s="21"/>
      <c r="Y3" s="21" t="str">
        <f t="shared" si="4"/>
        <v>Manan</v>
      </c>
      <c r="Z3" s="9"/>
      <c r="AA3" s="9"/>
      <c r="AB3" s="9">
        <f t="shared" si="5"/>
        <v>4</v>
      </c>
      <c r="AC3" s="9"/>
      <c r="AD3" s="22" t="str">
        <f>IF(COUNT(Z3,AA3,AC3)=0,"",ROUND(Z3*'Scoring Guide'!$B$5+AA3*'Scoring Guide'!$B$6+AB3*'Scoring Guide'!$B$7+AC3*'Scoring Guide'!$B$8,2))</f>
        <v/>
      </c>
      <c r="AE3" s="23" t="str">
        <f>IF(AD3="","Not scored",IF(AD3&gt;='Scoring Guide'!$B$11,"Tier 1 - Priority",IF(AD3&gt;='Scoring Guide'!$B$12,"Tier 2 - Develop",IF(AD3&gt;='Scoring Guide'!$B$13,"Tier 3 - Monitor","Tier 4 - Deprioritise"))))</f>
        <v>Not scored</v>
      </c>
    </row>
    <row r="4">
      <c r="A4" s="9">
        <v>43.0</v>
      </c>
      <c r="B4" s="11" t="s">
        <v>98</v>
      </c>
      <c r="C4" s="13" t="s">
        <v>44</v>
      </c>
      <c r="D4" s="13" t="s">
        <v>95</v>
      </c>
      <c r="E4" s="14">
        <v>130000.0</v>
      </c>
      <c r="F4" s="9" t="str">
        <f t="shared" si="1"/>
        <v>Under 1 m</v>
      </c>
      <c r="G4" s="14">
        <v>2.2E9</v>
      </c>
      <c r="H4" s="14">
        <f t="shared" si="2"/>
        <v>16923</v>
      </c>
      <c r="I4" s="9" t="str">
        <f t="shared" si="3"/>
        <v>High income</v>
      </c>
      <c r="J4" s="9" t="s">
        <v>87</v>
      </c>
      <c r="K4" s="19" t="s">
        <v>88</v>
      </c>
      <c r="L4" s="19" t="s">
        <v>89</v>
      </c>
      <c r="M4" s="9" t="s">
        <v>87</v>
      </c>
      <c r="N4" s="9" t="s">
        <v>90</v>
      </c>
      <c r="O4" s="19" t="s">
        <v>91</v>
      </c>
      <c r="P4" s="9" t="s">
        <v>92</v>
      </c>
      <c r="Q4" s="13" t="s">
        <v>26</v>
      </c>
      <c r="R4" s="13" t="s">
        <v>99</v>
      </c>
      <c r="S4" s="19"/>
      <c r="T4" s="21"/>
      <c r="U4" s="21"/>
      <c r="V4" s="21"/>
      <c r="W4" s="21"/>
      <c r="X4" s="21"/>
      <c r="Y4" s="21" t="str">
        <f t="shared" si="4"/>
        <v>Manan</v>
      </c>
      <c r="Z4" s="9"/>
      <c r="AA4" s="9"/>
      <c r="AB4" s="9">
        <f t="shared" si="5"/>
        <v>4</v>
      </c>
      <c r="AC4" s="9"/>
      <c r="AD4" s="22" t="str">
        <f>IF(COUNT(Z4,AA4,AC4)=0,"",ROUND(Z4*'Scoring Guide'!$B$5+AA4*'Scoring Guide'!$B$6+AB4*'Scoring Guide'!$B$7+AC4*'Scoring Guide'!$B$8,2))</f>
        <v/>
      </c>
      <c r="AE4" s="23" t="str">
        <f>IF(AD4="","Not scored",IF(AD4&gt;='Scoring Guide'!$B$11,"Tier 1 - Priority",IF(AD4&gt;='Scoring Guide'!$B$12,"Tier 2 - Develop",IF(AD4&gt;='Scoring Guide'!$B$13,"Tier 3 - Monitor","Tier 4 - Deprioritise"))))</f>
        <v>Not scored</v>
      </c>
    </row>
    <row r="5">
      <c r="A5" s="9">
        <v>7.0</v>
      </c>
      <c r="B5" s="11" t="s">
        <v>101</v>
      </c>
      <c r="C5" s="13" t="s">
        <v>44</v>
      </c>
      <c r="D5" s="13" t="s">
        <v>102</v>
      </c>
      <c r="E5" s="14">
        <v>530000.0</v>
      </c>
      <c r="F5" s="9" t="str">
        <f t="shared" si="1"/>
        <v>Under 1 m</v>
      </c>
      <c r="G5" s="14">
        <v>2.8E9</v>
      </c>
      <c r="H5" s="14">
        <f t="shared" si="2"/>
        <v>5283</v>
      </c>
      <c r="I5" s="9" t="str">
        <f t="shared" si="3"/>
        <v>Upper-middle</v>
      </c>
      <c r="J5" s="9" t="s">
        <v>87</v>
      </c>
      <c r="K5" s="19" t="s">
        <v>88</v>
      </c>
      <c r="L5" s="19" t="s">
        <v>89</v>
      </c>
      <c r="M5" s="9" t="s">
        <v>87</v>
      </c>
      <c r="N5" s="9" t="s">
        <v>90</v>
      </c>
      <c r="O5" s="19" t="s">
        <v>103</v>
      </c>
      <c r="P5" s="9" t="s">
        <v>92</v>
      </c>
      <c r="Q5" s="13" t="s">
        <v>26</v>
      </c>
      <c r="R5" s="13" t="s">
        <v>93</v>
      </c>
      <c r="S5" s="19"/>
      <c r="T5" s="21"/>
      <c r="U5" s="21"/>
      <c r="V5" s="21"/>
      <c r="W5" s="21"/>
      <c r="X5" s="21"/>
      <c r="Y5" s="21" t="str">
        <f t="shared" si="4"/>
        <v>Manan</v>
      </c>
      <c r="Z5" s="9"/>
      <c r="AA5" s="9"/>
      <c r="AB5" s="9">
        <f t="shared" si="5"/>
        <v>4</v>
      </c>
      <c r="AC5" s="9"/>
      <c r="AD5" s="22" t="str">
        <f>IF(COUNT(Z5,AA5,AC5)=0,"",ROUND(Z5*'Scoring Guide'!$B$5+AA5*'Scoring Guide'!$B$6+AB5*'Scoring Guide'!$B$7+AC5*'Scoring Guide'!$B$8,2))</f>
        <v/>
      </c>
      <c r="AE5" s="23" t="str">
        <f>IF(AD5="","Not scored",IF(AD5&gt;='Scoring Guide'!$B$11,"Tier 1 - Priority",IF(AD5&gt;='Scoring Guide'!$B$12,"Tier 2 - Develop",IF(AD5&gt;='Scoring Guide'!$B$13,"Tier 3 - Monitor","Tier 4 - Deprioritise"))))</f>
        <v>Not scored</v>
      </c>
    </row>
    <row r="6">
      <c r="A6" s="9">
        <v>12.0</v>
      </c>
      <c r="B6" s="11" t="s">
        <v>104</v>
      </c>
      <c r="C6" s="13" t="s">
        <v>44</v>
      </c>
      <c r="D6" s="13" t="s">
        <v>54</v>
      </c>
      <c r="E6" s="14">
        <v>1.12E8</v>
      </c>
      <c r="F6" s="9" t="str">
        <f t="shared" si="1"/>
        <v>Over 100 m</v>
      </c>
      <c r="G6" s="14">
        <v>7.5E10</v>
      </c>
      <c r="H6" s="14">
        <f t="shared" si="2"/>
        <v>670</v>
      </c>
      <c r="I6" s="9" t="str">
        <f t="shared" si="3"/>
        <v>Low income</v>
      </c>
      <c r="J6" s="9" t="s">
        <v>87</v>
      </c>
      <c r="K6" s="19" t="s">
        <v>88</v>
      </c>
      <c r="L6" s="19" t="s">
        <v>89</v>
      </c>
      <c r="M6" s="9" t="s">
        <v>87</v>
      </c>
      <c r="N6" s="9" t="s">
        <v>90</v>
      </c>
      <c r="O6" s="19" t="s">
        <v>91</v>
      </c>
      <c r="P6" s="9" t="s">
        <v>92</v>
      </c>
      <c r="Q6" s="13" t="s">
        <v>26</v>
      </c>
      <c r="R6" s="13" t="s">
        <v>105</v>
      </c>
      <c r="S6" s="19"/>
      <c r="T6" s="21"/>
      <c r="U6" s="21"/>
      <c r="V6" s="21"/>
      <c r="W6" s="21"/>
      <c r="X6" s="21"/>
      <c r="Y6" s="21" t="str">
        <f t="shared" si="4"/>
        <v>Manan</v>
      </c>
      <c r="Z6" s="9"/>
      <c r="AA6" s="9"/>
      <c r="AB6" s="9">
        <f t="shared" si="5"/>
        <v>4</v>
      </c>
      <c r="AC6" s="9"/>
      <c r="AD6" s="22" t="str">
        <f>IF(COUNT(Z6,AA6,AC6)=0,"",ROUND(Z6*'Scoring Guide'!$B$5+AA6*'Scoring Guide'!$B$6+AB6*'Scoring Guide'!$B$7+AC6*'Scoring Guide'!$B$8,2))</f>
        <v/>
      </c>
      <c r="AE6" s="23" t="str">
        <f>IF(AD6="","Not scored",IF(AD6&gt;='Scoring Guide'!$B$11,"Tier 1 - Priority",IF(AD6&gt;='Scoring Guide'!$B$12,"Tier 2 - Develop",IF(AD6&gt;='Scoring Guide'!$B$13,"Tier 3 - Monitor","Tier 4 - Deprioritise"))))</f>
        <v>Not scored</v>
      </c>
    </row>
    <row r="7">
      <c r="A7" s="9">
        <v>20.0</v>
      </c>
      <c r="B7" s="11" t="s">
        <v>107</v>
      </c>
      <c r="C7" s="13" t="s">
        <v>44</v>
      </c>
      <c r="D7" s="13" t="s">
        <v>95</v>
      </c>
      <c r="E7" s="14">
        <v>1.35E8</v>
      </c>
      <c r="F7" s="9" t="str">
        <f t="shared" si="1"/>
        <v>Over 100 m</v>
      </c>
      <c r="G7" s="14">
        <v>1.45E11</v>
      </c>
      <c r="H7" s="14">
        <f t="shared" si="2"/>
        <v>1074</v>
      </c>
      <c r="I7" s="9" t="str">
        <f t="shared" si="3"/>
        <v>Low income</v>
      </c>
      <c r="J7" s="9" t="s">
        <v>87</v>
      </c>
      <c r="K7" s="19" t="s">
        <v>88</v>
      </c>
      <c r="L7" s="19" t="s">
        <v>89</v>
      </c>
      <c r="M7" s="9" t="s">
        <v>87</v>
      </c>
      <c r="N7" s="9" t="s">
        <v>108</v>
      </c>
      <c r="O7" s="19" t="s">
        <v>91</v>
      </c>
      <c r="P7" s="9" t="s">
        <v>92</v>
      </c>
      <c r="Q7" s="13" t="s">
        <v>26</v>
      </c>
      <c r="R7" s="13" t="s">
        <v>109</v>
      </c>
      <c r="S7" s="19"/>
      <c r="T7" s="21"/>
      <c r="U7" s="21"/>
      <c r="V7" s="21"/>
      <c r="W7" s="21"/>
      <c r="X7" s="21"/>
      <c r="Y7" s="21" t="str">
        <f t="shared" si="4"/>
        <v>Manan</v>
      </c>
      <c r="Z7" s="9"/>
      <c r="AA7" s="9"/>
      <c r="AB7" s="9">
        <f t="shared" si="5"/>
        <v>4</v>
      </c>
      <c r="AC7" s="9"/>
      <c r="AD7" s="22" t="str">
        <f>IF(COUNT(Z7,AA7,AC7)=0,"",ROUND(Z7*'Scoring Guide'!$B$5+AA7*'Scoring Guide'!$B$6+AB7*'Scoring Guide'!$B$7+AC7*'Scoring Guide'!$B$8,2))</f>
        <v/>
      </c>
      <c r="AE7" s="23" t="str">
        <f>IF(AD7="","Not scored",IF(AD7&gt;='Scoring Guide'!$B$11,"Tier 1 - Priority",IF(AD7&gt;='Scoring Guide'!$B$12,"Tier 2 - Develop",IF(AD7&gt;='Scoring Guide'!$B$13,"Tier 3 - Monitor","Tier 4 - Deprioritise"))))</f>
        <v>Not scored</v>
      </c>
    </row>
    <row r="8">
      <c r="A8" s="9">
        <v>16.0</v>
      </c>
      <c r="B8" s="11" t="s">
        <v>111</v>
      </c>
      <c r="C8" s="13" t="s">
        <v>44</v>
      </c>
      <c r="D8" s="13" t="s">
        <v>112</v>
      </c>
      <c r="E8" s="14">
        <v>1.18E8</v>
      </c>
      <c r="F8" s="9" t="str">
        <f t="shared" si="1"/>
        <v>Over 100 m</v>
      </c>
      <c r="G8" s="14">
        <v>3.8E11</v>
      </c>
      <c r="H8" s="14">
        <f t="shared" si="2"/>
        <v>3220</v>
      </c>
      <c r="I8" s="9" t="str">
        <f t="shared" si="3"/>
        <v>Lower-middle</v>
      </c>
      <c r="J8" s="9" t="s">
        <v>87</v>
      </c>
      <c r="K8" s="19" t="s">
        <v>88</v>
      </c>
      <c r="L8" s="19" t="s">
        <v>89</v>
      </c>
      <c r="M8" s="9" t="s">
        <v>87</v>
      </c>
      <c r="N8" s="9" t="s">
        <v>90</v>
      </c>
      <c r="O8" s="19" t="s">
        <v>91</v>
      </c>
      <c r="P8" s="9" t="s">
        <v>92</v>
      </c>
      <c r="Q8" s="13" t="s">
        <v>26</v>
      </c>
      <c r="R8" s="13" t="s">
        <v>113</v>
      </c>
      <c r="S8" s="19" t="s">
        <v>114</v>
      </c>
      <c r="T8" s="21"/>
      <c r="U8" s="21"/>
      <c r="V8" s="21"/>
      <c r="W8" s="21"/>
      <c r="X8" s="21"/>
      <c r="Y8" s="21" t="str">
        <f t="shared" si="4"/>
        <v>Manan</v>
      </c>
      <c r="Z8" s="9"/>
      <c r="AA8" s="9"/>
      <c r="AB8" s="9">
        <f t="shared" si="5"/>
        <v>4</v>
      </c>
      <c r="AC8" s="9"/>
      <c r="AD8" s="22" t="str">
        <f>IF(COUNT(Z8,AA8,AC8)=0,"",ROUND(Z8*'Scoring Guide'!$B$5+AA8*'Scoring Guide'!$B$6+AB8*'Scoring Guide'!$B$7+AC8*'Scoring Guide'!$B$8,2))</f>
        <v/>
      </c>
      <c r="AE8" s="23" t="str">
        <f>IF(AD8="","Not scored",IF(AD8&gt;='Scoring Guide'!$B$11,"Tier 1 - Priority",IF(AD8&gt;='Scoring Guide'!$B$12,"Tier 2 - Develop",IF(AD8&gt;='Scoring Guide'!$B$13,"Tier 3 - Monitor","Tier 4 - Deprioritise"))))</f>
        <v>Not scored</v>
      </c>
    </row>
    <row r="9">
      <c r="A9" s="9">
        <v>6.0</v>
      </c>
      <c r="B9" s="11" t="s">
        <v>115</v>
      </c>
      <c r="C9" s="13" t="s">
        <v>44</v>
      </c>
      <c r="D9" s="13" t="s">
        <v>95</v>
      </c>
      <c r="E9" s="14">
        <v>1.44E7</v>
      </c>
      <c r="F9" s="9" t="str">
        <f t="shared" si="1"/>
        <v>5-25 m</v>
      </c>
      <c r="G9" s="14">
        <v>2.6E9</v>
      </c>
      <c r="H9" s="14">
        <f t="shared" si="2"/>
        <v>181</v>
      </c>
      <c r="I9" s="9" t="str">
        <f t="shared" si="3"/>
        <v>Low income</v>
      </c>
      <c r="J9" s="9" t="s">
        <v>87</v>
      </c>
      <c r="K9" s="19" t="s">
        <v>88</v>
      </c>
      <c r="L9" s="19" t="s">
        <v>89</v>
      </c>
      <c r="M9" s="9" t="s">
        <v>87</v>
      </c>
      <c r="N9" s="9" t="s">
        <v>108</v>
      </c>
      <c r="O9" s="19" t="s">
        <v>91</v>
      </c>
      <c r="P9" s="9" t="s">
        <v>92</v>
      </c>
      <c r="Q9" s="13" t="s">
        <v>26</v>
      </c>
      <c r="R9" s="13" t="s">
        <v>105</v>
      </c>
      <c r="S9" s="19"/>
      <c r="T9" s="21"/>
      <c r="U9" s="21"/>
      <c r="V9" s="21"/>
      <c r="W9" s="21"/>
      <c r="X9" s="21"/>
      <c r="Y9" s="21" t="str">
        <f t="shared" si="4"/>
        <v>Manan</v>
      </c>
      <c r="Z9" s="9"/>
      <c r="AA9" s="9"/>
      <c r="AB9" s="9">
        <f t="shared" si="5"/>
        <v>4</v>
      </c>
      <c r="AC9" s="9"/>
      <c r="AD9" s="22" t="str">
        <f>IF(COUNT(Z9,AA9,AC9)=0,"",ROUND(Z9*'Scoring Guide'!$B$5+AA9*'Scoring Guide'!$B$6+AB9*'Scoring Guide'!$B$7+AC9*'Scoring Guide'!$B$8,2))</f>
        <v/>
      </c>
      <c r="AE9" s="23" t="str">
        <f>IF(AD9="","Not scored",IF(AD9&gt;='Scoring Guide'!$B$11,"Tier 1 - Priority",IF(AD9&gt;='Scoring Guide'!$B$12,"Tier 2 - Develop",IF(AD9&gt;='Scoring Guide'!$B$13,"Tier 3 - Monitor","Tier 4 - Deprioritise"))))</f>
        <v>Not scored</v>
      </c>
    </row>
    <row r="10">
      <c r="A10" s="9">
        <v>9.0</v>
      </c>
      <c r="B10" s="11" t="s">
        <v>117</v>
      </c>
      <c r="C10" s="13" t="s">
        <v>44</v>
      </c>
      <c r="D10" s="13" t="s">
        <v>54</v>
      </c>
      <c r="E10" s="14">
        <v>5700000.0</v>
      </c>
      <c r="F10" s="9" t="str">
        <f t="shared" si="1"/>
        <v>5-25 m</v>
      </c>
      <c r="G10" s="14">
        <v>2.8E9</v>
      </c>
      <c r="H10" s="14">
        <f t="shared" si="2"/>
        <v>491</v>
      </c>
      <c r="I10" s="9" t="str">
        <f t="shared" si="3"/>
        <v>Low income</v>
      </c>
      <c r="J10" s="9" t="s">
        <v>87</v>
      </c>
      <c r="K10" s="19" t="s">
        <v>88</v>
      </c>
      <c r="L10" s="19" t="s">
        <v>89</v>
      </c>
      <c r="M10" s="9" t="s">
        <v>87</v>
      </c>
      <c r="N10" s="9" t="s">
        <v>108</v>
      </c>
      <c r="O10" s="19" t="s">
        <v>91</v>
      </c>
      <c r="P10" s="9" t="s">
        <v>92</v>
      </c>
      <c r="Q10" s="13" t="s">
        <v>26</v>
      </c>
      <c r="R10" s="13" t="s">
        <v>105</v>
      </c>
      <c r="S10" s="19"/>
      <c r="T10" s="21"/>
      <c r="U10" s="21"/>
      <c r="V10" s="21"/>
      <c r="W10" s="21"/>
      <c r="X10" s="21"/>
      <c r="Y10" s="21" t="str">
        <f t="shared" si="4"/>
        <v>Manan</v>
      </c>
      <c r="Z10" s="9"/>
      <c r="AA10" s="9"/>
      <c r="AB10" s="9">
        <f t="shared" si="5"/>
        <v>4</v>
      </c>
      <c r="AC10" s="9"/>
      <c r="AD10" s="22" t="str">
        <f>IF(COUNT(Z10,AA10,AC10)=0,"",ROUND(Z10*'Scoring Guide'!$B$5+AA10*'Scoring Guide'!$B$6+AB10*'Scoring Guide'!$B$7+AC10*'Scoring Guide'!$B$8,2))</f>
        <v/>
      </c>
      <c r="AE10" s="23" t="str">
        <f>IF(AD10="","Not scored",IF(AD10&gt;='Scoring Guide'!$B$11,"Tier 1 - Priority",IF(AD10&gt;='Scoring Guide'!$B$12,"Tier 2 - Develop",IF(AD10&gt;='Scoring Guide'!$B$13,"Tier 3 - Monitor","Tier 4 - Deprioritise"))))</f>
        <v>Not scored</v>
      </c>
    </row>
    <row r="11">
      <c r="A11" s="9">
        <v>28.0</v>
      </c>
      <c r="B11" s="11" t="s">
        <v>118</v>
      </c>
      <c r="C11" s="13" t="s">
        <v>44</v>
      </c>
      <c r="D11" s="13" t="s">
        <v>102</v>
      </c>
      <c r="E11" s="14">
        <v>5700000.0</v>
      </c>
      <c r="F11" s="9" t="str">
        <f t="shared" si="1"/>
        <v>5-25 m</v>
      </c>
      <c r="G11" s="14">
        <v>4.6E9</v>
      </c>
      <c r="H11" s="14">
        <f t="shared" si="2"/>
        <v>807</v>
      </c>
      <c r="I11" s="9" t="str">
        <f t="shared" si="3"/>
        <v>Low income</v>
      </c>
      <c r="J11" s="9" t="s">
        <v>87</v>
      </c>
      <c r="K11" s="19" t="s">
        <v>88</v>
      </c>
      <c r="L11" s="19" t="s">
        <v>89</v>
      </c>
      <c r="M11" s="9" t="s">
        <v>87</v>
      </c>
      <c r="N11" s="9" t="s">
        <v>90</v>
      </c>
      <c r="O11" s="19" t="s">
        <v>103</v>
      </c>
      <c r="P11" s="9" t="s">
        <v>92</v>
      </c>
      <c r="Q11" s="13" t="s">
        <v>26</v>
      </c>
      <c r="R11" s="13" t="s">
        <v>109</v>
      </c>
      <c r="S11" s="19"/>
      <c r="T11" s="21"/>
      <c r="U11" s="21"/>
      <c r="V11" s="21"/>
      <c r="W11" s="21"/>
      <c r="X11" s="21"/>
      <c r="Y11" s="21" t="str">
        <f t="shared" si="4"/>
        <v>Manan</v>
      </c>
      <c r="Z11" s="9"/>
      <c r="AA11" s="9"/>
      <c r="AB11" s="9">
        <f t="shared" si="5"/>
        <v>4</v>
      </c>
      <c r="AC11" s="9"/>
      <c r="AD11" s="22" t="str">
        <f>IF(COUNT(Z11,AA11,AC11)=0,"",ROUND(Z11*'Scoring Guide'!$B$5+AA11*'Scoring Guide'!$B$6+AB11*'Scoring Guide'!$B$7+AC11*'Scoring Guide'!$B$8,2))</f>
        <v/>
      </c>
      <c r="AE11" s="23" t="str">
        <f>IF(AD11="","Not scored",IF(AD11&gt;='Scoring Guide'!$B$11,"Tier 1 - Priority",IF(AD11&gt;='Scoring Guide'!$B$12,"Tier 2 - Develop",IF(AD11&gt;='Scoring Guide'!$B$13,"Tier 3 - Monitor","Tier 4 - Deprioritise"))))</f>
        <v>Not scored</v>
      </c>
    </row>
    <row r="12">
      <c r="A12" s="9">
        <v>47.0</v>
      </c>
      <c r="B12" s="11" t="s">
        <v>119</v>
      </c>
      <c r="C12" s="13" t="s">
        <v>44</v>
      </c>
      <c r="D12" s="13" t="s">
        <v>95</v>
      </c>
      <c r="E12" s="14">
        <v>1.2E7</v>
      </c>
      <c r="F12" s="9" t="str">
        <f t="shared" si="1"/>
        <v>5-25 m</v>
      </c>
      <c r="G12" s="14">
        <v>6.0E9</v>
      </c>
      <c r="H12" s="14">
        <f t="shared" si="2"/>
        <v>500</v>
      </c>
      <c r="I12" s="9" t="str">
        <f t="shared" si="3"/>
        <v>Low income</v>
      </c>
      <c r="J12" s="9" t="s">
        <v>87</v>
      </c>
      <c r="K12" s="19" t="s">
        <v>88</v>
      </c>
      <c r="L12" s="19" t="s">
        <v>89</v>
      </c>
      <c r="M12" s="9" t="s">
        <v>87</v>
      </c>
      <c r="N12" s="9" t="s">
        <v>108</v>
      </c>
      <c r="O12" s="19" t="s">
        <v>91</v>
      </c>
      <c r="P12" s="9" t="s">
        <v>92</v>
      </c>
      <c r="Q12" s="13" t="s">
        <v>26</v>
      </c>
      <c r="R12" s="13" t="s">
        <v>109</v>
      </c>
      <c r="S12" s="19"/>
      <c r="T12" s="21"/>
      <c r="U12" s="21"/>
      <c r="V12" s="21"/>
      <c r="W12" s="21"/>
      <c r="X12" s="21"/>
      <c r="Y12" s="21" t="str">
        <f t="shared" si="4"/>
        <v>Manan</v>
      </c>
      <c r="Z12" s="9"/>
      <c r="AA12" s="9"/>
      <c r="AB12" s="9">
        <f t="shared" si="5"/>
        <v>4</v>
      </c>
      <c r="AC12" s="9"/>
      <c r="AD12" s="22" t="str">
        <f>IF(COUNT(Z12,AA12,AC12)=0,"",ROUND(Z12*'Scoring Guide'!$B$5+AA12*'Scoring Guide'!$B$6+AB12*'Scoring Guide'!$B$7+AC12*'Scoring Guide'!$B$8,2))</f>
        <v/>
      </c>
      <c r="AE12" s="23" t="str">
        <f>IF(AD12="","Not scored",IF(AD12&gt;='Scoring Guide'!$B$11,"Tier 1 - Priority",IF(AD12&gt;='Scoring Guide'!$B$12,"Tier 2 - Develop",IF(AD12&gt;='Scoring Guide'!$B$13,"Tier 3 - Monitor","Tier 4 - Deprioritise"))))</f>
        <v>Not scored</v>
      </c>
    </row>
    <row r="13">
      <c r="A13" s="9">
        <v>44.0</v>
      </c>
      <c r="B13" s="11" t="s">
        <v>122</v>
      </c>
      <c r="C13" s="13" t="s">
        <v>44</v>
      </c>
      <c r="D13" s="13" t="s">
        <v>102</v>
      </c>
      <c r="E13" s="14">
        <v>8900000.0</v>
      </c>
      <c r="F13" s="9" t="str">
        <f t="shared" si="1"/>
        <v>5-25 m</v>
      </c>
      <c r="G13" s="14">
        <v>6.4E9</v>
      </c>
      <c r="H13" s="14">
        <f t="shared" si="2"/>
        <v>719</v>
      </c>
      <c r="I13" s="9" t="str">
        <f t="shared" si="3"/>
        <v>Low income</v>
      </c>
      <c r="J13" s="9" t="s">
        <v>87</v>
      </c>
      <c r="K13" s="19" t="s">
        <v>88</v>
      </c>
      <c r="L13" s="19" t="s">
        <v>89</v>
      </c>
      <c r="M13" s="9" t="s">
        <v>87</v>
      </c>
      <c r="N13" s="9" t="s">
        <v>90</v>
      </c>
      <c r="O13" s="19" t="s">
        <v>103</v>
      </c>
      <c r="P13" s="9" t="s">
        <v>92</v>
      </c>
      <c r="Q13" s="13" t="s">
        <v>26</v>
      </c>
      <c r="R13" s="13" t="s">
        <v>109</v>
      </c>
      <c r="S13" s="19"/>
      <c r="T13" s="21"/>
      <c r="U13" s="21"/>
      <c r="V13" s="21"/>
      <c r="W13" s="21"/>
      <c r="X13" s="21"/>
      <c r="Y13" s="21" t="str">
        <f t="shared" si="4"/>
        <v>Manan</v>
      </c>
      <c r="Z13" s="9"/>
      <c r="AA13" s="9"/>
      <c r="AB13" s="9">
        <f t="shared" si="5"/>
        <v>4</v>
      </c>
      <c r="AC13" s="9"/>
      <c r="AD13" s="22" t="str">
        <f>IF(COUNT(Z13,AA13,AC13)=0,"",ROUND(Z13*'Scoring Guide'!$B$5+AA13*'Scoring Guide'!$B$6+AB13*'Scoring Guide'!$B$7+AC13*'Scoring Guide'!$B$8,2))</f>
        <v/>
      </c>
      <c r="AE13" s="23" t="str">
        <f>IF(AD13="","Not scored",IF(AD13&gt;='Scoring Guide'!$B$11,"Tier 1 - Priority",IF(AD13&gt;='Scoring Guide'!$B$12,"Tier 2 - Develop",IF(AD13&gt;='Scoring Guide'!$B$13,"Tier 3 - Monitor","Tier 4 - Deprioritise"))))</f>
        <v>Not scored</v>
      </c>
    </row>
    <row r="14">
      <c r="A14" s="9">
        <v>50.0</v>
      </c>
      <c r="B14" s="11" t="s">
        <v>127</v>
      </c>
      <c r="C14" s="13" t="s">
        <v>44</v>
      </c>
      <c r="D14" s="13" t="s">
        <v>102</v>
      </c>
      <c r="E14" s="14">
        <v>9800000.0</v>
      </c>
      <c r="F14" s="9" t="str">
        <f t="shared" si="1"/>
        <v>5-25 m</v>
      </c>
      <c r="G14" s="14">
        <v>9.5E9</v>
      </c>
      <c r="H14" s="14">
        <f t="shared" si="2"/>
        <v>969</v>
      </c>
      <c r="I14" s="9" t="str">
        <f t="shared" si="3"/>
        <v>Low income</v>
      </c>
      <c r="J14" s="9" t="s">
        <v>87</v>
      </c>
      <c r="K14" s="19" t="s">
        <v>88</v>
      </c>
      <c r="L14" s="19" t="s">
        <v>89</v>
      </c>
      <c r="M14" s="9" t="s">
        <v>87</v>
      </c>
      <c r="N14" s="9" t="s">
        <v>90</v>
      </c>
      <c r="O14" s="19" t="s">
        <v>103</v>
      </c>
      <c r="P14" s="9" t="s">
        <v>92</v>
      </c>
      <c r="Q14" s="13" t="s">
        <v>26</v>
      </c>
      <c r="R14" s="13" t="s">
        <v>105</v>
      </c>
      <c r="S14" s="19"/>
      <c r="T14" s="21"/>
      <c r="U14" s="21"/>
      <c r="V14" s="21"/>
      <c r="W14" s="21"/>
      <c r="X14" s="21"/>
      <c r="Y14" s="21" t="str">
        <f t="shared" si="4"/>
        <v>Manan</v>
      </c>
      <c r="Z14" s="9"/>
      <c r="AA14" s="9"/>
      <c r="AB14" s="9">
        <f t="shared" si="5"/>
        <v>4</v>
      </c>
      <c r="AC14" s="9"/>
      <c r="AD14" s="22" t="str">
        <f>IF(COUNT(Z14,AA14,AC14)=0,"",ROUND(Z14*'Scoring Guide'!$B$5+AA14*'Scoring Guide'!$B$6+AB14*'Scoring Guide'!$B$7+AC14*'Scoring Guide'!$B$8,2))</f>
        <v/>
      </c>
      <c r="AE14" s="23" t="str">
        <f>IF(AD14="","Not scored",IF(AD14&gt;='Scoring Guide'!$B$11,"Tier 1 - Priority",IF(AD14&gt;='Scoring Guide'!$B$12,"Tier 2 - Develop",IF(AD14&gt;='Scoring Guide'!$B$13,"Tier 3 - Monitor","Tier 4 - Deprioritise"))))</f>
        <v>Not scored</v>
      </c>
    </row>
    <row r="15">
      <c r="A15" s="9">
        <v>33.0</v>
      </c>
      <c r="B15" s="11" t="s">
        <v>128</v>
      </c>
      <c r="C15" s="13" t="s">
        <v>44</v>
      </c>
      <c r="D15" s="13" t="s">
        <v>102</v>
      </c>
      <c r="E15" s="14">
        <v>5300000.0</v>
      </c>
      <c r="F15" s="9" t="str">
        <f t="shared" si="1"/>
        <v>5-25 m</v>
      </c>
      <c r="G15" s="14">
        <v>1.11E10</v>
      </c>
      <c r="H15" s="14">
        <f t="shared" si="2"/>
        <v>2094</v>
      </c>
      <c r="I15" s="9" t="str">
        <f t="shared" si="3"/>
        <v>Lower-middle</v>
      </c>
      <c r="J15" s="9" t="s">
        <v>87</v>
      </c>
      <c r="K15" s="19" t="s">
        <v>88</v>
      </c>
      <c r="L15" s="19" t="s">
        <v>89</v>
      </c>
      <c r="M15" s="9" t="s">
        <v>87</v>
      </c>
      <c r="N15" s="9" t="s">
        <v>90</v>
      </c>
      <c r="O15" s="19" t="s">
        <v>91</v>
      </c>
      <c r="P15" s="9" t="s">
        <v>92</v>
      </c>
      <c r="Q15" s="13" t="s">
        <v>26</v>
      </c>
      <c r="R15" s="13" t="s">
        <v>97</v>
      </c>
      <c r="S15" s="19"/>
      <c r="T15" s="21"/>
      <c r="U15" s="21"/>
      <c r="V15" s="21"/>
      <c r="W15" s="21"/>
      <c r="X15" s="21"/>
      <c r="Y15" s="21" t="str">
        <f t="shared" si="4"/>
        <v>Manan</v>
      </c>
      <c r="Z15" s="9"/>
      <c r="AA15" s="9"/>
      <c r="AB15" s="9">
        <f t="shared" si="5"/>
        <v>4</v>
      </c>
      <c r="AC15" s="9"/>
      <c r="AD15" s="22" t="str">
        <f>IF(COUNT(Z15,AA15,AC15)=0,"",ROUND(Z15*'Scoring Guide'!$B$5+AA15*'Scoring Guide'!$B$6+AB15*'Scoring Guide'!$B$7+AC15*'Scoring Guide'!$B$8,2))</f>
        <v/>
      </c>
      <c r="AE15" s="23" t="str">
        <f>IF(AD15="","Not scored",IF(AD15&gt;='Scoring Guide'!$B$11,"Tier 1 - Priority",IF(AD15&gt;='Scoring Guide'!$B$12,"Tier 2 - Develop",IF(AD15&gt;='Scoring Guide'!$B$13,"Tier 3 - Monitor","Tier 4 - Deprioritise"))))</f>
        <v>Not scored</v>
      </c>
    </row>
    <row r="16">
      <c r="A16" s="9">
        <v>31.0</v>
      </c>
      <c r="B16" s="11" t="s">
        <v>129</v>
      </c>
      <c r="C16" s="13" t="s">
        <v>44</v>
      </c>
      <c r="D16" s="13" t="s">
        <v>95</v>
      </c>
      <c r="E16" s="14">
        <v>2.2E7</v>
      </c>
      <c r="F16" s="9" t="str">
        <f t="shared" si="1"/>
        <v>5-25 m</v>
      </c>
      <c r="G16" s="14">
        <v>1.18E10</v>
      </c>
      <c r="H16" s="14">
        <f t="shared" si="2"/>
        <v>536</v>
      </c>
      <c r="I16" s="9" t="str">
        <f t="shared" si="3"/>
        <v>Low income</v>
      </c>
      <c r="J16" s="9" t="s">
        <v>87</v>
      </c>
      <c r="K16" s="19" t="s">
        <v>88</v>
      </c>
      <c r="L16" s="19" t="s">
        <v>89</v>
      </c>
      <c r="M16" s="9" t="s">
        <v>87</v>
      </c>
      <c r="N16" s="9" t="s">
        <v>108</v>
      </c>
      <c r="O16" s="19" t="s">
        <v>91</v>
      </c>
      <c r="P16" s="9" t="s">
        <v>92</v>
      </c>
      <c r="Q16" s="13" t="s">
        <v>26</v>
      </c>
      <c r="R16" s="13" t="s">
        <v>109</v>
      </c>
      <c r="S16" s="19"/>
      <c r="T16" s="21"/>
      <c r="U16" s="21"/>
      <c r="V16" s="21"/>
      <c r="W16" s="21"/>
      <c r="X16" s="21"/>
      <c r="Y16" s="21" t="str">
        <f t="shared" si="4"/>
        <v>Manan</v>
      </c>
      <c r="Z16" s="9"/>
      <c r="AA16" s="9"/>
      <c r="AB16" s="9">
        <f t="shared" si="5"/>
        <v>4</v>
      </c>
      <c r="AC16" s="9"/>
      <c r="AD16" s="22" t="str">
        <f>IF(COUNT(Z16,AA16,AC16)=0,"",ROUND(Z16*'Scoring Guide'!$B$5+AA16*'Scoring Guide'!$B$6+AB16*'Scoring Guide'!$B$7+AC16*'Scoring Guide'!$B$8,2))</f>
        <v/>
      </c>
      <c r="AE16" s="23" t="str">
        <f>IF(AD16="","Not scored",IF(AD16&gt;='Scoring Guide'!$B$11,"Tier 1 - Priority",IF(AD16&gt;='Scoring Guide'!$B$12,"Tier 2 - Develop",IF(AD16&gt;='Scoring Guide'!$B$13,"Tier 3 - Monitor","Tier 4 - Deprioritise"))))</f>
        <v>Not scored</v>
      </c>
    </row>
    <row r="17">
      <c r="A17" s="9">
        <v>45.0</v>
      </c>
      <c r="B17" s="11" t="s">
        <v>130</v>
      </c>
      <c r="C17" s="13" t="s">
        <v>44</v>
      </c>
      <c r="D17" s="13" t="s">
        <v>95</v>
      </c>
      <c r="E17" s="14">
        <v>1.96E7</v>
      </c>
      <c r="F17" s="9" t="str">
        <f t="shared" si="1"/>
        <v>5-25 m</v>
      </c>
      <c r="G17" s="14">
        <v>1.2E10</v>
      </c>
      <c r="H17" s="14">
        <f t="shared" si="2"/>
        <v>612</v>
      </c>
      <c r="I17" s="9" t="str">
        <f t="shared" si="3"/>
        <v>Low income</v>
      </c>
      <c r="J17" s="9" t="s">
        <v>87</v>
      </c>
      <c r="K17" s="19" t="s">
        <v>88</v>
      </c>
      <c r="L17" s="19" t="s">
        <v>89</v>
      </c>
      <c r="M17" s="9" t="s">
        <v>87</v>
      </c>
      <c r="N17" s="9" t="s">
        <v>90</v>
      </c>
      <c r="O17" s="19" t="s">
        <v>91</v>
      </c>
      <c r="P17" s="9" t="s">
        <v>92</v>
      </c>
      <c r="Q17" s="13" t="s">
        <v>26</v>
      </c>
      <c r="R17" s="13" t="s">
        <v>113</v>
      </c>
      <c r="S17" s="19"/>
      <c r="T17" s="21"/>
      <c r="U17" s="21"/>
      <c r="V17" s="21"/>
      <c r="W17" s="21"/>
      <c r="X17" s="21"/>
      <c r="Y17" s="21" t="str">
        <f t="shared" si="4"/>
        <v>Manan</v>
      </c>
      <c r="Z17" s="9"/>
      <c r="AA17" s="9"/>
      <c r="AB17" s="9">
        <f t="shared" si="5"/>
        <v>4</v>
      </c>
      <c r="AC17" s="9"/>
      <c r="AD17" s="22" t="str">
        <f>IF(COUNT(Z17,AA17,AC17)=0,"",ROUND(Z17*'Scoring Guide'!$B$5+AA17*'Scoring Guide'!$B$6+AB17*'Scoring Guide'!$B$7+AC17*'Scoring Guide'!$B$8,2))</f>
        <v/>
      </c>
      <c r="AE17" s="23" t="str">
        <f>IF(AD17="","Not scored",IF(AD17&gt;='Scoring Guide'!$B$11,"Tier 1 - Priority",IF(AD17&gt;='Scoring Guide'!$B$12,"Tier 2 - Develop",IF(AD17&gt;='Scoring Guide'!$B$13,"Tier 3 - Monitor","Tier 4 - Deprioritise"))))</f>
        <v>Not scored</v>
      </c>
    </row>
    <row r="18">
      <c r="A18" s="9">
        <v>10.0</v>
      </c>
      <c r="B18" s="11" t="s">
        <v>131</v>
      </c>
      <c r="C18" s="13" t="s">
        <v>44</v>
      </c>
      <c r="D18" s="13" t="s">
        <v>54</v>
      </c>
      <c r="E18" s="14">
        <v>2.03E7</v>
      </c>
      <c r="F18" s="9" t="str">
        <f t="shared" si="1"/>
        <v>5-25 m</v>
      </c>
      <c r="G18" s="14">
        <v>1.34E10</v>
      </c>
      <c r="H18" s="14">
        <f t="shared" si="2"/>
        <v>660</v>
      </c>
      <c r="I18" s="9" t="str">
        <f t="shared" si="3"/>
        <v>Low income</v>
      </c>
      <c r="J18" s="9" t="s">
        <v>87</v>
      </c>
      <c r="K18" s="19" t="s">
        <v>88</v>
      </c>
      <c r="L18" s="19" t="s">
        <v>89</v>
      </c>
      <c r="M18" s="9" t="s">
        <v>87</v>
      </c>
      <c r="N18" s="9" t="s">
        <v>108</v>
      </c>
      <c r="O18" s="19" t="s">
        <v>91</v>
      </c>
      <c r="P18" s="9" t="s">
        <v>92</v>
      </c>
      <c r="Q18" s="13" t="s">
        <v>26</v>
      </c>
      <c r="R18" s="13" t="s">
        <v>105</v>
      </c>
      <c r="S18" s="19"/>
      <c r="T18" s="21"/>
      <c r="U18" s="21"/>
      <c r="V18" s="21"/>
      <c r="W18" s="21"/>
      <c r="X18" s="21"/>
      <c r="Y18" s="21" t="str">
        <f t="shared" si="4"/>
        <v>Manan</v>
      </c>
      <c r="Z18" s="9"/>
      <c r="AA18" s="9"/>
      <c r="AB18" s="9">
        <f t="shared" si="5"/>
        <v>4</v>
      </c>
      <c r="AC18" s="9"/>
      <c r="AD18" s="22" t="str">
        <f>IF(COUNT(Z18,AA18,AC18)=0,"",ROUND(Z18*'Scoring Guide'!$B$5+AA18*'Scoring Guide'!$B$6+AB18*'Scoring Guide'!$B$7+AC18*'Scoring Guide'!$B$8,2))</f>
        <v/>
      </c>
      <c r="AE18" s="23" t="str">
        <f>IF(AD18="","Not scored",IF(AD18&gt;='Scoring Guide'!$B$11,"Tier 1 - Priority",IF(AD18&gt;='Scoring Guide'!$B$12,"Tier 2 - Develop",IF(AD18&gt;='Scoring Guide'!$B$13,"Tier 3 - Monitor","Tier 4 - Deprioritise"))))</f>
        <v>Not scored</v>
      </c>
    </row>
    <row r="19">
      <c r="A19" s="9">
        <v>40.0</v>
      </c>
      <c r="B19" s="11" t="s">
        <v>132</v>
      </c>
      <c r="C19" s="13" t="s">
        <v>44</v>
      </c>
      <c r="D19" s="13" t="s">
        <v>95</v>
      </c>
      <c r="E19" s="14">
        <v>1.45E7</v>
      </c>
      <c r="F19" s="9" t="str">
        <f t="shared" si="1"/>
        <v>5-25 m</v>
      </c>
      <c r="G19" s="14">
        <v>1.41E10</v>
      </c>
      <c r="H19" s="14">
        <f t="shared" si="2"/>
        <v>972</v>
      </c>
      <c r="I19" s="9" t="str">
        <f t="shared" si="3"/>
        <v>Low income</v>
      </c>
      <c r="J19" s="9" t="s">
        <v>87</v>
      </c>
      <c r="K19" s="19" t="s">
        <v>88</v>
      </c>
      <c r="L19" s="19" t="s">
        <v>89</v>
      </c>
      <c r="M19" s="9" t="s">
        <v>87</v>
      </c>
      <c r="N19" s="9" t="s">
        <v>108</v>
      </c>
      <c r="O19" s="19" t="s">
        <v>91</v>
      </c>
      <c r="P19" s="9" t="s">
        <v>92</v>
      </c>
      <c r="Q19" s="13" t="s">
        <v>26</v>
      </c>
      <c r="R19" s="13" t="s">
        <v>109</v>
      </c>
      <c r="S19" s="19"/>
      <c r="T19" s="21"/>
      <c r="U19" s="21"/>
      <c r="V19" s="21"/>
      <c r="W19" s="21"/>
      <c r="X19" s="21"/>
      <c r="Y19" s="21" t="str">
        <f t="shared" si="4"/>
        <v>Manan</v>
      </c>
      <c r="Z19" s="9"/>
      <c r="AA19" s="9"/>
      <c r="AB19" s="9">
        <f t="shared" si="5"/>
        <v>4</v>
      </c>
      <c r="AC19" s="9"/>
      <c r="AD19" s="22" t="str">
        <f>IF(COUNT(Z19,AA19,AC19)=0,"",ROUND(Z19*'Scoring Guide'!$B$5+AA19*'Scoring Guide'!$B$6+AB19*'Scoring Guide'!$B$7+AC19*'Scoring Guide'!$B$8,2))</f>
        <v/>
      </c>
      <c r="AE19" s="23" t="str">
        <f>IF(AD19="","Not scored",IF(AD19&gt;='Scoring Guide'!$B$11,"Tier 1 - Priority",IF(AD19&gt;='Scoring Guide'!$B$12,"Tier 2 - Develop",IF(AD19&gt;='Scoring Guide'!$B$13,"Tier 3 - Monitor","Tier 4 - Deprioritise"))))</f>
        <v>Not scored</v>
      </c>
    </row>
    <row r="20">
      <c r="A20" s="9">
        <v>13.0</v>
      </c>
      <c r="B20" s="11" t="s">
        <v>133</v>
      </c>
      <c r="C20" s="13" t="s">
        <v>44</v>
      </c>
      <c r="D20" s="13" t="s">
        <v>54</v>
      </c>
      <c r="E20" s="14">
        <v>6400000.0</v>
      </c>
      <c r="F20" s="9" t="str">
        <f t="shared" si="1"/>
        <v>5-25 m</v>
      </c>
      <c r="G20" s="14">
        <v>1.55E10</v>
      </c>
      <c r="H20" s="14">
        <f t="shared" si="2"/>
        <v>2422</v>
      </c>
      <c r="I20" s="9" t="str">
        <f t="shared" si="3"/>
        <v>Lower-middle</v>
      </c>
      <c r="J20" s="9" t="s">
        <v>87</v>
      </c>
      <c r="K20" s="19" t="s">
        <v>88</v>
      </c>
      <c r="L20" s="19" t="s">
        <v>89</v>
      </c>
      <c r="M20" s="9" t="s">
        <v>87</v>
      </c>
      <c r="N20" s="9" t="s">
        <v>90</v>
      </c>
      <c r="O20" s="19" t="s">
        <v>91</v>
      </c>
      <c r="P20" s="9" t="s">
        <v>92</v>
      </c>
      <c r="Q20" s="13" t="s">
        <v>26</v>
      </c>
      <c r="R20" s="13" t="s">
        <v>105</v>
      </c>
      <c r="S20" s="19"/>
      <c r="T20" s="21"/>
      <c r="U20" s="21"/>
      <c r="V20" s="21"/>
      <c r="W20" s="21"/>
      <c r="X20" s="21"/>
      <c r="Y20" s="21" t="str">
        <f t="shared" si="4"/>
        <v>Manan</v>
      </c>
      <c r="Z20" s="9"/>
      <c r="AA20" s="9"/>
      <c r="AB20" s="9">
        <f t="shared" si="5"/>
        <v>4</v>
      </c>
      <c r="AC20" s="9"/>
      <c r="AD20" s="22" t="str">
        <f>IF(COUNT(Z20,AA20,AC20)=0,"",ROUND(Z20*'Scoring Guide'!$B$5+AA20*'Scoring Guide'!$B$6+AB20*'Scoring Guide'!$B$7+AC20*'Scoring Guide'!$B$8,2))</f>
        <v/>
      </c>
      <c r="AE20" s="23" t="str">
        <f>IF(AD20="","Not scored",IF(AD20&gt;='Scoring Guide'!$B$11,"Tier 1 - Priority",IF(AD20&gt;='Scoring Guide'!$B$12,"Tier 2 - Develop",IF(AD20&gt;='Scoring Guide'!$B$13,"Tier 3 - Monitor","Tier 4 - Deprioritise"))))</f>
        <v>Not scored</v>
      </c>
    </row>
    <row r="21" ht="15.75" customHeight="1">
      <c r="A21" s="9">
        <v>3.0</v>
      </c>
      <c r="B21" s="11" t="s">
        <v>134</v>
      </c>
      <c r="C21" s="13" t="s">
        <v>44</v>
      </c>
      <c r="D21" s="13" t="s">
        <v>102</v>
      </c>
      <c r="E21" s="14">
        <v>1.47E7</v>
      </c>
      <c r="F21" s="9" t="str">
        <f t="shared" si="1"/>
        <v>5-25 m</v>
      </c>
      <c r="G21" s="14">
        <v>2.14E10</v>
      </c>
      <c r="H21" s="14">
        <f t="shared" si="2"/>
        <v>1456</v>
      </c>
      <c r="I21" s="9" t="str">
        <f t="shared" si="3"/>
        <v>Lower-middle</v>
      </c>
      <c r="J21" s="9" t="s">
        <v>87</v>
      </c>
      <c r="K21" s="19" t="s">
        <v>88</v>
      </c>
      <c r="L21" s="19" t="s">
        <v>89</v>
      </c>
      <c r="M21" s="9" t="s">
        <v>87</v>
      </c>
      <c r="N21" s="9" t="s">
        <v>90</v>
      </c>
      <c r="O21" s="19" t="s">
        <v>103</v>
      </c>
      <c r="P21" s="9" t="s">
        <v>92</v>
      </c>
      <c r="Q21" s="13" t="s">
        <v>26</v>
      </c>
      <c r="R21" s="13" t="s">
        <v>105</v>
      </c>
      <c r="S21" s="19"/>
      <c r="T21" s="21"/>
      <c r="U21" s="21"/>
      <c r="V21" s="21"/>
      <c r="W21" s="21"/>
      <c r="X21" s="21"/>
      <c r="Y21" s="21" t="str">
        <f t="shared" si="4"/>
        <v>Manan</v>
      </c>
      <c r="Z21" s="9"/>
      <c r="AA21" s="9"/>
      <c r="AB21" s="9">
        <f t="shared" si="5"/>
        <v>4</v>
      </c>
      <c r="AC21" s="9"/>
      <c r="AD21" s="22" t="str">
        <f>IF(COUNT(Z21,AA21,AC21)=0,"",ROUND(Z21*'Scoring Guide'!$B$5+AA21*'Scoring Guide'!$B$6+AB21*'Scoring Guide'!$B$7+AC21*'Scoring Guide'!$B$8,2))</f>
        <v/>
      </c>
      <c r="AE21" s="23" t="str">
        <f>IF(AD21="","Not scored",IF(AD21&gt;='Scoring Guide'!$B$11,"Tier 1 - Priority",IF(AD21&gt;='Scoring Guide'!$B$12,"Tier 2 - Develop",IF(AD21&gt;='Scoring Guide'!$B$13,"Tier 3 - Monitor","Tier 4 - Deprioritise"))))</f>
        <v>Not scored</v>
      </c>
    </row>
    <row r="22" ht="15.75" customHeight="1">
      <c r="A22" s="9">
        <v>5.0</v>
      </c>
      <c r="B22" s="11" t="s">
        <v>135</v>
      </c>
      <c r="C22" s="13" t="s">
        <v>44</v>
      </c>
      <c r="D22" s="13" t="s">
        <v>102</v>
      </c>
      <c r="E22" s="14">
        <v>2.41E7</v>
      </c>
      <c r="F22" s="9" t="str">
        <f t="shared" si="1"/>
        <v>5-25 m</v>
      </c>
      <c r="G22" s="14">
        <v>2.21E10</v>
      </c>
      <c r="H22" s="14">
        <f t="shared" si="2"/>
        <v>917</v>
      </c>
      <c r="I22" s="9" t="str">
        <f t="shared" si="3"/>
        <v>Low income</v>
      </c>
      <c r="J22" s="9" t="s">
        <v>87</v>
      </c>
      <c r="K22" s="19" t="s">
        <v>88</v>
      </c>
      <c r="L22" s="19" t="s">
        <v>89</v>
      </c>
      <c r="M22" s="9" t="s">
        <v>87</v>
      </c>
      <c r="N22" s="9" t="s">
        <v>108</v>
      </c>
      <c r="O22" s="19" t="s">
        <v>136</v>
      </c>
      <c r="P22" s="9" t="s">
        <v>92</v>
      </c>
      <c r="Q22" s="13" t="s">
        <v>26</v>
      </c>
      <c r="R22" s="13" t="s">
        <v>105</v>
      </c>
      <c r="S22" s="19"/>
      <c r="T22" s="21"/>
      <c r="U22" s="21"/>
      <c r="V22" s="21"/>
      <c r="W22" s="21"/>
      <c r="X22" s="21"/>
      <c r="Y22" s="21" t="str">
        <f t="shared" si="4"/>
        <v>Manan</v>
      </c>
      <c r="Z22" s="9"/>
      <c r="AA22" s="9"/>
      <c r="AB22" s="9">
        <f t="shared" si="5"/>
        <v>4</v>
      </c>
      <c r="AC22" s="9"/>
      <c r="AD22" s="22" t="str">
        <f>IF(COUNT(Z22,AA22,AC22)=0,"",ROUND(Z22*'Scoring Guide'!$B$5+AA22*'Scoring Guide'!$B$6+AB22*'Scoring Guide'!$B$7+AC22*'Scoring Guide'!$B$8,2))</f>
        <v/>
      </c>
      <c r="AE22" s="23" t="str">
        <f>IF(AD22="","Not scored",IF(AD22&gt;='Scoring Guide'!$B$11,"Tier 1 - Priority",IF(AD22&gt;='Scoring Guide'!$B$12,"Tier 2 - Develop",IF(AD22&gt;='Scoring Guide'!$B$13,"Tier 3 - Monitor","Tier 4 - Deprioritise"))))</f>
        <v>Not scored</v>
      </c>
    </row>
    <row r="23" ht="15.75" customHeight="1">
      <c r="A23" s="9">
        <v>24.0</v>
      </c>
      <c r="B23" s="11" t="s">
        <v>137</v>
      </c>
      <c r="C23" s="13" t="s">
        <v>44</v>
      </c>
      <c r="D23" s="13" t="s">
        <v>102</v>
      </c>
      <c r="E23" s="14">
        <v>1.52E7</v>
      </c>
      <c r="F23" s="9" t="str">
        <f t="shared" si="1"/>
        <v>5-25 m</v>
      </c>
      <c r="G23" s="14">
        <v>2.49E10</v>
      </c>
      <c r="H23" s="14">
        <f t="shared" si="2"/>
        <v>1638</v>
      </c>
      <c r="I23" s="9" t="str">
        <f t="shared" si="3"/>
        <v>Lower-middle</v>
      </c>
      <c r="J23" s="9" t="s">
        <v>87</v>
      </c>
      <c r="K23" s="19" t="s">
        <v>88</v>
      </c>
      <c r="L23" s="19" t="s">
        <v>89</v>
      </c>
      <c r="M23" s="9" t="s">
        <v>87</v>
      </c>
      <c r="N23" s="9" t="s">
        <v>90</v>
      </c>
      <c r="O23" s="19" t="s">
        <v>103</v>
      </c>
      <c r="P23" s="9" t="s">
        <v>92</v>
      </c>
      <c r="Q23" s="13" t="s">
        <v>26</v>
      </c>
      <c r="R23" s="13" t="s">
        <v>105</v>
      </c>
      <c r="S23" s="19"/>
      <c r="T23" s="21"/>
      <c r="U23" s="21"/>
      <c r="V23" s="21"/>
      <c r="W23" s="21"/>
      <c r="X23" s="21"/>
      <c r="Y23" s="21" t="str">
        <f t="shared" si="4"/>
        <v>Manan</v>
      </c>
      <c r="Z23" s="9"/>
      <c r="AA23" s="9"/>
      <c r="AB23" s="9">
        <f t="shared" si="5"/>
        <v>4</v>
      </c>
      <c r="AC23" s="9"/>
      <c r="AD23" s="22" t="str">
        <f>IF(COUNT(Z23,AA23,AC23)=0,"",ROUND(Z23*'Scoring Guide'!$B$5+AA23*'Scoring Guide'!$B$6+AB23*'Scoring Guide'!$B$7+AC23*'Scoring Guide'!$B$8,2))</f>
        <v/>
      </c>
      <c r="AE23" s="23" t="str">
        <f>IF(AD23="","Not scored",IF(AD23&gt;='Scoring Guide'!$B$11,"Tier 1 - Priority",IF(AD23&gt;='Scoring Guide'!$B$12,"Tier 2 - Develop",IF(AD23&gt;='Scoring Guide'!$B$13,"Tier 3 - Monitor","Tier 4 - Deprioritise"))))</f>
        <v>Not scored</v>
      </c>
    </row>
    <row r="24" ht="15.75" customHeight="1">
      <c r="A24" s="9">
        <v>53.0</v>
      </c>
      <c r="B24" s="11" t="s">
        <v>138</v>
      </c>
      <c r="C24" s="13" t="s">
        <v>44</v>
      </c>
      <c r="D24" s="13" t="s">
        <v>95</v>
      </c>
      <c r="E24" s="14">
        <v>2.13E7</v>
      </c>
      <c r="F24" s="9" t="str">
        <f t="shared" si="1"/>
        <v>5-25 m</v>
      </c>
      <c r="G24" s="14">
        <v>2.92E10</v>
      </c>
      <c r="H24" s="14">
        <f t="shared" si="2"/>
        <v>1371</v>
      </c>
      <c r="I24" s="9" t="str">
        <f t="shared" si="3"/>
        <v>Lower-middle</v>
      </c>
      <c r="J24" s="9" t="s">
        <v>87</v>
      </c>
      <c r="K24" s="19" t="s">
        <v>88</v>
      </c>
      <c r="L24" s="19" t="s">
        <v>89</v>
      </c>
      <c r="M24" s="9" t="s">
        <v>87</v>
      </c>
      <c r="N24" s="9" t="s">
        <v>108</v>
      </c>
      <c r="O24" s="19" t="s">
        <v>91</v>
      </c>
      <c r="P24" s="9" t="s">
        <v>92</v>
      </c>
      <c r="Q24" s="13" t="s">
        <v>26</v>
      </c>
      <c r="R24" s="13" t="s">
        <v>109</v>
      </c>
      <c r="S24" s="19"/>
      <c r="T24" s="21"/>
      <c r="U24" s="21"/>
      <c r="V24" s="21"/>
      <c r="W24" s="21"/>
      <c r="X24" s="21"/>
      <c r="Y24" s="21" t="str">
        <f t="shared" si="4"/>
        <v>Manan</v>
      </c>
      <c r="Z24" s="9"/>
      <c r="AA24" s="9"/>
      <c r="AB24" s="9">
        <f t="shared" si="5"/>
        <v>4</v>
      </c>
      <c r="AC24" s="9"/>
      <c r="AD24" s="22" t="str">
        <f>IF(COUNT(Z24,AA24,AC24)=0,"",ROUND(Z24*'Scoring Guide'!$B$5+AA24*'Scoring Guide'!$B$6+AB24*'Scoring Guide'!$B$7+AC24*'Scoring Guide'!$B$8,2))</f>
        <v/>
      </c>
      <c r="AE24" s="23" t="str">
        <f>IF(AD24="","Not scored",IF(AD24&gt;='Scoring Guide'!$B$11,"Tier 1 - Priority",IF(AD24&gt;='Scoring Guide'!$B$12,"Tier 2 - Develop",IF(AD24&gt;='Scoring Guide'!$B$13,"Tier 3 - Monitor","Tier 4 - Deprioritise"))))</f>
        <v>Not scored</v>
      </c>
    </row>
    <row r="25" ht="15.75" customHeight="1">
      <c r="A25" s="9">
        <v>42.0</v>
      </c>
      <c r="B25" s="11" t="s">
        <v>139</v>
      </c>
      <c r="C25" s="13" t="s">
        <v>44</v>
      </c>
      <c r="D25" s="13" t="s">
        <v>102</v>
      </c>
      <c r="E25" s="14">
        <v>1.9E7</v>
      </c>
      <c r="F25" s="9" t="str">
        <f t="shared" si="1"/>
        <v>5-25 m</v>
      </c>
      <c r="G25" s="14">
        <v>3.3E10</v>
      </c>
      <c r="H25" s="14">
        <f t="shared" si="2"/>
        <v>1737</v>
      </c>
      <c r="I25" s="9" t="str">
        <f t="shared" si="3"/>
        <v>Lower-middle</v>
      </c>
      <c r="J25" s="9" t="s">
        <v>87</v>
      </c>
      <c r="K25" s="19" t="s">
        <v>88</v>
      </c>
      <c r="L25" s="19" t="s">
        <v>89</v>
      </c>
      <c r="M25" s="9" t="s">
        <v>87</v>
      </c>
      <c r="N25" s="9" t="s">
        <v>90</v>
      </c>
      <c r="O25" s="19" t="s">
        <v>103</v>
      </c>
      <c r="P25" s="9" t="s">
        <v>92</v>
      </c>
      <c r="Q25" s="13" t="s">
        <v>26</v>
      </c>
      <c r="R25" s="13" t="s">
        <v>105</v>
      </c>
      <c r="S25" s="19"/>
      <c r="T25" s="21"/>
      <c r="U25" s="21"/>
      <c r="V25" s="21"/>
      <c r="W25" s="21"/>
      <c r="X25" s="21"/>
      <c r="Y25" s="21" t="str">
        <f t="shared" si="4"/>
        <v>Manan</v>
      </c>
      <c r="Z25" s="9"/>
      <c r="AA25" s="9"/>
      <c r="AB25" s="9">
        <f t="shared" si="5"/>
        <v>4</v>
      </c>
      <c r="AC25" s="9"/>
      <c r="AD25" s="22" t="str">
        <f>IF(COUNT(Z25,AA25,AC25)=0,"",ROUND(Z25*'Scoring Guide'!$B$5+AA25*'Scoring Guide'!$B$6+AB25*'Scoring Guide'!$B$7+AC25*'Scoring Guide'!$B$8,2))</f>
        <v/>
      </c>
      <c r="AE25" s="23" t="str">
        <f>IF(AD25="","Not scored",IF(AD25&gt;='Scoring Guide'!$B$11,"Tier 1 - Priority",IF(AD25&gt;='Scoring Guide'!$B$12,"Tier 2 - Develop",IF(AD25&gt;='Scoring Guide'!$B$13,"Tier 3 - Monitor","Tier 4 - Deprioritise"))))</f>
        <v>Not scored</v>
      </c>
    </row>
    <row r="26" ht="15.75" customHeight="1">
      <c r="A26" s="9">
        <v>54.0</v>
      </c>
      <c r="B26" s="11" t="s">
        <v>140</v>
      </c>
      <c r="C26" s="13" t="s">
        <v>44</v>
      </c>
      <c r="D26" s="13" t="s">
        <v>95</v>
      </c>
      <c r="E26" s="14">
        <v>1.7E7</v>
      </c>
      <c r="F26" s="9" t="str">
        <f t="shared" si="1"/>
        <v>5-25 m</v>
      </c>
      <c r="G26" s="14">
        <v>3.52E10</v>
      </c>
      <c r="H26" s="14">
        <f t="shared" si="2"/>
        <v>2071</v>
      </c>
      <c r="I26" s="9" t="str">
        <f t="shared" si="3"/>
        <v>Lower-middle</v>
      </c>
      <c r="J26" s="9" t="s">
        <v>87</v>
      </c>
      <c r="K26" s="19" t="s">
        <v>88</v>
      </c>
      <c r="L26" s="19" t="s">
        <v>89</v>
      </c>
      <c r="M26" s="9" t="s">
        <v>87</v>
      </c>
      <c r="N26" s="9" t="s">
        <v>108</v>
      </c>
      <c r="O26" s="19" t="s">
        <v>91</v>
      </c>
      <c r="P26" s="9" t="s">
        <v>92</v>
      </c>
      <c r="Q26" s="13" t="s">
        <v>26</v>
      </c>
      <c r="R26" s="13" t="s">
        <v>109</v>
      </c>
      <c r="S26" s="19"/>
      <c r="T26" s="21"/>
      <c r="U26" s="21"/>
      <c r="V26" s="21"/>
      <c r="W26" s="21"/>
      <c r="X26" s="21"/>
      <c r="Y26" s="21" t="str">
        <f t="shared" si="4"/>
        <v>Manan</v>
      </c>
      <c r="Z26" s="9"/>
      <c r="AA26" s="9"/>
      <c r="AB26" s="9">
        <f t="shared" si="5"/>
        <v>4</v>
      </c>
      <c r="AC26" s="9"/>
      <c r="AD26" s="22" t="str">
        <f>IF(COUNT(Z26,AA26,AC26)=0,"",ROUND(Z26*'Scoring Guide'!$B$5+AA26*'Scoring Guide'!$B$6+AB26*'Scoring Guide'!$B$7+AC26*'Scoring Guide'!$B$8,2))</f>
        <v/>
      </c>
      <c r="AE26" s="23" t="str">
        <f>IF(AD26="","Not scored",IF(AD26&gt;='Scoring Guide'!$B$11,"Tier 1 - Priority",IF(AD26&gt;='Scoring Guide'!$B$12,"Tier 2 - Develop",IF(AD26&gt;='Scoring Guide'!$B$13,"Tier 3 - Monitor","Tier 4 - Deprioritise"))))</f>
        <v>Not scored</v>
      </c>
    </row>
    <row r="27" ht="15.75" customHeight="1">
      <c r="A27" s="9">
        <v>29.0</v>
      </c>
      <c r="B27" s="11" t="s">
        <v>141</v>
      </c>
      <c r="C27" s="13" t="s">
        <v>44</v>
      </c>
      <c r="D27" s="13" t="s">
        <v>112</v>
      </c>
      <c r="E27" s="14">
        <v>7400000.0</v>
      </c>
      <c r="F27" s="9" t="str">
        <f t="shared" si="1"/>
        <v>5-25 m</v>
      </c>
      <c r="G27" s="14">
        <v>4.8E10</v>
      </c>
      <c r="H27" s="14">
        <f t="shared" si="2"/>
        <v>6486</v>
      </c>
      <c r="I27" s="9" t="str">
        <f t="shared" si="3"/>
        <v>Upper-middle</v>
      </c>
      <c r="J27" s="9" t="s">
        <v>87</v>
      </c>
      <c r="K27" s="19" t="s">
        <v>88</v>
      </c>
      <c r="L27" s="19" t="s">
        <v>89</v>
      </c>
      <c r="M27" s="9" t="s">
        <v>87</v>
      </c>
      <c r="N27" s="9" t="s">
        <v>90</v>
      </c>
      <c r="O27" s="19" t="s">
        <v>91</v>
      </c>
      <c r="P27" s="9" t="s">
        <v>92</v>
      </c>
      <c r="Q27" s="13" t="s">
        <v>26</v>
      </c>
      <c r="R27" s="13" t="s">
        <v>113</v>
      </c>
      <c r="S27" s="19"/>
      <c r="T27" s="21"/>
      <c r="U27" s="21"/>
      <c r="V27" s="21"/>
      <c r="W27" s="21"/>
      <c r="X27" s="21"/>
      <c r="Y27" s="21" t="str">
        <f t="shared" si="4"/>
        <v>Manan</v>
      </c>
      <c r="Z27" s="9"/>
      <c r="AA27" s="9"/>
      <c r="AB27" s="9">
        <f t="shared" si="5"/>
        <v>4</v>
      </c>
      <c r="AC27" s="9"/>
      <c r="AD27" s="22" t="str">
        <f>IF(COUNT(Z27,AA27,AC27)=0,"",ROUND(Z27*'Scoring Guide'!$B$5+AA27*'Scoring Guide'!$B$6+AB27*'Scoring Guide'!$B$7+AC27*'Scoring Guide'!$B$8,2))</f>
        <v/>
      </c>
      <c r="AE27" s="23" t="str">
        <f>IF(AD27="","Not scored",IF(AD27&gt;='Scoring Guide'!$B$11,"Tier 1 - Priority",IF(AD27&gt;='Scoring Guide'!$B$12,"Tier 2 - Develop",IF(AD27&gt;='Scoring Guide'!$B$13,"Tier 3 - Monitor","Tier 4 - Deprioritise"))))</f>
        <v>Not scored</v>
      </c>
    </row>
    <row r="28" ht="15.75" customHeight="1">
      <c r="A28" s="9">
        <v>51.0</v>
      </c>
      <c r="B28" s="11" t="s">
        <v>142</v>
      </c>
      <c r="C28" s="13" t="s">
        <v>44</v>
      </c>
      <c r="D28" s="13" t="s">
        <v>112</v>
      </c>
      <c r="E28" s="14">
        <v>1.23E7</v>
      </c>
      <c r="F28" s="9" t="str">
        <f t="shared" si="1"/>
        <v>5-25 m</v>
      </c>
      <c r="G28" s="14">
        <v>5.26E10</v>
      </c>
      <c r="H28" s="14">
        <f t="shared" si="2"/>
        <v>4276</v>
      </c>
      <c r="I28" s="9" t="str">
        <f t="shared" si="3"/>
        <v>Lower-middle</v>
      </c>
      <c r="J28" s="9" t="s">
        <v>87</v>
      </c>
      <c r="K28" s="19" t="s">
        <v>88</v>
      </c>
      <c r="L28" s="19" t="s">
        <v>89</v>
      </c>
      <c r="M28" s="9" t="s">
        <v>87</v>
      </c>
      <c r="N28" s="9" t="s">
        <v>90</v>
      </c>
      <c r="O28" s="19" t="s">
        <v>91</v>
      </c>
      <c r="P28" s="9" t="s">
        <v>92</v>
      </c>
      <c r="Q28" s="13" t="s">
        <v>26</v>
      </c>
      <c r="R28" s="13" t="s">
        <v>97</v>
      </c>
      <c r="S28" s="19"/>
      <c r="T28" s="21"/>
      <c r="U28" s="21"/>
      <c r="V28" s="21"/>
      <c r="W28" s="21"/>
      <c r="X28" s="21"/>
      <c r="Y28" s="21" t="str">
        <f t="shared" si="4"/>
        <v>Manan</v>
      </c>
      <c r="Z28" s="9"/>
      <c r="AA28" s="9"/>
      <c r="AB28" s="9">
        <f t="shared" si="5"/>
        <v>4</v>
      </c>
      <c r="AC28" s="9"/>
      <c r="AD28" s="22" t="str">
        <f>IF(COUNT(Z28,AA28,AC28)=0,"",ROUND(Z28*'Scoring Guide'!$B$5+AA28*'Scoring Guide'!$B$6+AB28*'Scoring Guide'!$B$7+AC28*'Scoring Guide'!$B$8,2))</f>
        <v/>
      </c>
      <c r="AE28" s="23" t="str">
        <f>IF(AD28="","Not scored",IF(AD28&gt;='Scoring Guide'!$B$11,"Tier 1 - Priority",IF(AD28&gt;='Scoring Guide'!$B$12,"Tier 2 - Develop",IF(AD28&gt;='Scoring Guide'!$B$13,"Tier 3 - Monitor","Tier 4 - Deprioritise"))))</f>
        <v>Not scored</v>
      </c>
    </row>
    <row r="29" ht="15.75" customHeight="1">
      <c r="A29" s="9">
        <v>30.0</v>
      </c>
      <c r="B29" s="11" t="s">
        <v>143</v>
      </c>
      <c r="C29" s="13" t="s">
        <v>44</v>
      </c>
      <c r="D29" s="13" t="s">
        <v>95</v>
      </c>
      <c r="E29" s="14">
        <v>3.2E7</v>
      </c>
      <c r="F29" s="9" t="str">
        <f t="shared" si="1"/>
        <v>25-100 m</v>
      </c>
      <c r="G29" s="14">
        <v>1.7E10</v>
      </c>
      <c r="H29" s="14">
        <f t="shared" si="2"/>
        <v>531</v>
      </c>
      <c r="I29" s="9" t="str">
        <f t="shared" si="3"/>
        <v>Low income</v>
      </c>
      <c r="J29" s="9" t="s">
        <v>87</v>
      </c>
      <c r="K29" s="19" t="s">
        <v>88</v>
      </c>
      <c r="L29" s="19" t="s">
        <v>89</v>
      </c>
      <c r="M29" s="9" t="s">
        <v>87</v>
      </c>
      <c r="N29" s="9" t="s">
        <v>90</v>
      </c>
      <c r="O29" s="19" t="s">
        <v>91</v>
      </c>
      <c r="P29" s="9" t="s">
        <v>92</v>
      </c>
      <c r="Q29" s="13" t="s">
        <v>26</v>
      </c>
      <c r="R29" s="13" t="s">
        <v>105</v>
      </c>
      <c r="S29" s="19"/>
      <c r="T29" s="21"/>
      <c r="U29" s="21"/>
      <c r="V29" s="21"/>
      <c r="W29" s="21"/>
      <c r="X29" s="21"/>
      <c r="Y29" s="21" t="str">
        <f t="shared" si="4"/>
        <v>Manan</v>
      </c>
      <c r="Z29" s="9"/>
      <c r="AA29" s="9"/>
      <c r="AB29" s="9">
        <f t="shared" si="5"/>
        <v>4</v>
      </c>
      <c r="AC29" s="9"/>
      <c r="AD29" s="22" t="str">
        <f>IF(COUNT(Z29,AA29,AC29)=0,"",ROUND(Z29*'Scoring Guide'!$B$5+AA29*'Scoring Guide'!$B$6+AB29*'Scoring Guide'!$B$7+AC29*'Scoring Guide'!$B$8,2))</f>
        <v/>
      </c>
      <c r="AE29" s="23" t="str">
        <f>IF(AD29="","Not scored",IF(AD29&gt;='Scoring Guide'!$B$11,"Tier 1 - Priority",IF(AD29&gt;='Scoring Guide'!$B$12,"Tier 2 - Develop",IF(AD29&gt;='Scoring Guide'!$B$13,"Tier 3 - Monitor","Tier 4 - Deprioritise"))))</f>
        <v>Not scored</v>
      </c>
    </row>
    <row r="30" ht="15.75" customHeight="1">
      <c r="A30" s="9">
        <v>38.0</v>
      </c>
      <c r="B30" s="11" t="s">
        <v>144</v>
      </c>
      <c r="C30" s="13" t="s">
        <v>44</v>
      </c>
      <c r="D30" s="13" t="s">
        <v>102</v>
      </c>
      <c r="E30" s="14">
        <v>2.79E7</v>
      </c>
      <c r="F30" s="9" t="str">
        <f t="shared" si="1"/>
        <v>25-100 m</v>
      </c>
      <c r="G30" s="14">
        <v>1.91E10</v>
      </c>
      <c r="H30" s="14">
        <f t="shared" si="2"/>
        <v>685</v>
      </c>
      <c r="I30" s="9" t="str">
        <f t="shared" si="3"/>
        <v>Low income</v>
      </c>
      <c r="J30" s="9" t="s">
        <v>87</v>
      </c>
      <c r="K30" s="19" t="s">
        <v>88</v>
      </c>
      <c r="L30" s="19" t="s">
        <v>89</v>
      </c>
      <c r="M30" s="9" t="s">
        <v>87</v>
      </c>
      <c r="N30" s="9" t="s">
        <v>108</v>
      </c>
      <c r="O30" s="19" t="s">
        <v>136</v>
      </c>
      <c r="P30" s="9" t="s">
        <v>92</v>
      </c>
      <c r="Q30" s="13" t="s">
        <v>26</v>
      </c>
      <c r="R30" s="13" t="s">
        <v>105</v>
      </c>
      <c r="S30" s="19"/>
      <c r="T30" s="21"/>
      <c r="U30" s="21"/>
      <c r="V30" s="21"/>
      <c r="W30" s="21"/>
      <c r="X30" s="21"/>
      <c r="Y30" s="21" t="str">
        <f t="shared" si="4"/>
        <v>Manan</v>
      </c>
      <c r="Z30" s="9"/>
      <c r="AA30" s="9"/>
      <c r="AB30" s="9">
        <f t="shared" si="5"/>
        <v>4</v>
      </c>
      <c r="AC30" s="9"/>
      <c r="AD30" s="22" t="str">
        <f>IF(COUNT(Z30,AA30,AC30)=0,"",ROUND(Z30*'Scoring Guide'!$B$5+AA30*'Scoring Guide'!$B$6+AB30*'Scoring Guide'!$B$7+AC30*'Scoring Guide'!$B$8,2))</f>
        <v/>
      </c>
      <c r="AE30" s="23" t="str">
        <f>IF(AD30="","Not scored",IF(AD30&gt;='Scoring Guide'!$B$11,"Tier 1 - Priority",IF(AD30&gt;='Scoring Guide'!$B$12,"Tier 2 - Develop",IF(AD30&gt;='Scoring Guide'!$B$13,"Tier 3 - Monitor","Tier 4 - Deprioritise"))))</f>
        <v>Not scored</v>
      </c>
    </row>
    <row r="31" ht="15.75" customHeight="1">
      <c r="A31" s="9">
        <v>32.0</v>
      </c>
      <c r="B31" s="11" t="s">
        <v>145</v>
      </c>
      <c r="C31" s="13" t="s">
        <v>44</v>
      </c>
      <c r="D31" s="13" t="s">
        <v>102</v>
      </c>
      <c r="E31" s="14">
        <v>2.54E7</v>
      </c>
      <c r="F31" s="9" t="str">
        <f t="shared" si="1"/>
        <v>25-100 m</v>
      </c>
      <c r="G31" s="14">
        <v>2.15E10</v>
      </c>
      <c r="H31" s="14">
        <f t="shared" si="2"/>
        <v>846</v>
      </c>
      <c r="I31" s="9" t="str">
        <f t="shared" si="3"/>
        <v>Low income</v>
      </c>
      <c r="J31" s="9" t="s">
        <v>87</v>
      </c>
      <c r="K31" s="19" t="s">
        <v>88</v>
      </c>
      <c r="L31" s="19" t="s">
        <v>89</v>
      </c>
      <c r="M31" s="9" t="s">
        <v>87</v>
      </c>
      <c r="N31" s="9" t="s">
        <v>108</v>
      </c>
      <c r="O31" s="19" t="s">
        <v>136</v>
      </c>
      <c r="P31" s="9" t="s">
        <v>92</v>
      </c>
      <c r="Q31" s="13" t="s">
        <v>26</v>
      </c>
      <c r="R31" s="13" t="s">
        <v>105</v>
      </c>
      <c r="S31" s="19"/>
      <c r="T31" s="21"/>
      <c r="U31" s="21"/>
      <c r="V31" s="21"/>
      <c r="W31" s="21"/>
      <c r="X31" s="21"/>
      <c r="Y31" s="21" t="str">
        <f t="shared" si="4"/>
        <v>Manan</v>
      </c>
      <c r="Z31" s="9"/>
      <c r="AA31" s="9"/>
      <c r="AB31" s="9">
        <f t="shared" si="5"/>
        <v>4</v>
      </c>
      <c r="AC31" s="9"/>
      <c r="AD31" s="22" t="str">
        <f>IF(COUNT(Z31,AA31,AC31)=0,"",ROUND(Z31*'Scoring Guide'!$B$5+AA31*'Scoring Guide'!$B$6+AB31*'Scoring Guide'!$B$7+AC31*'Scoring Guide'!$B$8,2))</f>
        <v/>
      </c>
      <c r="AE31" s="23" t="str">
        <f>IF(AD31="","Not scored",IF(AD31&gt;='Scoring Guide'!$B$11,"Tier 1 - Priority",IF(AD31&gt;='Scoring Guide'!$B$12,"Tier 2 - Develop",IF(AD31&gt;='Scoring Guide'!$B$13,"Tier 3 - Monitor","Tier 4 - Deprioritise"))))</f>
        <v>Not scored</v>
      </c>
    </row>
    <row r="32" ht="15.75" customHeight="1">
      <c r="A32" s="9">
        <v>36.0</v>
      </c>
      <c r="B32" s="11" t="s">
        <v>146</v>
      </c>
      <c r="C32" s="13" t="s">
        <v>44</v>
      </c>
      <c r="D32" s="13" t="s">
        <v>95</v>
      </c>
      <c r="E32" s="14">
        <v>3.56E7</v>
      </c>
      <c r="F32" s="9" t="str">
        <f t="shared" si="1"/>
        <v>25-100 m</v>
      </c>
      <c r="G32" s="14">
        <v>2.25E10</v>
      </c>
      <c r="H32" s="14">
        <f t="shared" si="2"/>
        <v>632</v>
      </c>
      <c r="I32" s="9" t="str">
        <f t="shared" si="3"/>
        <v>Low income</v>
      </c>
      <c r="J32" s="9" t="s">
        <v>87</v>
      </c>
      <c r="K32" s="19" t="s">
        <v>88</v>
      </c>
      <c r="L32" s="19" t="s">
        <v>89</v>
      </c>
      <c r="M32" s="9" t="s">
        <v>87</v>
      </c>
      <c r="N32" s="9" t="s">
        <v>90</v>
      </c>
      <c r="O32" s="19" t="s">
        <v>91</v>
      </c>
      <c r="P32" s="9" t="s">
        <v>92</v>
      </c>
      <c r="Q32" s="13" t="s">
        <v>26</v>
      </c>
      <c r="R32" s="13" t="s">
        <v>93</v>
      </c>
      <c r="S32" s="19"/>
      <c r="T32" s="21"/>
      <c r="U32" s="21"/>
      <c r="V32" s="21"/>
      <c r="W32" s="21"/>
      <c r="X32" s="21"/>
      <c r="Y32" s="21" t="str">
        <f t="shared" si="4"/>
        <v>Manan</v>
      </c>
      <c r="Z32" s="9"/>
      <c r="AA32" s="9"/>
      <c r="AB32" s="9">
        <f t="shared" si="5"/>
        <v>4</v>
      </c>
      <c r="AC32" s="9"/>
      <c r="AD32" s="22" t="str">
        <f>IF(COUNT(Z32,AA32,AC32)=0,"",ROUND(Z32*'Scoring Guide'!$B$5+AA32*'Scoring Guide'!$B$6+AB32*'Scoring Guide'!$B$7+AC32*'Scoring Guide'!$B$8,2))</f>
        <v/>
      </c>
      <c r="AE32" s="23" t="str">
        <f>IF(AD32="","Not scored",IF(AD32&gt;='Scoring Guide'!$B$11,"Tier 1 - Priority",IF(AD32&gt;='Scoring Guide'!$B$12,"Tier 2 - Develop",IF(AD32&gt;='Scoring Guide'!$B$13,"Tier 3 - Monitor","Tier 4 - Deprioritise"))))</f>
        <v>Not scored</v>
      </c>
    </row>
    <row r="33" ht="15.75" customHeight="1">
      <c r="A33" s="9">
        <v>48.0</v>
      </c>
      <c r="B33" s="11" t="s">
        <v>147</v>
      </c>
      <c r="C33" s="13" t="s">
        <v>44</v>
      </c>
      <c r="D33" s="13" t="s">
        <v>112</v>
      </c>
      <c r="E33" s="14">
        <v>5.17E7</v>
      </c>
      <c r="F33" s="9" t="str">
        <f t="shared" si="1"/>
        <v>25-100 m</v>
      </c>
      <c r="G33" s="14">
        <v>2.9E10</v>
      </c>
      <c r="H33" s="14">
        <f t="shared" si="2"/>
        <v>561</v>
      </c>
      <c r="I33" s="9" t="str">
        <f t="shared" si="3"/>
        <v>Low income</v>
      </c>
      <c r="J33" s="9" t="s">
        <v>87</v>
      </c>
      <c r="K33" s="19" t="s">
        <v>88</v>
      </c>
      <c r="L33" s="19" t="s">
        <v>89</v>
      </c>
      <c r="M33" s="9" t="s">
        <v>87</v>
      </c>
      <c r="N33" s="9" t="s">
        <v>90</v>
      </c>
      <c r="O33" s="19" t="s">
        <v>91</v>
      </c>
      <c r="P33" s="9" t="s">
        <v>92</v>
      </c>
      <c r="Q33" s="13" t="s">
        <v>26</v>
      </c>
      <c r="R33" s="13" t="s">
        <v>113</v>
      </c>
      <c r="S33" s="19"/>
      <c r="T33" s="21"/>
      <c r="U33" s="21"/>
      <c r="V33" s="21"/>
      <c r="W33" s="21"/>
      <c r="X33" s="21"/>
      <c r="Y33" s="21" t="str">
        <f t="shared" si="4"/>
        <v>Manan</v>
      </c>
      <c r="Z33" s="9"/>
      <c r="AA33" s="9"/>
      <c r="AB33" s="9">
        <f t="shared" si="5"/>
        <v>4</v>
      </c>
      <c r="AC33" s="9"/>
      <c r="AD33" s="22" t="str">
        <f>IF(COUNT(Z33,AA33,AC33)=0,"",ROUND(Z33*'Scoring Guide'!$B$5+AA33*'Scoring Guide'!$B$6+AB33*'Scoring Guide'!$B$7+AC33*'Scoring Guide'!$B$8,2))</f>
        <v/>
      </c>
      <c r="AE33" s="23" t="str">
        <f>IF(AD33="","Not scored",IF(AD33&gt;='Scoring Guide'!$B$11,"Tier 1 - Priority",IF(AD33&gt;='Scoring Guide'!$B$12,"Tier 2 - Develop",IF(AD33&gt;='Scoring Guide'!$B$13,"Tier 3 - Monitor","Tier 4 - Deprioritise"))))</f>
        <v>Not scored</v>
      </c>
    </row>
    <row r="34" ht="15.75" customHeight="1">
      <c r="A34" s="9">
        <v>8.0</v>
      </c>
      <c r="B34" s="11" t="s">
        <v>148</v>
      </c>
      <c r="C34" s="13" t="s">
        <v>44</v>
      </c>
      <c r="D34" s="13" t="s">
        <v>54</v>
      </c>
      <c r="E34" s="14">
        <v>2.94E7</v>
      </c>
      <c r="F34" s="9" t="str">
        <f t="shared" si="1"/>
        <v>25-100 m</v>
      </c>
      <c r="G34" s="14">
        <v>5.16E10</v>
      </c>
      <c r="H34" s="14">
        <f t="shared" si="2"/>
        <v>1755</v>
      </c>
      <c r="I34" s="9" t="str">
        <f t="shared" si="3"/>
        <v>Lower-middle</v>
      </c>
      <c r="J34" s="9" t="s">
        <v>87</v>
      </c>
      <c r="K34" s="19" t="s">
        <v>88</v>
      </c>
      <c r="L34" s="19" t="s">
        <v>89</v>
      </c>
      <c r="M34" s="9" t="s">
        <v>87</v>
      </c>
      <c r="N34" s="9" t="s">
        <v>90</v>
      </c>
      <c r="O34" s="19" t="s">
        <v>91</v>
      </c>
      <c r="P34" s="9" t="s">
        <v>92</v>
      </c>
      <c r="Q34" s="13" t="s">
        <v>26</v>
      </c>
      <c r="R34" s="13" t="s">
        <v>99</v>
      </c>
      <c r="S34" s="19"/>
      <c r="T34" s="21"/>
      <c r="U34" s="21"/>
      <c r="V34" s="21"/>
      <c r="W34" s="21"/>
      <c r="X34" s="21"/>
      <c r="Y34" s="21" t="str">
        <f t="shared" si="4"/>
        <v>Manan</v>
      </c>
      <c r="Z34" s="9"/>
      <c r="AA34" s="9"/>
      <c r="AB34" s="9">
        <f t="shared" si="5"/>
        <v>4</v>
      </c>
      <c r="AC34" s="9"/>
      <c r="AD34" s="22" t="str">
        <f>IF(COUNT(Z34,AA34,AC34)=0,"",ROUND(Z34*'Scoring Guide'!$B$5+AA34*'Scoring Guide'!$B$6+AB34*'Scoring Guide'!$B$7+AC34*'Scoring Guide'!$B$8,2))</f>
        <v/>
      </c>
      <c r="AE34" s="23" t="str">
        <f>IF(AD34="","Not scored",IF(AD34&gt;='Scoring Guide'!$B$11,"Tier 1 - Priority",IF(AD34&gt;='Scoring Guide'!$B$12,"Tier 2 - Develop",IF(AD34&gt;='Scoring Guide'!$B$13,"Tier 3 - Monitor","Tier 4 - Deprioritise"))))</f>
        <v>Not scored</v>
      </c>
    </row>
    <row r="35" ht="15.75" customHeight="1">
      <c r="A35" s="9">
        <v>52.0</v>
      </c>
      <c r="B35" s="11" t="s">
        <v>149</v>
      </c>
      <c r="C35" s="13" t="s">
        <v>44</v>
      </c>
      <c r="D35" s="13" t="s">
        <v>95</v>
      </c>
      <c r="E35" s="14">
        <v>5.14E7</v>
      </c>
      <c r="F35" s="9" t="str">
        <f t="shared" si="1"/>
        <v>25-100 m</v>
      </c>
      <c r="G35" s="14">
        <v>5.3E10</v>
      </c>
      <c r="H35" s="14">
        <f t="shared" si="2"/>
        <v>1031</v>
      </c>
      <c r="I35" s="9" t="str">
        <f t="shared" si="3"/>
        <v>Low income</v>
      </c>
      <c r="J35" s="9" t="s">
        <v>87</v>
      </c>
      <c r="K35" s="19" t="s">
        <v>88</v>
      </c>
      <c r="L35" s="19" t="s">
        <v>89</v>
      </c>
      <c r="M35" s="9" t="s">
        <v>87</v>
      </c>
      <c r="N35" s="9" t="s">
        <v>108</v>
      </c>
      <c r="O35" s="19" t="s">
        <v>91</v>
      </c>
      <c r="P35" s="9" t="s">
        <v>92</v>
      </c>
      <c r="Q35" s="13" t="s">
        <v>26</v>
      </c>
      <c r="R35" s="13" t="s">
        <v>109</v>
      </c>
      <c r="S35" s="19"/>
      <c r="T35" s="21"/>
      <c r="U35" s="21"/>
      <c r="V35" s="21"/>
      <c r="W35" s="21"/>
      <c r="X35" s="21"/>
      <c r="Y35" s="21" t="str">
        <f t="shared" si="4"/>
        <v>Manan</v>
      </c>
      <c r="Z35" s="9"/>
      <c r="AA35" s="9"/>
      <c r="AB35" s="9">
        <f t="shared" si="5"/>
        <v>4</v>
      </c>
      <c r="AC35" s="9"/>
      <c r="AD35" s="22" t="str">
        <f>IF(COUNT(Z35,AA35,AC35)=0,"",ROUND(Z35*'Scoring Guide'!$B$5+AA35*'Scoring Guide'!$B$6+AB35*'Scoring Guide'!$B$7+AC35*'Scoring Guide'!$B$8,2))</f>
        <v/>
      </c>
      <c r="AE35" s="23" t="str">
        <f>IF(AD35="","Not scored",IF(AD35&gt;='Scoring Guide'!$B$11,"Tier 1 - Priority",IF(AD35&gt;='Scoring Guide'!$B$12,"Tier 2 - Develop",IF(AD35&gt;='Scoring Guide'!$B$13,"Tier 3 - Monitor","Tier 4 - Deprioritise"))))</f>
        <v>Not scored</v>
      </c>
    </row>
    <row r="36" ht="15.75" customHeight="1">
      <c r="A36" s="9">
        <v>23.0</v>
      </c>
      <c r="B36" s="11" t="s">
        <v>150</v>
      </c>
      <c r="C36" s="13" t="s">
        <v>44</v>
      </c>
      <c r="D36" s="13" t="s">
        <v>102</v>
      </c>
      <c r="E36" s="14">
        <v>3.5E7</v>
      </c>
      <c r="F36" s="9" t="str">
        <f t="shared" si="1"/>
        <v>25-100 m</v>
      </c>
      <c r="G36" s="14">
        <v>7.64E10</v>
      </c>
      <c r="H36" s="14">
        <f t="shared" si="2"/>
        <v>2183</v>
      </c>
      <c r="I36" s="9" t="str">
        <f t="shared" si="3"/>
        <v>Lower-middle</v>
      </c>
      <c r="J36" s="9" t="s">
        <v>87</v>
      </c>
      <c r="K36" s="19" t="s">
        <v>88</v>
      </c>
      <c r="L36" s="19" t="s">
        <v>89</v>
      </c>
      <c r="M36" s="9" t="s">
        <v>87</v>
      </c>
      <c r="N36" s="9" t="s">
        <v>90</v>
      </c>
      <c r="O36" s="19" t="s">
        <v>103</v>
      </c>
      <c r="P36" s="9" t="s">
        <v>92</v>
      </c>
      <c r="Q36" s="13" t="s">
        <v>26</v>
      </c>
      <c r="R36" s="13" t="s">
        <v>109</v>
      </c>
      <c r="S36" s="19"/>
      <c r="T36" s="21"/>
      <c r="U36" s="21"/>
      <c r="V36" s="21"/>
      <c r="W36" s="21"/>
      <c r="X36" s="21"/>
      <c r="Y36" s="21" t="str">
        <f t="shared" si="4"/>
        <v>Manan</v>
      </c>
      <c r="Z36" s="9"/>
      <c r="AA36" s="9"/>
      <c r="AB36" s="9">
        <f t="shared" si="5"/>
        <v>4</v>
      </c>
      <c r="AC36" s="9"/>
      <c r="AD36" s="22" t="str">
        <f>IF(COUNT(Z36,AA36,AC36)=0,"",ROUND(Z36*'Scoring Guide'!$B$5+AA36*'Scoring Guide'!$B$6+AB36*'Scoring Guide'!$B$7+AC36*'Scoring Guide'!$B$8,2))</f>
        <v/>
      </c>
      <c r="AE36" s="23" t="str">
        <f>IF(AD36="","Not scored",IF(AD36&gt;='Scoring Guide'!$B$11,"Tier 1 - Priority",IF(AD36&gt;='Scoring Guide'!$B$12,"Tier 2 - Develop",IF(AD36&gt;='Scoring Guide'!$B$13,"Tier 3 - Monitor","Tier 4 - Deprioritise"))))</f>
        <v>Not scored</v>
      </c>
    </row>
    <row r="37" ht="15.75" customHeight="1">
      <c r="A37" s="9">
        <v>49.0</v>
      </c>
      <c r="B37" s="11" t="s">
        <v>151</v>
      </c>
      <c r="C37" s="13" t="s">
        <v>44</v>
      </c>
      <c r="D37" s="13" t="s">
        <v>95</v>
      </c>
      <c r="E37" s="14">
        <v>7.05E7</v>
      </c>
      <c r="F37" s="9" t="str">
        <f t="shared" si="1"/>
        <v>25-100 m</v>
      </c>
      <c r="G37" s="14">
        <v>7.99E10</v>
      </c>
      <c r="H37" s="14">
        <f t="shared" si="2"/>
        <v>1133</v>
      </c>
      <c r="I37" s="9" t="str">
        <f t="shared" si="3"/>
        <v>Low income</v>
      </c>
      <c r="J37" s="9" t="s">
        <v>87</v>
      </c>
      <c r="K37" s="19" t="s">
        <v>88</v>
      </c>
      <c r="L37" s="19" t="s">
        <v>89</v>
      </c>
      <c r="M37" s="9" t="s">
        <v>87</v>
      </c>
      <c r="N37" s="9" t="s">
        <v>90</v>
      </c>
      <c r="O37" s="19" t="s">
        <v>91</v>
      </c>
      <c r="P37" s="9" t="s">
        <v>92</v>
      </c>
      <c r="Q37" s="13" t="s">
        <v>26</v>
      </c>
      <c r="R37" s="13" t="s">
        <v>109</v>
      </c>
      <c r="S37" s="19"/>
      <c r="T37" s="21"/>
      <c r="U37" s="21"/>
      <c r="V37" s="21"/>
      <c r="W37" s="21"/>
      <c r="X37" s="21"/>
      <c r="Y37" s="21" t="str">
        <f t="shared" si="4"/>
        <v>Manan</v>
      </c>
      <c r="Z37" s="9"/>
      <c r="AA37" s="9"/>
      <c r="AB37" s="9">
        <f t="shared" si="5"/>
        <v>4</v>
      </c>
      <c r="AC37" s="9"/>
      <c r="AD37" s="22" t="str">
        <f>IF(COUNT(Z37,AA37,AC37)=0,"",ROUND(Z37*'Scoring Guide'!$B$5+AA37*'Scoring Guide'!$B$6+AB37*'Scoring Guide'!$B$7+AC37*'Scoring Guide'!$B$8,2))</f>
        <v/>
      </c>
      <c r="AE37" s="23" t="str">
        <f>IF(AD37="","Not scored",IF(AD37&gt;='Scoring Guide'!$B$11,"Tier 1 - Priority",IF(AD37&gt;='Scoring Guide'!$B$12,"Tier 2 - Develop",IF(AD37&gt;='Scoring Guide'!$B$13,"Tier 3 - Monitor","Tier 4 - Deprioritise"))))</f>
        <v>Not scored</v>
      </c>
    </row>
    <row r="38" ht="15.75" customHeight="1">
      <c r="A38" s="9">
        <v>14.0</v>
      </c>
      <c r="B38" s="11" t="s">
        <v>152</v>
      </c>
      <c r="C38" s="13" t="s">
        <v>44</v>
      </c>
      <c r="D38" s="13" t="s">
        <v>102</v>
      </c>
      <c r="E38" s="14">
        <v>3.27E7</v>
      </c>
      <c r="F38" s="9" t="str">
        <f t="shared" si="1"/>
        <v>25-100 m</v>
      </c>
      <c r="G38" s="14">
        <v>8.69E10</v>
      </c>
      <c r="H38" s="14">
        <f t="shared" si="2"/>
        <v>2657</v>
      </c>
      <c r="I38" s="9" t="str">
        <f t="shared" si="3"/>
        <v>Lower-middle</v>
      </c>
      <c r="J38" s="9" t="s">
        <v>87</v>
      </c>
      <c r="K38" s="19" t="s">
        <v>88</v>
      </c>
      <c r="L38" s="19" t="s">
        <v>89</v>
      </c>
      <c r="M38" s="9" t="s">
        <v>87</v>
      </c>
      <c r="N38" s="9" t="s">
        <v>90</v>
      </c>
      <c r="O38" s="19" t="s">
        <v>103</v>
      </c>
      <c r="P38" s="9" t="s">
        <v>92</v>
      </c>
      <c r="Q38" s="13" t="s">
        <v>26</v>
      </c>
      <c r="R38" s="13" t="s">
        <v>105</v>
      </c>
      <c r="S38" s="19"/>
      <c r="T38" s="21"/>
      <c r="U38" s="21"/>
      <c r="V38" s="21"/>
      <c r="W38" s="21"/>
      <c r="X38" s="21"/>
      <c r="Y38" s="21" t="str">
        <f t="shared" si="4"/>
        <v>Manan</v>
      </c>
      <c r="Z38" s="9"/>
      <c r="AA38" s="9"/>
      <c r="AB38" s="9">
        <f t="shared" si="5"/>
        <v>4</v>
      </c>
      <c r="AC38" s="9"/>
      <c r="AD38" s="22" t="str">
        <f>IF(COUNT(Z38,AA38,AC38)=0,"",ROUND(Z38*'Scoring Guide'!$B$5+AA38*'Scoring Guide'!$B$6+AB38*'Scoring Guide'!$B$7+AC38*'Scoring Guide'!$B$8,2))</f>
        <v/>
      </c>
      <c r="AE38" s="23" t="str">
        <f>IF(AD38="","Not scored",IF(AD38&gt;='Scoring Guide'!$B$11,"Tier 1 - Priority",IF(AD38&gt;='Scoring Guide'!$B$12,"Tier 2 - Develop",IF(AD38&gt;='Scoring Guide'!$B$13,"Tier 3 - Monitor","Tier 4 - Deprioritise"))))</f>
        <v>Not scored</v>
      </c>
    </row>
    <row r="39" ht="15.75" customHeight="1">
      <c r="A39" s="9">
        <v>2.0</v>
      </c>
      <c r="B39" s="11" t="s">
        <v>153</v>
      </c>
      <c r="C39" s="13" t="s">
        <v>44</v>
      </c>
      <c r="D39" s="13" t="s">
        <v>54</v>
      </c>
      <c r="E39" s="14">
        <v>3.79E7</v>
      </c>
      <c r="F39" s="9" t="str">
        <f t="shared" si="1"/>
        <v>25-100 m</v>
      </c>
      <c r="G39" s="14">
        <v>1.13E11</v>
      </c>
      <c r="H39" s="14">
        <f t="shared" si="2"/>
        <v>2982</v>
      </c>
      <c r="I39" s="9" t="str">
        <f t="shared" si="3"/>
        <v>Lower-middle</v>
      </c>
      <c r="J39" s="9" t="s">
        <v>87</v>
      </c>
      <c r="K39" s="19" t="s">
        <v>88</v>
      </c>
      <c r="L39" s="19" t="s">
        <v>89</v>
      </c>
      <c r="M39" s="9" t="s">
        <v>87</v>
      </c>
      <c r="N39" s="9" t="s">
        <v>90</v>
      </c>
      <c r="O39" s="19" t="s">
        <v>91</v>
      </c>
      <c r="P39" s="9" t="s">
        <v>92</v>
      </c>
      <c r="Q39" s="13" t="s">
        <v>26</v>
      </c>
      <c r="R39" s="13" t="s">
        <v>93</v>
      </c>
      <c r="S39" s="19"/>
      <c r="T39" s="21"/>
      <c r="U39" s="21"/>
      <c r="V39" s="21"/>
      <c r="W39" s="21"/>
      <c r="X39" s="21"/>
      <c r="Y39" s="21" t="str">
        <f t="shared" si="4"/>
        <v>Manan</v>
      </c>
      <c r="Z39" s="9"/>
      <c r="AA39" s="9"/>
      <c r="AB39" s="9">
        <f t="shared" si="5"/>
        <v>4</v>
      </c>
      <c r="AC39" s="9"/>
      <c r="AD39" s="22" t="str">
        <f>IF(COUNT(Z39,AA39,AC39)=0,"",ROUND(Z39*'Scoring Guide'!$B$5+AA39*'Scoring Guide'!$B$6+AB39*'Scoring Guide'!$B$7+AC39*'Scoring Guide'!$B$8,2))</f>
        <v/>
      </c>
      <c r="AE39" s="23" t="str">
        <f>IF(AD39="","Not scored",IF(AD39&gt;='Scoring Guide'!$B$11,"Tier 1 - Priority",IF(AD39&gt;='Scoring Guide'!$B$12,"Tier 2 - Develop",IF(AD39&gt;='Scoring Guide'!$B$13,"Tier 3 - Monitor","Tier 4 - Deprioritise"))))</f>
        <v>Not scored</v>
      </c>
    </row>
    <row r="40" ht="15.75" customHeight="1">
      <c r="A40" s="9">
        <v>39.0</v>
      </c>
      <c r="B40" s="30" t="s">
        <v>154</v>
      </c>
      <c r="C40" s="13" t="s">
        <v>44</v>
      </c>
      <c r="D40" s="13" t="s">
        <v>102</v>
      </c>
      <c r="E40" s="14">
        <v>2.375E8</v>
      </c>
      <c r="F40" s="9" t="str">
        <f t="shared" si="1"/>
        <v>Over 100 m</v>
      </c>
      <c r="G40" s="14">
        <v>2.0E11</v>
      </c>
      <c r="H40" s="14">
        <f t="shared" si="2"/>
        <v>842</v>
      </c>
      <c r="I40" s="9" t="str">
        <f t="shared" si="3"/>
        <v>Low income</v>
      </c>
      <c r="J40" s="9" t="s">
        <v>87</v>
      </c>
      <c r="K40" s="19" t="s">
        <v>88</v>
      </c>
      <c r="L40" s="19" t="s">
        <v>89</v>
      </c>
      <c r="M40" s="9" t="s">
        <v>87</v>
      </c>
      <c r="N40" s="9" t="s">
        <v>90</v>
      </c>
      <c r="O40" s="19" t="s">
        <v>103</v>
      </c>
      <c r="P40" s="9" t="s">
        <v>92</v>
      </c>
      <c r="Q40" s="13" t="s">
        <v>26</v>
      </c>
      <c r="R40" s="13" t="s">
        <v>109</v>
      </c>
      <c r="S40" s="19"/>
      <c r="T40" s="21"/>
      <c r="U40" s="21"/>
      <c r="V40" s="21"/>
      <c r="W40" s="21"/>
      <c r="X40" s="21"/>
      <c r="Y40" s="21" t="str">
        <f t="shared" si="4"/>
        <v>Manan</v>
      </c>
      <c r="Z40" s="9"/>
      <c r="AA40" s="9"/>
      <c r="AB40" s="9">
        <f t="shared" si="5"/>
        <v>4</v>
      </c>
      <c r="AC40" s="9"/>
      <c r="AD40" s="22" t="str">
        <f>IF(COUNT(Z40,AA40,AC40)=0,"",ROUND(Z40*'Scoring Guide'!$B$5+AA40*'Scoring Guide'!$B$6+AB40*'Scoring Guide'!$B$7+AC40*'Scoring Guide'!$B$8,2))</f>
        <v/>
      </c>
      <c r="AE40" s="23" t="str">
        <f>IF(AD40="","Not scored",IF(AD40&gt;='Scoring Guide'!$B$11,"Tier 1 - Priority",IF(AD40&gt;='Scoring Guide'!$B$12,"Tier 2 - Develop",IF(AD40&gt;='Scoring Guide'!$B$13,"Tier 3 - Monitor","Tier 4 - Deprioritise"))))</f>
        <v>Not scored</v>
      </c>
    </row>
    <row r="41" ht="15.75" customHeight="1">
      <c r="A41" s="9">
        <v>26.0</v>
      </c>
      <c r="B41" s="11" t="s">
        <v>155</v>
      </c>
      <c r="C41" s="13" t="s">
        <v>44</v>
      </c>
      <c r="D41" s="13" t="s">
        <v>95</v>
      </c>
      <c r="E41" s="14">
        <v>5.75E7</v>
      </c>
      <c r="F41" s="9" t="str">
        <f t="shared" si="1"/>
        <v>25-100 m</v>
      </c>
      <c r="G41" s="14">
        <v>1.21E11</v>
      </c>
      <c r="H41" s="14">
        <f t="shared" si="2"/>
        <v>2104</v>
      </c>
      <c r="I41" s="9" t="str">
        <f t="shared" si="3"/>
        <v>Lower-middle</v>
      </c>
      <c r="J41" s="9" t="s">
        <v>87</v>
      </c>
      <c r="K41" s="19" t="s">
        <v>88</v>
      </c>
      <c r="L41" s="19" t="s">
        <v>89</v>
      </c>
      <c r="M41" s="9" t="s">
        <v>87</v>
      </c>
      <c r="N41" s="9" t="s">
        <v>90</v>
      </c>
      <c r="O41" s="19" t="s">
        <v>91</v>
      </c>
      <c r="P41" s="9" t="s">
        <v>92</v>
      </c>
      <c r="Q41" s="13" t="s">
        <v>26</v>
      </c>
      <c r="R41" s="13" t="s">
        <v>109</v>
      </c>
      <c r="S41" s="19"/>
      <c r="T41" s="21"/>
      <c r="U41" s="21"/>
      <c r="V41" s="21"/>
      <c r="W41" s="21"/>
      <c r="X41" s="21"/>
      <c r="Y41" s="21" t="str">
        <f t="shared" si="4"/>
        <v>Manan</v>
      </c>
      <c r="Z41" s="9"/>
      <c r="AA41" s="9"/>
      <c r="AB41" s="9">
        <f t="shared" si="5"/>
        <v>4</v>
      </c>
      <c r="AC41" s="9"/>
      <c r="AD41" s="22" t="str">
        <f>IF(COUNT(Z41,AA41,AC41)=0,"",ROUND(Z41*'Scoring Guide'!$B$5+AA41*'Scoring Guide'!$B$6+AB41*'Scoring Guide'!$B$7+AC41*'Scoring Guide'!$B$8,2))</f>
        <v/>
      </c>
      <c r="AE41" s="23" t="str">
        <f>IF(AD41="","Not scored",IF(AD41&gt;='Scoring Guide'!$B$11,"Tier 1 - Priority",IF(AD41&gt;='Scoring Guide'!$B$12,"Tier 2 - Develop",IF(AD41&gt;='Scoring Guide'!$B$13,"Tier 3 - Monitor","Tier 4 - Deprioritise"))))</f>
        <v>Not scored</v>
      </c>
    </row>
    <row r="42" ht="15.75" customHeight="1">
      <c r="A42" s="9">
        <v>35.0</v>
      </c>
      <c r="B42" s="11" t="s">
        <v>156</v>
      </c>
      <c r="C42" s="13" t="s">
        <v>44</v>
      </c>
      <c r="D42" s="13" t="s">
        <v>112</v>
      </c>
      <c r="E42" s="14">
        <v>3.84E7</v>
      </c>
      <c r="F42" s="9" t="str">
        <f t="shared" si="1"/>
        <v>25-100 m</v>
      </c>
      <c r="G42" s="14">
        <v>1.57E11</v>
      </c>
      <c r="H42" s="14">
        <f t="shared" si="2"/>
        <v>4089</v>
      </c>
      <c r="I42" s="9" t="str">
        <f t="shared" si="3"/>
        <v>Lower-middle</v>
      </c>
      <c r="J42" s="9" t="s">
        <v>87</v>
      </c>
      <c r="K42" s="19" t="s">
        <v>88</v>
      </c>
      <c r="L42" s="19" t="s">
        <v>89</v>
      </c>
      <c r="M42" s="9" t="s">
        <v>87</v>
      </c>
      <c r="N42" s="9" t="s">
        <v>90</v>
      </c>
      <c r="O42" s="19" t="s">
        <v>91</v>
      </c>
      <c r="P42" s="9" t="s">
        <v>92</v>
      </c>
      <c r="Q42" s="13" t="s">
        <v>26</v>
      </c>
      <c r="R42" s="13" t="s">
        <v>97</v>
      </c>
      <c r="S42" s="19"/>
      <c r="T42" s="21"/>
      <c r="U42" s="21"/>
      <c r="V42" s="21"/>
      <c r="W42" s="21"/>
      <c r="X42" s="21"/>
      <c r="Y42" s="21" t="str">
        <f t="shared" si="4"/>
        <v>Manan</v>
      </c>
      <c r="Z42" s="9"/>
      <c r="AA42" s="9"/>
      <c r="AB42" s="9">
        <f t="shared" si="5"/>
        <v>4</v>
      </c>
      <c r="AC42" s="9"/>
      <c r="AD42" s="22" t="str">
        <f>IF(COUNT(Z42,AA42,AC42)=0,"",ROUND(Z42*'Scoring Guide'!$B$5+AA42*'Scoring Guide'!$B$6+AB42*'Scoring Guide'!$B$7+AC42*'Scoring Guide'!$B$8,2))</f>
        <v/>
      </c>
      <c r="AE42" s="23" t="str">
        <f>IF(AD42="","Not scored",IF(AD42&gt;='Scoring Guide'!$B$11,"Tier 1 - Priority",IF(AD42&gt;='Scoring Guide'!$B$12,"Tier 2 - Develop",IF(AD42&gt;='Scoring Guide'!$B$13,"Tier 3 - Monitor","Tier 4 - Deprioritise"))))</f>
        <v>Not scored</v>
      </c>
    </row>
    <row r="43" ht="15.75" customHeight="1">
      <c r="A43" s="9">
        <v>1.0</v>
      </c>
      <c r="B43" s="11" t="s">
        <v>157</v>
      </c>
      <c r="C43" s="13" t="s">
        <v>44</v>
      </c>
      <c r="D43" s="13" t="s">
        <v>112</v>
      </c>
      <c r="E43" s="14">
        <v>4.7E7</v>
      </c>
      <c r="F43" s="9" t="str">
        <f t="shared" si="1"/>
        <v>25-100 m</v>
      </c>
      <c r="G43" s="14">
        <v>2.6E11</v>
      </c>
      <c r="H43" s="14">
        <f t="shared" si="2"/>
        <v>5532</v>
      </c>
      <c r="I43" s="9" t="str">
        <f t="shared" si="3"/>
        <v>Upper-middle</v>
      </c>
      <c r="J43" s="9" t="s">
        <v>87</v>
      </c>
      <c r="K43" s="19" t="s">
        <v>88</v>
      </c>
      <c r="L43" s="19" t="s">
        <v>89</v>
      </c>
      <c r="M43" s="9" t="s">
        <v>87</v>
      </c>
      <c r="N43" s="9" t="s">
        <v>90</v>
      </c>
      <c r="O43" s="19" t="s">
        <v>91</v>
      </c>
      <c r="P43" s="9" t="s">
        <v>92</v>
      </c>
      <c r="Q43" s="13" t="s">
        <v>26</v>
      </c>
      <c r="R43" s="13" t="s">
        <v>97</v>
      </c>
      <c r="S43" s="19"/>
      <c r="T43" s="21"/>
      <c r="U43" s="21"/>
      <c r="V43" s="21"/>
      <c r="W43" s="21"/>
      <c r="X43" s="21"/>
      <c r="Y43" s="21" t="str">
        <f t="shared" si="4"/>
        <v>Manan</v>
      </c>
      <c r="Z43" s="9"/>
      <c r="AA43" s="9"/>
      <c r="AB43" s="9">
        <f t="shared" si="5"/>
        <v>4</v>
      </c>
      <c r="AC43" s="9"/>
      <c r="AD43" s="22" t="str">
        <f>IF(COUNT(Z43,AA43,AC43)=0,"",ROUND(Z43*'Scoring Guide'!$B$5+AA43*'Scoring Guide'!$B$6+AB43*'Scoring Guide'!$B$7+AC43*'Scoring Guide'!$B$8,2))</f>
        <v/>
      </c>
      <c r="AE43" s="23" t="str">
        <f>IF(AD43="","Not scored",IF(AD43&gt;='Scoring Guide'!$B$11,"Tier 1 - Priority",IF(AD43&gt;='Scoring Guide'!$B$12,"Tier 2 - Develop",IF(AD43&gt;='Scoring Guide'!$B$13,"Tier 3 - Monitor","Tier 4 - Deprioritise"))))</f>
        <v>Not scored</v>
      </c>
    </row>
    <row r="44" ht="15.75" customHeight="1">
      <c r="A44" s="9">
        <v>46.0</v>
      </c>
      <c r="B44" s="11" t="s">
        <v>158</v>
      </c>
      <c r="C44" s="13" t="s">
        <v>44</v>
      </c>
      <c r="D44" s="13" t="s">
        <v>159</v>
      </c>
      <c r="E44" s="14">
        <v>6.47E7</v>
      </c>
      <c r="F44" s="9" t="str">
        <f t="shared" si="1"/>
        <v>25-100 m</v>
      </c>
      <c r="G44" s="14">
        <v>4.03E11</v>
      </c>
      <c r="H44" s="14">
        <f t="shared" si="2"/>
        <v>6229</v>
      </c>
      <c r="I44" s="9" t="str">
        <f t="shared" si="3"/>
        <v>Upper-middle</v>
      </c>
      <c r="J44" s="9" t="s">
        <v>87</v>
      </c>
      <c r="K44" s="19" t="s">
        <v>88</v>
      </c>
      <c r="L44" s="19" t="s">
        <v>89</v>
      </c>
      <c r="M44" s="9" t="s">
        <v>87</v>
      </c>
      <c r="N44" s="9" t="s">
        <v>90</v>
      </c>
      <c r="O44" s="19" t="s">
        <v>91</v>
      </c>
      <c r="P44" s="9" t="s">
        <v>92</v>
      </c>
      <c r="Q44" s="13" t="s">
        <v>26</v>
      </c>
      <c r="R44" s="13" t="s">
        <v>109</v>
      </c>
      <c r="S44" s="19"/>
      <c r="T44" s="21"/>
      <c r="U44" s="21"/>
      <c r="V44" s="21"/>
      <c r="W44" s="21"/>
      <c r="X44" s="21"/>
      <c r="Y44" s="21" t="str">
        <f t="shared" si="4"/>
        <v>Manan</v>
      </c>
      <c r="Z44" s="9"/>
      <c r="AA44" s="9"/>
      <c r="AB44" s="9">
        <f t="shared" si="5"/>
        <v>4</v>
      </c>
      <c r="AC44" s="9"/>
      <c r="AD44" s="22" t="str">
        <f>IF(COUNT(Z44,AA44,AC44)=0,"",ROUND(Z44*'Scoring Guide'!$B$5+AA44*'Scoring Guide'!$B$6+AB44*'Scoring Guide'!$B$7+AC44*'Scoring Guide'!$B$8,2))</f>
        <v/>
      </c>
      <c r="AE44" s="23" t="str">
        <f>IF(AD44="","Not scored",IF(AD44&gt;='Scoring Guide'!$B$11,"Tier 1 - Priority",IF(AD44&gt;='Scoring Guide'!$B$12,"Tier 2 - Develop",IF(AD44&gt;='Scoring Guide'!$B$13,"Tier 3 - Monitor","Tier 4 - Deprioritise"))))</f>
        <v>Not scored</v>
      </c>
    </row>
    <row r="45" ht="15.75" customHeight="1">
      <c r="A45" s="9">
        <v>25.0</v>
      </c>
      <c r="B45" s="11" t="s">
        <v>160</v>
      </c>
      <c r="C45" s="13" t="s">
        <v>44</v>
      </c>
      <c r="D45" s="13" t="s">
        <v>102</v>
      </c>
      <c r="E45" s="14">
        <v>2200000.0</v>
      </c>
      <c r="F45" s="9" t="str">
        <f t="shared" si="1"/>
        <v>1-5 m</v>
      </c>
      <c r="G45" s="14">
        <v>2.0E9</v>
      </c>
      <c r="H45" s="14">
        <f t="shared" si="2"/>
        <v>909</v>
      </c>
      <c r="I45" s="9" t="str">
        <f t="shared" si="3"/>
        <v>Low income</v>
      </c>
      <c r="J45" s="9" t="s">
        <v>87</v>
      </c>
      <c r="K45" s="19" t="s">
        <v>88</v>
      </c>
      <c r="L45" s="19" t="s">
        <v>89</v>
      </c>
      <c r="M45" s="9" t="s">
        <v>87</v>
      </c>
      <c r="N45" s="9" t="s">
        <v>90</v>
      </c>
      <c r="O45" s="19" t="s">
        <v>103</v>
      </c>
      <c r="P45" s="9" t="s">
        <v>92</v>
      </c>
      <c r="Q45" s="13" t="s">
        <v>26</v>
      </c>
      <c r="R45" s="13" t="s">
        <v>93</v>
      </c>
      <c r="S45" s="19"/>
      <c r="T45" s="21"/>
      <c r="U45" s="21"/>
      <c r="V45" s="21"/>
      <c r="W45" s="21"/>
      <c r="X45" s="21"/>
      <c r="Y45" s="21" t="str">
        <f t="shared" si="4"/>
        <v>Manan</v>
      </c>
      <c r="Z45" s="9"/>
      <c r="AA45" s="9"/>
      <c r="AB45" s="9">
        <f t="shared" si="5"/>
        <v>4</v>
      </c>
      <c r="AC45" s="9"/>
      <c r="AD45" s="22" t="str">
        <f>IF(COUNT(Z45,AA45,AC45)=0,"",ROUND(Z45*'Scoring Guide'!$B$5+AA45*'Scoring Guide'!$B$6+AB45*'Scoring Guide'!$B$7+AC45*'Scoring Guide'!$B$8,2))</f>
        <v/>
      </c>
      <c r="AE45" s="23" t="str">
        <f>IF(AD45="","Not scored",IF(AD45&gt;='Scoring Guide'!$B$11,"Tier 1 - Priority",IF(AD45&gt;='Scoring Guide'!$B$12,"Tier 2 - Develop",IF(AD45&gt;='Scoring Guide'!$B$13,"Tier 3 - Monitor","Tier 4 - Deprioritise"))))</f>
        <v>Not scored</v>
      </c>
    </row>
    <row r="46" ht="15.75" customHeight="1">
      <c r="A46" s="9">
        <v>27.0</v>
      </c>
      <c r="B46" s="11" t="s">
        <v>161</v>
      </c>
      <c r="C46" s="13" t="s">
        <v>44</v>
      </c>
      <c r="D46" s="13" t="s">
        <v>159</v>
      </c>
      <c r="E46" s="14">
        <v>2350000.0</v>
      </c>
      <c r="F46" s="9" t="str">
        <f t="shared" si="1"/>
        <v>1-5 m</v>
      </c>
      <c r="G46" s="14">
        <v>2.1E9</v>
      </c>
      <c r="H46" s="14">
        <f t="shared" si="2"/>
        <v>894</v>
      </c>
      <c r="I46" s="9" t="str">
        <f t="shared" si="3"/>
        <v>Low income</v>
      </c>
      <c r="J46" s="9" t="s">
        <v>87</v>
      </c>
      <c r="K46" s="19" t="s">
        <v>88</v>
      </c>
      <c r="L46" s="19" t="s">
        <v>89</v>
      </c>
      <c r="M46" s="9" t="s">
        <v>87</v>
      </c>
      <c r="N46" s="9" t="s">
        <v>108</v>
      </c>
      <c r="O46" s="19" t="s">
        <v>91</v>
      </c>
      <c r="P46" s="9" t="s">
        <v>92</v>
      </c>
      <c r="Q46" s="13" t="s">
        <v>26</v>
      </c>
      <c r="R46" s="13" t="s">
        <v>109</v>
      </c>
      <c r="S46" s="19"/>
      <c r="T46" s="21"/>
      <c r="U46" s="21"/>
      <c r="V46" s="21"/>
      <c r="W46" s="21"/>
      <c r="X46" s="21"/>
      <c r="Y46" s="21" t="str">
        <f t="shared" si="4"/>
        <v>Manan</v>
      </c>
      <c r="Z46" s="9"/>
      <c r="AA46" s="9"/>
      <c r="AB46" s="9">
        <f t="shared" si="5"/>
        <v>4</v>
      </c>
      <c r="AC46" s="9"/>
      <c r="AD46" s="22" t="str">
        <f>IF(COUNT(Z46,AA46,AC46)=0,"",ROUND(Z46*'Scoring Guide'!$B$5+AA46*'Scoring Guide'!$B$6+AB46*'Scoring Guide'!$B$7+AC46*'Scoring Guide'!$B$8,2))</f>
        <v/>
      </c>
      <c r="AE46" s="23" t="str">
        <f>IF(AD46="","Not scored",IF(AD46&gt;='Scoring Guide'!$B$11,"Tier 1 - Priority",IF(AD46&gt;='Scoring Guide'!$B$12,"Tier 2 - Develop",IF(AD46&gt;='Scoring Guide'!$B$13,"Tier 3 - Monitor","Tier 4 - Deprioritise"))))</f>
        <v>Not scored</v>
      </c>
    </row>
    <row r="47" ht="15.75" customHeight="1">
      <c r="A47" s="9">
        <v>18.0</v>
      </c>
      <c r="B47" s="11" t="s">
        <v>162</v>
      </c>
      <c r="C47" s="13" t="s">
        <v>44</v>
      </c>
      <c r="D47" s="13" t="s">
        <v>95</v>
      </c>
      <c r="E47" s="14">
        <v>3700000.0</v>
      </c>
      <c r="F47" s="9" t="str">
        <f t="shared" si="1"/>
        <v>1-5 m</v>
      </c>
      <c r="G47" s="14">
        <v>2.7E9</v>
      </c>
      <c r="H47" s="14">
        <f t="shared" si="2"/>
        <v>730</v>
      </c>
      <c r="I47" s="9" t="str">
        <f t="shared" si="3"/>
        <v>Low income</v>
      </c>
      <c r="J47" s="9" t="s">
        <v>87</v>
      </c>
      <c r="K47" s="19" t="s">
        <v>88</v>
      </c>
      <c r="L47" s="19" t="s">
        <v>89</v>
      </c>
      <c r="M47" s="9" t="s">
        <v>87</v>
      </c>
      <c r="N47" s="9" t="s">
        <v>90</v>
      </c>
      <c r="O47" s="19" t="s">
        <v>91</v>
      </c>
      <c r="P47" s="9" t="s">
        <v>163</v>
      </c>
      <c r="Q47" s="13" t="s">
        <v>26</v>
      </c>
      <c r="R47" s="13" t="s">
        <v>109</v>
      </c>
      <c r="S47" s="19"/>
      <c r="T47" s="21"/>
      <c r="U47" s="21"/>
      <c r="V47" s="21"/>
      <c r="W47" s="21"/>
      <c r="X47" s="21"/>
      <c r="Y47" s="21" t="str">
        <f t="shared" si="4"/>
        <v>Manan</v>
      </c>
      <c r="Z47" s="9"/>
      <c r="AA47" s="9"/>
      <c r="AB47" s="9">
        <f t="shared" si="5"/>
        <v>4</v>
      </c>
      <c r="AC47" s="9"/>
      <c r="AD47" s="22" t="str">
        <f>IF(COUNT(Z47,AA47,AC47)=0,"",ROUND(Z47*'Scoring Guide'!$B$5+AA47*'Scoring Guide'!$B$6+AB47*'Scoring Guide'!$B$7+AC47*'Scoring Guide'!$B$8,2))</f>
        <v/>
      </c>
      <c r="AE47" s="23" t="str">
        <f>IF(AD47="","Not scored",IF(AD47&gt;='Scoring Guide'!$B$11,"Tier 1 - Priority",IF(AD47&gt;='Scoring Guide'!$B$12,"Tier 2 - Develop",IF(AD47&gt;='Scoring Guide'!$B$13,"Tier 3 - Monitor","Tier 4 - Deprioritise"))))</f>
        <v>Not scored</v>
      </c>
    </row>
    <row r="48" ht="15.75" customHeight="1">
      <c r="A48" s="9">
        <v>22.0</v>
      </c>
      <c r="B48" s="11" t="s">
        <v>164</v>
      </c>
      <c r="C48" s="13" t="s">
        <v>44</v>
      </c>
      <c r="D48" s="13" t="s">
        <v>102</v>
      </c>
      <c r="E48" s="14">
        <v>2800000.0</v>
      </c>
      <c r="F48" s="9" t="str">
        <f t="shared" si="1"/>
        <v>1-5 m</v>
      </c>
      <c r="G48" s="14">
        <v>2.7E9</v>
      </c>
      <c r="H48" s="14">
        <f t="shared" si="2"/>
        <v>964</v>
      </c>
      <c r="I48" s="9" t="str">
        <f t="shared" si="3"/>
        <v>Low income</v>
      </c>
      <c r="J48" s="9" t="s">
        <v>87</v>
      </c>
      <c r="K48" s="19" t="s">
        <v>88</v>
      </c>
      <c r="L48" s="19" t="s">
        <v>89</v>
      </c>
      <c r="M48" s="9" t="s">
        <v>87</v>
      </c>
      <c r="N48" s="9" t="s">
        <v>90</v>
      </c>
      <c r="O48" s="19" t="s">
        <v>103</v>
      </c>
      <c r="P48" s="9" t="s">
        <v>92</v>
      </c>
      <c r="Q48" s="13" t="s">
        <v>26</v>
      </c>
      <c r="R48" s="13" t="s">
        <v>109</v>
      </c>
      <c r="S48" s="19"/>
      <c r="T48" s="21"/>
      <c r="U48" s="21"/>
      <c r="V48" s="21"/>
      <c r="W48" s="21"/>
      <c r="X48" s="21"/>
      <c r="Y48" s="21" t="str">
        <f t="shared" si="4"/>
        <v>Manan</v>
      </c>
      <c r="Z48" s="9"/>
      <c r="AA48" s="9"/>
      <c r="AB48" s="9">
        <f t="shared" si="5"/>
        <v>4</v>
      </c>
      <c r="AC48" s="9"/>
      <c r="AD48" s="22" t="str">
        <f>IF(COUNT(Z48,AA48,AC48)=0,"",ROUND(Z48*'Scoring Guide'!$B$5+AA48*'Scoring Guide'!$B$6+AB48*'Scoring Guide'!$B$7+AC48*'Scoring Guide'!$B$8,2))</f>
        <v/>
      </c>
      <c r="AE48" s="23" t="str">
        <f>IF(AD48="","Not scored",IF(AD48&gt;='Scoring Guide'!$B$11,"Tier 1 - Priority",IF(AD48&gt;='Scoring Guide'!$B$12,"Tier 2 - Develop",IF(AD48&gt;='Scoring Guide'!$B$13,"Tier 3 - Monitor","Tier 4 - Deprioritise"))))</f>
        <v>Not scored</v>
      </c>
    </row>
    <row r="49" ht="15.75" customHeight="1">
      <c r="A49" s="9">
        <v>15.0</v>
      </c>
      <c r="B49" s="11" t="s">
        <v>165</v>
      </c>
      <c r="C49" s="13" t="s">
        <v>44</v>
      </c>
      <c r="D49" s="13" t="s">
        <v>95</v>
      </c>
      <c r="E49" s="14">
        <v>1200000.0</v>
      </c>
      <c r="F49" s="9" t="str">
        <f t="shared" si="1"/>
        <v>1-5 m</v>
      </c>
      <c r="G49" s="14">
        <v>4.4E9</v>
      </c>
      <c r="H49" s="14">
        <f t="shared" si="2"/>
        <v>3667</v>
      </c>
      <c r="I49" s="9" t="str">
        <f t="shared" si="3"/>
        <v>Lower-middle</v>
      </c>
      <c r="J49" s="9" t="s">
        <v>87</v>
      </c>
      <c r="K49" s="19" t="s">
        <v>88</v>
      </c>
      <c r="L49" s="19" t="s">
        <v>89</v>
      </c>
      <c r="M49" s="9" t="s">
        <v>87</v>
      </c>
      <c r="N49" s="9" t="s">
        <v>90</v>
      </c>
      <c r="O49" s="19" t="s">
        <v>91</v>
      </c>
      <c r="P49" s="9" t="s">
        <v>92</v>
      </c>
      <c r="Q49" s="13" t="s">
        <v>26</v>
      </c>
      <c r="R49" s="13" t="s">
        <v>99</v>
      </c>
      <c r="S49" s="19"/>
      <c r="T49" s="21"/>
      <c r="U49" s="21"/>
      <c r="V49" s="21"/>
      <c r="W49" s="21"/>
      <c r="X49" s="21"/>
      <c r="Y49" s="21" t="str">
        <f t="shared" si="4"/>
        <v>Manan</v>
      </c>
      <c r="Z49" s="9"/>
      <c r="AA49" s="9"/>
      <c r="AB49" s="9">
        <f t="shared" si="5"/>
        <v>4</v>
      </c>
      <c r="AC49" s="9"/>
      <c r="AD49" s="22" t="str">
        <f>IF(COUNT(Z49,AA49,AC49)=0,"",ROUND(Z49*'Scoring Guide'!$B$5+AA49*'Scoring Guide'!$B$6+AB49*'Scoring Guide'!$B$7+AC49*'Scoring Guide'!$B$8,2))</f>
        <v/>
      </c>
      <c r="AE49" s="23" t="str">
        <f>IF(AD49="","Not scored",IF(AD49&gt;='Scoring Guide'!$B$11,"Tier 1 - Priority",IF(AD49&gt;='Scoring Guide'!$B$12,"Tier 2 - Develop",IF(AD49&gt;='Scoring Guide'!$B$13,"Tier 3 - Monitor","Tier 4 - Deprioritise"))))</f>
        <v>Not scored</v>
      </c>
    </row>
    <row r="50" ht="15.75" customHeight="1">
      <c r="A50" s="9">
        <v>19.0</v>
      </c>
      <c r="B50" s="11" t="s">
        <v>166</v>
      </c>
      <c r="C50" s="13" t="s">
        <v>44</v>
      </c>
      <c r="D50" s="13" t="s">
        <v>159</v>
      </c>
      <c r="E50" s="14">
        <v>1250000.0</v>
      </c>
      <c r="F50" s="9" t="str">
        <f t="shared" si="1"/>
        <v>1-5 m</v>
      </c>
      <c r="G50" s="14">
        <v>4.8E9</v>
      </c>
      <c r="H50" s="14">
        <f t="shared" si="2"/>
        <v>3840</v>
      </c>
      <c r="I50" s="9" t="str">
        <f t="shared" si="3"/>
        <v>Lower-middle</v>
      </c>
      <c r="J50" s="9" t="s">
        <v>87</v>
      </c>
      <c r="K50" s="19" t="s">
        <v>88</v>
      </c>
      <c r="L50" s="19" t="s">
        <v>89</v>
      </c>
      <c r="M50" s="9" t="s">
        <v>87</v>
      </c>
      <c r="N50" s="9" t="s">
        <v>108</v>
      </c>
      <c r="O50" s="19" t="s">
        <v>91</v>
      </c>
      <c r="P50" s="9" t="s">
        <v>92</v>
      </c>
      <c r="Q50" s="13" t="s">
        <v>26</v>
      </c>
      <c r="R50" s="13" t="s">
        <v>109</v>
      </c>
      <c r="S50" s="19"/>
      <c r="T50" s="21"/>
      <c r="U50" s="21"/>
      <c r="V50" s="21"/>
      <c r="W50" s="21"/>
      <c r="X50" s="21"/>
      <c r="Y50" s="21" t="str">
        <f t="shared" si="4"/>
        <v>Manan</v>
      </c>
      <c r="Z50" s="9"/>
      <c r="AA50" s="9"/>
      <c r="AB50" s="9">
        <f t="shared" si="5"/>
        <v>4</v>
      </c>
      <c r="AC50" s="9"/>
      <c r="AD50" s="22" t="str">
        <f>IF(COUNT(Z50,AA50,AC50)=0,"",ROUND(Z50*'Scoring Guide'!$B$5+AA50*'Scoring Guide'!$B$6+AB50*'Scoring Guide'!$B$7+AC50*'Scoring Guide'!$B$8,2))</f>
        <v/>
      </c>
      <c r="AE50" s="23" t="str">
        <f>IF(AD50="","Not scored",IF(AD50&gt;='Scoring Guide'!$B$11,"Tier 1 - Priority",IF(AD50&gt;='Scoring Guide'!$B$12,"Tier 2 - Develop",IF(AD50&gt;='Scoring Guide'!$B$13,"Tier 3 - Monitor","Tier 4 - Deprioritise"))))</f>
        <v>Not scored</v>
      </c>
    </row>
    <row r="51" ht="15.75" customHeight="1">
      <c r="A51" s="9">
        <v>17.0</v>
      </c>
      <c r="B51" s="11" t="s">
        <v>167</v>
      </c>
      <c r="C51" s="13" t="s">
        <v>44</v>
      </c>
      <c r="D51" s="13" t="s">
        <v>54</v>
      </c>
      <c r="E51" s="14">
        <v>1900000.0</v>
      </c>
      <c r="F51" s="9" t="str">
        <f t="shared" si="1"/>
        <v>1-5 m</v>
      </c>
      <c r="G51" s="14">
        <v>1.21E10</v>
      </c>
      <c r="H51" s="14">
        <f t="shared" si="2"/>
        <v>6368</v>
      </c>
      <c r="I51" s="9" t="str">
        <f t="shared" si="3"/>
        <v>Upper-middle</v>
      </c>
      <c r="J51" s="9" t="s">
        <v>87</v>
      </c>
      <c r="K51" s="19" t="s">
        <v>88</v>
      </c>
      <c r="L51" s="19" t="s">
        <v>89</v>
      </c>
      <c r="M51" s="9" t="s">
        <v>87</v>
      </c>
      <c r="N51" s="9" t="s">
        <v>90</v>
      </c>
      <c r="O51" s="19" t="s">
        <v>91</v>
      </c>
      <c r="P51" s="9" t="s">
        <v>92</v>
      </c>
      <c r="Q51" s="13" t="s">
        <v>26</v>
      </c>
      <c r="R51" s="13" t="s">
        <v>168</v>
      </c>
      <c r="S51" s="19"/>
      <c r="T51" s="21"/>
      <c r="U51" s="21"/>
      <c r="V51" s="21"/>
      <c r="W51" s="21"/>
      <c r="X51" s="21"/>
      <c r="Y51" s="21" t="str">
        <f t="shared" si="4"/>
        <v>Manan</v>
      </c>
      <c r="Z51" s="9"/>
      <c r="AA51" s="9"/>
      <c r="AB51" s="9">
        <f t="shared" si="5"/>
        <v>4</v>
      </c>
      <c r="AC51" s="9"/>
      <c r="AD51" s="22" t="str">
        <f>IF(COUNT(Z51,AA51,AC51)=0,"",ROUND(Z51*'Scoring Guide'!$B$5+AA51*'Scoring Guide'!$B$6+AB51*'Scoring Guide'!$B$7+AC51*'Scoring Guide'!$B$8,2))</f>
        <v/>
      </c>
      <c r="AE51" s="23" t="str">
        <f>IF(AD51="","Not scored",IF(AD51&gt;='Scoring Guide'!$B$11,"Tier 1 - Priority",IF(AD51&gt;='Scoring Guide'!$B$12,"Tier 2 - Develop",IF(AD51&gt;='Scoring Guide'!$B$13,"Tier 3 - Monitor","Tier 4 - Deprioritise"))))</f>
        <v>Not scored</v>
      </c>
    </row>
    <row r="52" ht="15.75" customHeight="1">
      <c r="A52" s="9">
        <v>37.0</v>
      </c>
      <c r="B52" s="11" t="s">
        <v>169</v>
      </c>
      <c r="C52" s="13" t="s">
        <v>44</v>
      </c>
      <c r="D52" s="13" t="s">
        <v>159</v>
      </c>
      <c r="E52" s="14">
        <v>3100000.0</v>
      </c>
      <c r="F52" s="9" t="str">
        <f t="shared" si="1"/>
        <v>1-5 m</v>
      </c>
      <c r="G52" s="14">
        <v>1.31E10</v>
      </c>
      <c r="H52" s="14">
        <f t="shared" si="2"/>
        <v>4226</v>
      </c>
      <c r="I52" s="9" t="str">
        <f t="shared" si="3"/>
        <v>Lower-middle</v>
      </c>
      <c r="J52" s="9" t="s">
        <v>87</v>
      </c>
      <c r="K52" s="19" t="s">
        <v>88</v>
      </c>
      <c r="L52" s="19" t="s">
        <v>89</v>
      </c>
      <c r="M52" s="9" t="s">
        <v>87</v>
      </c>
      <c r="N52" s="9" t="s">
        <v>90</v>
      </c>
      <c r="O52" s="19" t="s">
        <v>91</v>
      </c>
      <c r="P52" s="9" t="s">
        <v>92</v>
      </c>
      <c r="Q52" s="13" t="s">
        <v>26</v>
      </c>
      <c r="R52" s="13" t="s">
        <v>109</v>
      </c>
      <c r="S52" s="19"/>
      <c r="T52" s="21"/>
      <c r="U52" s="21"/>
      <c r="V52" s="21"/>
      <c r="W52" s="21"/>
      <c r="X52" s="21"/>
      <c r="Y52" s="21" t="str">
        <f t="shared" si="4"/>
        <v>Manan</v>
      </c>
      <c r="Z52" s="9"/>
      <c r="AA52" s="9"/>
      <c r="AB52" s="9">
        <f t="shared" si="5"/>
        <v>4</v>
      </c>
      <c r="AC52" s="9"/>
      <c r="AD52" s="22" t="str">
        <f>IF(COUNT(Z52,AA52,AC52)=0,"",ROUND(Z52*'Scoring Guide'!$B$5+AA52*'Scoring Guide'!$B$6+AB52*'Scoring Guide'!$B$7+AC52*'Scoring Guide'!$B$8,2))</f>
        <v/>
      </c>
      <c r="AE52" s="23" t="str">
        <f>IF(AD52="","Not scored",IF(AD52&gt;='Scoring Guide'!$B$11,"Tier 1 - Priority",IF(AD52&gt;='Scoring Guide'!$B$12,"Tier 2 - Develop",IF(AD52&gt;='Scoring Guide'!$B$13,"Tier 3 - Monitor","Tier 4 - Deprioritise"))))</f>
        <v>Not scored</v>
      </c>
    </row>
    <row r="53" ht="15.75" customHeight="1">
      <c r="A53" s="9">
        <v>34.0</v>
      </c>
      <c r="B53" s="11" t="s">
        <v>170</v>
      </c>
      <c r="C53" s="13" t="s">
        <v>44</v>
      </c>
      <c r="D53" s="13" t="s">
        <v>95</v>
      </c>
      <c r="E53" s="14">
        <v>1270000.0</v>
      </c>
      <c r="F53" s="9" t="str">
        <f t="shared" si="1"/>
        <v>1-5 m</v>
      </c>
      <c r="G53" s="14">
        <v>1.65E10</v>
      </c>
      <c r="H53" s="14">
        <f t="shared" si="2"/>
        <v>12992</v>
      </c>
      <c r="I53" s="9" t="str">
        <f t="shared" si="3"/>
        <v>Upper-middle</v>
      </c>
      <c r="J53" s="9" t="s">
        <v>87</v>
      </c>
      <c r="K53" s="19" t="s">
        <v>88</v>
      </c>
      <c r="L53" s="19" t="s">
        <v>89</v>
      </c>
      <c r="M53" s="9" t="s">
        <v>87</v>
      </c>
      <c r="N53" s="9" t="s">
        <v>90</v>
      </c>
      <c r="O53" s="19" t="s">
        <v>91</v>
      </c>
      <c r="P53" s="9" t="s">
        <v>92</v>
      </c>
      <c r="Q53" s="13" t="s">
        <v>26</v>
      </c>
      <c r="R53" s="13" t="s">
        <v>99</v>
      </c>
      <c r="S53" s="19"/>
      <c r="T53" s="21"/>
      <c r="U53" s="21"/>
      <c r="V53" s="21"/>
      <c r="W53" s="21"/>
      <c r="X53" s="21"/>
      <c r="Y53" s="21" t="str">
        <f t="shared" si="4"/>
        <v>Manan</v>
      </c>
      <c r="Z53" s="9"/>
      <c r="AA53" s="9"/>
      <c r="AB53" s="9">
        <f t="shared" si="5"/>
        <v>4</v>
      </c>
      <c r="AC53" s="9"/>
      <c r="AD53" s="22" t="str">
        <f>IF(COUNT(Z53,AA53,AC53)=0,"",ROUND(Z53*'Scoring Guide'!$B$5+AA53*'Scoring Guide'!$B$6+AB53*'Scoring Guide'!$B$7+AC53*'Scoring Guide'!$B$8,2))</f>
        <v/>
      </c>
      <c r="AE53" s="23" t="str">
        <f>IF(AD53="","Not scored",IF(AD53&gt;='Scoring Guide'!$B$11,"Tier 1 - Priority",IF(AD53&gt;='Scoring Guide'!$B$12,"Tier 2 - Develop",IF(AD53&gt;='Scoring Guide'!$B$13,"Tier 3 - Monitor","Tier 4 - Deprioritise"))))</f>
        <v>Not scored</v>
      </c>
    </row>
    <row r="54" ht="15.75" customHeight="1">
      <c r="A54" s="9">
        <v>4.0</v>
      </c>
      <c r="B54" s="11" t="s">
        <v>171</v>
      </c>
      <c r="C54" s="13" t="s">
        <v>44</v>
      </c>
      <c r="D54" s="13" t="s">
        <v>159</v>
      </c>
      <c r="E54" s="14">
        <v>2500000.0</v>
      </c>
      <c r="F54" s="9" t="str">
        <f t="shared" si="1"/>
        <v>1-5 m</v>
      </c>
      <c r="G54" s="14">
        <v>1.94E10</v>
      </c>
      <c r="H54" s="14">
        <f t="shared" si="2"/>
        <v>7760</v>
      </c>
      <c r="I54" s="9" t="str">
        <f t="shared" si="3"/>
        <v>Upper-middle</v>
      </c>
      <c r="J54" s="9" t="s">
        <v>87</v>
      </c>
      <c r="K54" s="19" t="s">
        <v>88</v>
      </c>
      <c r="L54" s="19" t="s">
        <v>89</v>
      </c>
      <c r="M54" s="9" t="s">
        <v>87</v>
      </c>
      <c r="N54" s="9" t="s">
        <v>108</v>
      </c>
      <c r="O54" s="19" t="s">
        <v>91</v>
      </c>
      <c r="P54" s="9" t="s">
        <v>92</v>
      </c>
      <c r="Q54" s="13" t="s">
        <v>26</v>
      </c>
      <c r="R54" s="13" t="s">
        <v>109</v>
      </c>
      <c r="S54" s="19"/>
      <c r="T54" s="21"/>
      <c r="U54" s="21"/>
      <c r="V54" s="21"/>
      <c r="W54" s="21"/>
      <c r="X54" s="21"/>
      <c r="Y54" s="21" t="str">
        <f t="shared" si="4"/>
        <v>Manan</v>
      </c>
      <c r="Z54" s="9"/>
      <c r="AA54" s="9"/>
      <c r="AB54" s="9">
        <f t="shared" si="5"/>
        <v>4</v>
      </c>
      <c r="AC54" s="9"/>
      <c r="AD54" s="22" t="str">
        <f>IF(COUNT(Z54,AA54,AC54)=0,"",ROUND(Z54*'Scoring Guide'!$B$5+AA54*'Scoring Guide'!$B$6+AB54*'Scoring Guide'!$B$7+AC54*'Scoring Guide'!$B$8,2))</f>
        <v/>
      </c>
      <c r="AE54" s="23" t="str">
        <f>IF(AD54="","Not scored",IF(AD54&gt;='Scoring Guide'!$B$11,"Tier 1 - Priority",IF(AD54&gt;='Scoring Guide'!$B$12,"Tier 2 - Develop",IF(AD54&gt;='Scoring Guide'!$B$13,"Tier 3 - Monitor","Tier 4 - Deprioritise"))))</f>
        <v>Not scored</v>
      </c>
    </row>
    <row r="55" ht="15.75" customHeight="1">
      <c r="A55" s="9">
        <v>21.0</v>
      </c>
      <c r="B55" s="11" t="s">
        <v>172</v>
      </c>
      <c r="C55" s="13" t="s">
        <v>44</v>
      </c>
      <c r="D55" s="13" t="s">
        <v>54</v>
      </c>
      <c r="E55" s="14">
        <v>2600000.0</v>
      </c>
      <c r="F55" s="9" t="str">
        <f t="shared" si="1"/>
        <v>1-5 m</v>
      </c>
      <c r="G55" s="14">
        <v>2.1E10</v>
      </c>
      <c r="H55" s="14">
        <f t="shared" si="2"/>
        <v>8077</v>
      </c>
      <c r="I55" s="9" t="str">
        <f t="shared" si="3"/>
        <v>Upper-middle</v>
      </c>
      <c r="J55" s="9" t="s">
        <v>87</v>
      </c>
      <c r="K55" s="19" t="s">
        <v>88</v>
      </c>
      <c r="L55" s="19" t="s">
        <v>89</v>
      </c>
      <c r="M55" s="9" t="s">
        <v>87</v>
      </c>
      <c r="N55" s="9" t="s">
        <v>90</v>
      </c>
      <c r="O55" s="19" t="s">
        <v>91</v>
      </c>
      <c r="P55" s="9" t="s">
        <v>92</v>
      </c>
      <c r="Q55" s="13" t="s">
        <v>26</v>
      </c>
      <c r="R55" s="13" t="s">
        <v>105</v>
      </c>
      <c r="S55" s="19"/>
      <c r="T55" s="21"/>
      <c r="U55" s="21"/>
      <c r="V55" s="21"/>
      <c r="W55" s="21"/>
      <c r="X55" s="21"/>
      <c r="Y55" s="21" t="str">
        <f t="shared" si="4"/>
        <v>Manan</v>
      </c>
      <c r="Z55" s="9"/>
      <c r="AA55" s="9"/>
      <c r="AB55" s="9">
        <f t="shared" si="5"/>
        <v>4</v>
      </c>
      <c r="AC55" s="9"/>
      <c r="AD55" s="22" t="str">
        <f>IF(COUNT(Z55,AA55,AC55)=0,"",ROUND(Z55*'Scoring Guide'!$B$5+AA55*'Scoring Guide'!$B$6+AB55*'Scoring Guide'!$B$7+AC55*'Scoring Guide'!$B$8,2))</f>
        <v/>
      </c>
      <c r="AE55" s="23" t="str">
        <f>IF(AD55="","Not scored",IF(AD55&gt;='Scoring Guide'!$B$11,"Tier 1 - Priority",IF(AD55&gt;='Scoring Guide'!$B$12,"Tier 2 - Develop",IF(AD55&gt;='Scoring Guide'!$B$13,"Tier 3 - Monitor","Tier 4 - Deprioritise"))))</f>
        <v>Not scored</v>
      </c>
    </row>
    <row r="56" ht="15.75" hidden="1" customHeight="1">
      <c r="A56" s="9">
        <v>55.0</v>
      </c>
      <c r="B56" s="13" t="s">
        <v>173</v>
      </c>
      <c r="C56" s="13" t="s">
        <v>96</v>
      </c>
      <c r="D56" s="13" t="s">
        <v>174</v>
      </c>
      <c r="E56" s="14">
        <v>4.38E7</v>
      </c>
      <c r="F56" s="9" t="str">
        <f t="shared" si="1"/>
        <v>25-100 m</v>
      </c>
      <c r="G56" s="14">
        <v>1.72E10</v>
      </c>
      <c r="H56" s="14">
        <f t="shared" si="2"/>
        <v>393</v>
      </c>
      <c r="I56" s="9" t="str">
        <f t="shared" si="3"/>
        <v>Low income</v>
      </c>
      <c r="J56" s="9" t="s">
        <v>90</v>
      </c>
      <c r="K56" s="19" t="s">
        <v>175</v>
      </c>
      <c r="L56" s="19" t="s">
        <v>176</v>
      </c>
      <c r="M56" s="9" t="s">
        <v>177</v>
      </c>
      <c r="N56" s="9" t="s">
        <v>108</v>
      </c>
      <c r="O56" s="19" t="s">
        <v>178</v>
      </c>
      <c r="P56" s="9" t="s">
        <v>178</v>
      </c>
      <c r="Q56" s="13" t="s">
        <v>179</v>
      </c>
      <c r="R56" s="13" t="s">
        <v>180</v>
      </c>
      <c r="S56" s="19"/>
      <c r="T56" s="21"/>
      <c r="U56" s="21"/>
      <c r="V56" s="21"/>
      <c r="W56" s="21"/>
      <c r="X56" s="21"/>
      <c r="Y56" s="21" t="str">
        <f t="shared" si="4"/>
        <v>Aditya</v>
      </c>
      <c r="Z56" s="9"/>
      <c r="AA56" s="9"/>
      <c r="AB56" s="9">
        <f t="shared" si="5"/>
        <v>1</v>
      </c>
      <c r="AC56" s="9"/>
      <c r="AD56" s="22" t="str">
        <f>IF(COUNT(Z56,AA56,AC56)=0,"",ROUND(Z56*'Scoring Guide'!$B$5+AA56*'Scoring Guide'!$B$6+AB56*'Scoring Guide'!$B$7+AC56*'Scoring Guide'!$B$8,2))</f>
        <v/>
      </c>
      <c r="AE56" s="23" t="str">
        <f>IF(AD56="","Not scored",IF(AD56&gt;='Scoring Guide'!$B$11,"Tier 1 - Priority",IF(AD56&gt;='Scoring Guide'!$B$12,"Tier 2 - Develop",IF(AD56&gt;='Scoring Guide'!$B$13,"Tier 3 - Monitor","Tier 4 - Deprioritise"))))</f>
        <v>Not scored</v>
      </c>
    </row>
    <row r="57" ht="15.75" hidden="1" customHeight="1">
      <c r="A57" s="9">
        <v>56.0</v>
      </c>
      <c r="B57" s="13" t="s">
        <v>181</v>
      </c>
      <c r="C57" s="13" t="s">
        <v>96</v>
      </c>
      <c r="D57" s="13" t="s">
        <v>182</v>
      </c>
      <c r="E57" s="14">
        <v>3000000.0</v>
      </c>
      <c r="F57" s="9" t="str">
        <f t="shared" si="1"/>
        <v>1-5 m</v>
      </c>
      <c r="G57" s="14">
        <v>2.54E10</v>
      </c>
      <c r="H57" s="14">
        <f t="shared" si="2"/>
        <v>8467</v>
      </c>
      <c r="I57" s="9" t="str">
        <f t="shared" si="3"/>
        <v>Upper-middle</v>
      </c>
      <c r="J57" s="9" t="s">
        <v>90</v>
      </c>
      <c r="K57" s="19" t="s">
        <v>175</v>
      </c>
      <c r="L57" s="19" t="s">
        <v>176</v>
      </c>
      <c r="M57" s="9" t="s">
        <v>177</v>
      </c>
      <c r="N57" s="9" t="s">
        <v>108</v>
      </c>
      <c r="O57" s="19" t="s">
        <v>178</v>
      </c>
      <c r="P57" s="9" t="s">
        <v>178</v>
      </c>
      <c r="Q57" s="13" t="s">
        <v>183</v>
      </c>
      <c r="R57" s="13" t="s">
        <v>184</v>
      </c>
      <c r="S57" s="19" t="s">
        <v>185</v>
      </c>
      <c r="T57" s="21"/>
      <c r="U57" s="21"/>
      <c r="V57" s="21"/>
      <c r="W57" s="21"/>
      <c r="X57" s="21"/>
      <c r="Y57" s="21" t="str">
        <f t="shared" si="4"/>
        <v>Aditya</v>
      </c>
      <c r="Z57" s="9"/>
      <c r="AA57" s="9"/>
      <c r="AB57" s="9">
        <f t="shared" si="5"/>
        <v>1</v>
      </c>
      <c r="AC57" s="9"/>
      <c r="AD57" s="22" t="str">
        <f>IF(COUNT(Z57,AA57,AC57)=0,"",ROUND(Z57*'Scoring Guide'!$B$5+AA57*'Scoring Guide'!$B$6+AB57*'Scoring Guide'!$B$7+AC57*'Scoring Guide'!$B$8,2))</f>
        <v/>
      </c>
      <c r="AE57" s="23" t="str">
        <f>IF(AD57="","Not scored",IF(AD57&gt;='Scoring Guide'!$B$11,"Tier 1 - Priority",IF(AD57&gt;='Scoring Guide'!$B$12,"Tier 2 - Develop",IF(AD57&gt;='Scoring Guide'!$B$13,"Tier 3 - Monitor","Tier 4 - Deprioritise"))))</f>
        <v>Not scored</v>
      </c>
    </row>
    <row r="58" ht="15.75" hidden="1" customHeight="1">
      <c r="A58" s="9">
        <v>57.0</v>
      </c>
      <c r="B58" s="13" t="s">
        <v>186</v>
      </c>
      <c r="C58" s="13" t="s">
        <v>96</v>
      </c>
      <c r="D58" s="13" t="s">
        <v>182</v>
      </c>
      <c r="E58" s="14">
        <v>1.04E7</v>
      </c>
      <c r="F58" s="9" t="str">
        <f t="shared" si="1"/>
        <v>5-25 m</v>
      </c>
      <c r="G58" s="14">
        <v>7.56E10</v>
      </c>
      <c r="H58" s="14">
        <f t="shared" si="2"/>
        <v>7269</v>
      </c>
      <c r="I58" s="9" t="str">
        <f t="shared" si="3"/>
        <v>Upper-middle</v>
      </c>
      <c r="J58" s="9" t="s">
        <v>90</v>
      </c>
      <c r="K58" s="19" t="s">
        <v>175</v>
      </c>
      <c r="L58" s="19" t="s">
        <v>176</v>
      </c>
      <c r="M58" s="9" t="s">
        <v>177</v>
      </c>
      <c r="N58" s="9" t="s">
        <v>108</v>
      </c>
      <c r="O58" s="19" t="s">
        <v>178</v>
      </c>
      <c r="P58" s="9" t="s">
        <v>178</v>
      </c>
      <c r="Q58" s="13" t="s">
        <v>187</v>
      </c>
      <c r="R58" s="13" t="s">
        <v>184</v>
      </c>
      <c r="S58" s="19" t="s">
        <v>188</v>
      </c>
      <c r="T58" s="21"/>
      <c r="U58" s="21"/>
      <c r="V58" s="21"/>
      <c r="W58" s="21"/>
      <c r="X58" s="21"/>
      <c r="Y58" s="21" t="str">
        <f t="shared" si="4"/>
        <v>Aditya</v>
      </c>
      <c r="Z58" s="9"/>
      <c r="AA58" s="9"/>
      <c r="AB58" s="9">
        <f t="shared" si="5"/>
        <v>1</v>
      </c>
      <c r="AC58" s="9"/>
      <c r="AD58" s="22" t="str">
        <f>IF(COUNT(Z58,AA58,AC58)=0,"",ROUND(Z58*'Scoring Guide'!$B$5+AA58*'Scoring Guide'!$B$6+AB58*'Scoring Guide'!$B$7+AC58*'Scoring Guide'!$B$8,2))</f>
        <v/>
      </c>
      <c r="AE58" s="23" t="str">
        <f>IF(AD58="","Not scored",IF(AD58&gt;='Scoring Guide'!$B$11,"Tier 1 - Priority",IF(AD58&gt;='Scoring Guide'!$B$12,"Tier 2 - Develop",IF(AD58&gt;='Scoring Guide'!$B$13,"Tier 3 - Monitor","Tier 4 - Deprioritise"))))</f>
        <v>Not scored</v>
      </c>
    </row>
    <row r="59" ht="15.75" customHeight="1">
      <c r="A59" s="9">
        <v>58.0</v>
      </c>
      <c r="B59" s="11" t="s">
        <v>189</v>
      </c>
      <c r="C59" s="13" t="s">
        <v>96</v>
      </c>
      <c r="D59" s="13" t="s">
        <v>182</v>
      </c>
      <c r="E59" s="14">
        <v>1650000.0</v>
      </c>
      <c r="F59" s="9" t="str">
        <f t="shared" si="1"/>
        <v>1-5 m</v>
      </c>
      <c r="G59" s="14">
        <v>4.78E10</v>
      </c>
      <c r="H59" s="14">
        <f t="shared" si="2"/>
        <v>28970</v>
      </c>
      <c r="I59" s="9" t="str">
        <f t="shared" si="3"/>
        <v>High income</v>
      </c>
      <c r="J59" s="9" t="s">
        <v>108</v>
      </c>
      <c r="K59" s="19" t="s">
        <v>190</v>
      </c>
      <c r="L59" s="19" t="s">
        <v>191</v>
      </c>
      <c r="M59" s="9" t="s">
        <v>177</v>
      </c>
      <c r="N59" s="9" t="s">
        <v>90</v>
      </c>
      <c r="O59" s="19" t="s">
        <v>178</v>
      </c>
      <c r="P59" s="9" t="s">
        <v>178</v>
      </c>
      <c r="Q59" s="13" t="s">
        <v>192</v>
      </c>
      <c r="R59" s="13" t="s">
        <v>113</v>
      </c>
      <c r="S59" s="19"/>
      <c r="T59" s="21"/>
      <c r="U59" s="21"/>
      <c r="V59" s="21"/>
      <c r="W59" s="21"/>
      <c r="X59" s="21"/>
      <c r="Y59" s="21" t="str">
        <f t="shared" si="4"/>
        <v>Aditya</v>
      </c>
      <c r="Z59" s="9"/>
      <c r="AA59" s="9"/>
      <c r="AB59" s="9">
        <f t="shared" si="5"/>
        <v>1</v>
      </c>
      <c r="AC59" s="9"/>
      <c r="AD59" s="22" t="str">
        <f>IF(COUNT(Z59,AA59,AC59)=0,"",ROUND(Z59*'Scoring Guide'!$B$5+AA59*'Scoring Guide'!$B$6+AB59*'Scoring Guide'!$B$7+AC59*'Scoring Guide'!$B$8,2))</f>
        <v/>
      </c>
      <c r="AE59" s="23" t="str">
        <f>IF(AD59="","Not scored",IF(AD59&gt;='Scoring Guide'!$B$11,"Tier 1 - Priority",IF(AD59&gt;='Scoring Guide'!$B$12,"Tier 2 - Develop",IF(AD59&gt;='Scoring Guide'!$B$13,"Tier 3 - Monitor","Tier 4 - Deprioritise"))))</f>
        <v>Not scored</v>
      </c>
    </row>
    <row r="60" ht="15.75" hidden="1" customHeight="1">
      <c r="A60" s="9">
        <v>59.0</v>
      </c>
      <c r="B60" s="13" t="s">
        <v>193</v>
      </c>
      <c r="C60" s="13" t="s">
        <v>96</v>
      </c>
      <c r="D60" s="13" t="s">
        <v>174</v>
      </c>
      <c r="E60" s="14">
        <v>1.757E8</v>
      </c>
      <c r="F60" s="9" t="str">
        <f t="shared" si="1"/>
        <v>Over 100 m</v>
      </c>
      <c r="G60" s="14">
        <v>4.51E11</v>
      </c>
      <c r="H60" s="14">
        <f t="shared" si="2"/>
        <v>2567</v>
      </c>
      <c r="I60" s="9" t="str">
        <f t="shared" si="3"/>
        <v>Lower-middle</v>
      </c>
      <c r="J60" s="9" t="s">
        <v>90</v>
      </c>
      <c r="K60" s="19" t="s">
        <v>175</v>
      </c>
      <c r="L60" s="19" t="s">
        <v>176</v>
      </c>
      <c r="M60" s="9" t="s">
        <v>177</v>
      </c>
      <c r="N60" s="9" t="s">
        <v>90</v>
      </c>
      <c r="O60" s="19" t="s">
        <v>178</v>
      </c>
      <c r="P60" s="9" t="s">
        <v>178</v>
      </c>
      <c r="Q60" s="13" t="s">
        <v>179</v>
      </c>
      <c r="R60" s="13" t="s">
        <v>109</v>
      </c>
      <c r="S60" s="19"/>
      <c r="T60" s="21"/>
      <c r="U60" s="21"/>
      <c r="V60" s="21"/>
      <c r="W60" s="21"/>
      <c r="X60" s="21"/>
      <c r="Y60" s="21" t="str">
        <f t="shared" si="4"/>
        <v>Aditya</v>
      </c>
      <c r="Z60" s="9"/>
      <c r="AA60" s="9"/>
      <c r="AB60" s="9">
        <f t="shared" si="5"/>
        <v>1</v>
      </c>
      <c r="AC60" s="9"/>
      <c r="AD60" s="22" t="str">
        <f>IF(COUNT(Z60,AA60,AC60)=0,"",ROUND(Z60*'Scoring Guide'!$B$5+AA60*'Scoring Guide'!$B$6+AB60*'Scoring Guide'!$B$7+AC60*'Scoring Guide'!$B$8,2))</f>
        <v/>
      </c>
      <c r="AE60" s="23" t="str">
        <f>IF(AD60="","Not scored",IF(AD60&gt;='Scoring Guide'!$B$11,"Tier 1 - Priority",IF(AD60&gt;='Scoring Guide'!$B$12,"Tier 2 - Develop",IF(AD60&gt;='Scoring Guide'!$B$13,"Tier 3 - Monitor","Tier 4 - Deprioritise"))))</f>
        <v>Not scored</v>
      </c>
    </row>
    <row r="61" ht="15.75" hidden="1" customHeight="1">
      <c r="A61" s="9">
        <v>60.0</v>
      </c>
      <c r="B61" s="13" t="s">
        <v>194</v>
      </c>
      <c r="C61" s="13" t="s">
        <v>96</v>
      </c>
      <c r="D61" s="13" t="s">
        <v>174</v>
      </c>
      <c r="E61" s="14">
        <v>800000.0</v>
      </c>
      <c r="F61" s="9" t="str">
        <f t="shared" si="1"/>
        <v>Under 1 m</v>
      </c>
      <c r="G61" s="14">
        <v>3.1E9</v>
      </c>
      <c r="H61" s="14">
        <f t="shared" si="2"/>
        <v>3875</v>
      </c>
      <c r="I61" s="9" t="str">
        <f t="shared" si="3"/>
        <v>Lower-middle</v>
      </c>
      <c r="J61" s="9" t="s">
        <v>90</v>
      </c>
      <c r="K61" s="19" t="s">
        <v>175</v>
      </c>
      <c r="L61" s="19" t="s">
        <v>176</v>
      </c>
      <c r="M61" s="9" t="s">
        <v>177</v>
      </c>
      <c r="N61" s="9" t="s">
        <v>108</v>
      </c>
      <c r="O61" s="19" t="s">
        <v>178</v>
      </c>
      <c r="P61" s="9" t="s">
        <v>178</v>
      </c>
      <c r="Q61" s="13" t="s">
        <v>179</v>
      </c>
      <c r="R61" s="13" t="s">
        <v>109</v>
      </c>
      <c r="S61" s="19"/>
      <c r="T61" s="21"/>
      <c r="U61" s="21"/>
      <c r="V61" s="21"/>
      <c r="W61" s="21"/>
      <c r="X61" s="21"/>
      <c r="Y61" s="21" t="str">
        <f t="shared" si="4"/>
        <v>Aditya</v>
      </c>
      <c r="Z61" s="9"/>
      <c r="AA61" s="9"/>
      <c r="AB61" s="9">
        <f t="shared" si="5"/>
        <v>1</v>
      </c>
      <c r="AC61" s="9"/>
      <c r="AD61" s="22" t="str">
        <f>IF(COUNT(Z61,AA61,AC61)=0,"",ROUND(Z61*'Scoring Guide'!$B$5+AA61*'Scoring Guide'!$B$6+AB61*'Scoring Guide'!$B$7+AC61*'Scoring Guide'!$B$8,2))</f>
        <v/>
      </c>
      <c r="AE61" s="23" t="str">
        <f>IF(AD61="","Not scored",IF(AD61&gt;='Scoring Guide'!$B$11,"Tier 1 - Priority",IF(AD61&gt;='Scoring Guide'!$B$12,"Tier 2 - Develop",IF(AD61&gt;='Scoring Guide'!$B$13,"Tier 3 - Monitor","Tier 4 - Deprioritise"))))</f>
        <v>Not scored</v>
      </c>
    </row>
    <row r="62" ht="15.75" hidden="1" customHeight="1">
      <c r="A62" s="9">
        <v>61.0</v>
      </c>
      <c r="B62" s="13" t="s">
        <v>195</v>
      </c>
      <c r="C62" s="13" t="s">
        <v>96</v>
      </c>
      <c r="D62" s="13" t="s">
        <v>196</v>
      </c>
      <c r="E62" s="14">
        <v>460000.0</v>
      </c>
      <c r="F62" s="9" t="str">
        <f t="shared" si="1"/>
        <v>Under 1 m</v>
      </c>
      <c r="G62" s="14">
        <v>1.55E10</v>
      </c>
      <c r="H62" s="14">
        <f t="shared" si="2"/>
        <v>33696</v>
      </c>
      <c r="I62" s="9" t="str">
        <f t="shared" si="3"/>
        <v>High income</v>
      </c>
      <c r="J62" s="9" t="s">
        <v>90</v>
      </c>
      <c r="K62" s="19" t="s">
        <v>175</v>
      </c>
      <c r="L62" s="19" t="s">
        <v>176</v>
      </c>
      <c r="M62" s="9" t="s">
        <v>177</v>
      </c>
      <c r="N62" s="9" t="s">
        <v>90</v>
      </c>
      <c r="O62" s="19" t="s">
        <v>178</v>
      </c>
      <c r="P62" s="9" t="s">
        <v>178</v>
      </c>
      <c r="Q62" s="13" t="s">
        <v>197</v>
      </c>
      <c r="R62" s="13" t="s">
        <v>198</v>
      </c>
      <c r="S62" s="19"/>
      <c r="T62" s="21"/>
      <c r="U62" s="21"/>
      <c r="V62" s="21"/>
      <c r="W62" s="21"/>
      <c r="X62" s="21"/>
      <c r="Y62" s="21" t="str">
        <f t="shared" si="4"/>
        <v>Aditya</v>
      </c>
      <c r="Z62" s="9"/>
      <c r="AA62" s="9"/>
      <c r="AB62" s="9">
        <f t="shared" si="5"/>
        <v>1</v>
      </c>
      <c r="AC62" s="9"/>
      <c r="AD62" s="22" t="str">
        <f>IF(COUNT(Z62,AA62,AC62)=0,"",ROUND(Z62*'Scoring Guide'!$B$5+AA62*'Scoring Guide'!$B$6+AB62*'Scoring Guide'!$B$7+AC62*'Scoring Guide'!$B$8,2))</f>
        <v/>
      </c>
      <c r="AE62" s="23" t="str">
        <f>IF(AD62="","Not scored",IF(AD62&gt;='Scoring Guide'!$B$11,"Tier 1 - Priority",IF(AD62&gt;='Scoring Guide'!$B$12,"Tier 2 - Develop",IF(AD62&gt;='Scoring Guide'!$B$13,"Tier 3 - Monitor","Tier 4 - Deprioritise"))))</f>
        <v>Not scored</v>
      </c>
    </row>
    <row r="63" ht="15.75" hidden="1" customHeight="1">
      <c r="A63" s="9">
        <v>62.0</v>
      </c>
      <c r="B63" s="13" t="s">
        <v>199</v>
      </c>
      <c r="C63" s="13" t="s">
        <v>96</v>
      </c>
      <c r="D63" s="13" t="s">
        <v>196</v>
      </c>
      <c r="E63" s="14">
        <v>1.78E7</v>
      </c>
      <c r="F63" s="9" t="str">
        <f t="shared" si="1"/>
        <v>5-25 m</v>
      </c>
      <c r="G63" s="14">
        <v>4.71E10</v>
      </c>
      <c r="H63" s="14">
        <f t="shared" si="2"/>
        <v>2646</v>
      </c>
      <c r="I63" s="9" t="str">
        <f t="shared" si="3"/>
        <v>Lower-middle</v>
      </c>
      <c r="J63" s="9" t="s">
        <v>90</v>
      </c>
      <c r="K63" s="19" t="s">
        <v>175</v>
      </c>
      <c r="L63" s="19" t="s">
        <v>176</v>
      </c>
      <c r="M63" s="9" t="s">
        <v>177</v>
      </c>
      <c r="N63" s="9" t="s">
        <v>90</v>
      </c>
      <c r="O63" s="19" t="s">
        <v>178</v>
      </c>
      <c r="P63" s="9" t="s">
        <v>178</v>
      </c>
      <c r="Q63" s="13" t="s">
        <v>197</v>
      </c>
      <c r="R63" s="13" t="s">
        <v>109</v>
      </c>
      <c r="S63" s="19"/>
      <c r="T63" s="21"/>
      <c r="U63" s="21"/>
      <c r="V63" s="21"/>
      <c r="W63" s="21"/>
      <c r="X63" s="21"/>
      <c r="Y63" s="21" t="str">
        <f t="shared" si="4"/>
        <v>Aditya</v>
      </c>
      <c r="Z63" s="9"/>
      <c r="AA63" s="9"/>
      <c r="AB63" s="9">
        <f t="shared" si="5"/>
        <v>1</v>
      </c>
      <c r="AC63" s="9"/>
      <c r="AD63" s="22" t="str">
        <f>IF(COUNT(Z63,AA63,AC63)=0,"",ROUND(Z63*'Scoring Guide'!$B$5+AA63*'Scoring Guide'!$B$6+AB63*'Scoring Guide'!$B$7+AC63*'Scoring Guide'!$B$8,2))</f>
        <v/>
      </c>
      <c r="AE63" s="23" t="str">
        <f>IF(AD63="","Not scored",IF(AD63&gt;='Scoring Guide'!$B$11,"Tier 1 - Priority",IF(AD63&gt;='Scoring Guide'!$B$12,"Tier 2 - Develop",IF(AD63&gt;='Scoring Guide'!$B$13,"Tier 3 - Monitor","Tier 4 - Deprioritise"))))</f>
        <v>Not scored</v>
      </c>
    </row>
    <row r="64" ht="15.75" customHeight="1">
      <c r="A64" s="9">
        <v>63.0</v>
      </c>
      <c r="B64" s="30" t="s">
        <v>200</v>
      </c>
      <c r="C64" s="13" t="s">
        <v>96</v>
      </c>
      <c r="D64" s="13" t="s">
        <v>201</v>
      </c>
      <c r="E64" s="14">
        <v>1.416E9</v>
      </c>
      <c r="F64" s="9" t="str">
        <f t="shared" si="1"/>
        <v>Over 100 m</v>
      </c>
      <c r="G64" s="14">
        <v>1.875E13</v>
      </c>
      <c r="H64" s="14">
        <f t="shared" si="2"/>
        <v>13242</v>
      </c>
      <c r="I64" s="9" t="str">
        <f t="shared" si="3"/>
        <v>Upper-middle</v>
      </c>
      <c r="J64" s="9" t="s">
        <v>108</v>
      </c>
      <c r="K64" s="19" t="s">
        <v>190</v>
      </c>
      <c r="L64" s="19" t="s">
        <v>202</v>
      </c>
      <c r="M64" s="9" t="s">
        <v>203</v>
      </c>
      <c r="N64" s="9" t="s">
        <v>90</v>
      </c>
      <c r="O64" s="19" t="s">
        <v>178</v>
      </c>
      <c r="P64" s="9" t="s">
        <v>178</v>
      </c>
      <c r="Q64" s="13" t="s">
        <v>187</v>
      </c>
      <c r="R64" s="13" t="s">
        <v>204</v>
      </c>
      <c r="S64" s="19"/>
      <c r="T64" s="21"/>
      <c r="U64" s="21"/>
      <c r="V64" s="21"/>
      <c r="W64" s="21"/>
      <c r="X64" s="21"/>
      <c r="Y64" s="21" t="str">
        <f t="shared" si="4"/>
        <v>Aditya</v>
      </c>
      <c r="Z64" s="9"/>
      <c r="AA64" s="9"/>
      <c r="AB64" s="9">
        <f t="shared" si="5"/>
        <v>3</v>
      </c>
      <c r="AC64" s="9"/>
      <c r="AD64" s="22" t="str">
        <f>IF(COUNT(Z64,AA64,AC64)=0,"",ROUND(Z64*'Scoring Guide'!$B$5+AA64*'Scoring Guide'!$B$6+AB64*'Scoring Guide'!$B$7+AC64*'Scoring Guide'!$B$8,2))</f>
        <v/>
      </c>
      <c r="AE64" s="23" t="str">
        <f>IF(AD64="","Not scored",IF(AD64&gt;='Scoring Guide'!$B$11,"Tier 1 - Priority",IF(AD64&gt;='Scoring Guide'!$B$12,"Tier 2 - Develop",IF(AD64&gt;='Scoring Guide'!$B$13,"Tier 3 - Monitor","Tier 4 - Deprioritise"))))</f>
        <v>Not scored</v>
      </c>
    </row>
    <row r="65" ht="15.75" hidden="1" customHeight="1">
      <c r="A65" s="9">
        <v>64.0</v>
      </c>
      <c r="B65" s="13" t="s">
        <v>205</v>
      </c>
      <c r="C65" s="13" t="s">
        <v>96</v>
      </c>
      <c r="D65" s="13" t="s">
        <v>182</v>
      </c>
      <c r="E65" s="14">
        <v>1370000.0</v>
      </c>
      <c r="F65" s="9" t="str">
        <f t="shared" si="1"/>
        <v>1-5 m</v>
      </c>
      <c r="G65" s="14">
        <v>3.48E10</v>
      </c>
      <c r="H65" s="14">
        <f t="shared" si="2"/>
        <v>25401</v>
      </c>
      <c r="I65" s="9" t="str">
        <f t="shared" si="3"/>
        <v>High income</v>
      </c>
      <c r="J65" s="9" t="s">
        <v>90</v>
      </c>
      <c r="K65" s="19" t="s">
        <v>175</v>
      </c>
      <c r="L65" s="19" t="s">
        <v>176</v>
      </c>
      <c r="M65" s="9" t="s">
        <v>177</v>
      </c>
      <c r="N65" s="9" t="s">
        <v>90</v>
      </c>
      <c r="O65" s="19" t="s">
        <v>178</v>
      </c>
      <c r="P65" s="9" t="s">
        <v>178</v>
      </c>
      <c r="Q65" s="13" t="s">
        <v>206</v>
      </c>
      <c r="R65" s="13" t="s">
        <v>207</v>
      </c>
      <c r="S65" s="19" t="s">
        <v>208</v>
      </c>
      <c r="T65" s="21"/>
      <c r="U65" s="21"/>
      <c r="V65" s="21"/>
      <c r="W65" s="21"/>
      <c r="X65" s="21"/>
      <c r="Y65" s="21" t="str">
        <f t="shared" si="4"/>
        <v>Aditya</v>
      </c>
      <c r="Z65" s="9"/>
      <c r="AA65" s="9"/>
      <c r="AB65" s="9">
        <f t="shared" si="5"/>
        <v>1</v>
      </c>
      <c r="AC65" s="9"/>
      <c r="AD65" s="22" t="str">
        <f>IF(COUNT(Z65,AA65,AC65)=0,"",ROUND(Z65*'Scoring Guide'!$B$5+AA65*'Scoring Guide'!$B$6+AB65*'Scoring Guide'!$B$7+AC65*'Scoring Guide'!$B$8,2))</f>
        <v/>
      </c>
      <c r="AE65" s="23" t="str">
        <f>IF(AD65="","Not scored",IF(AD65&gt;='Scoring Guide'!$B$11,"Tier 1 - Priority",IF(AD65&gt;='Scoring Guide'!$B$12,"Tier 2 - Develop",IF(AD65&gt;='Scoring Guide'!$B$13,"Tier 3 - Monitor","Tier 4 - Deprioritise"))))</f>
        <v>Not scored</v>
      </c>
    </row>
    <row r="66" ht="15.75" hidden="1" customHeight="1">
      <c r="A66" s="9">
        <v>65.0</v>
      </c>
      <c r="B66" s="13" t="s">
        <v>209</v>
      </c>
      <c r="C66" s="13" t="s">
        <v>96</v>
      </c>
      <c r="D66" s="13" t="s">
        <v>182</v>
      </c>
      <c r="E66" s="14">
        <v>3800000.0</v>
      </c>
      <c r="F66" s="9" t="str">
        <f t="shared" si="1"/>
        <v>1-5 m</v>
      </c>
      <c r="G66" s="14">
        <v>3.3E10</v>
      </c>
      <c r="H66" s="14">
        <f t="shared" si="2"/>
        <v>8684</v>
      </c>
      <c r="I66" s="9" t="str">
        <f t="shared" si="3"/>
        <v>Upper-middle</v>
      </c>
      <c r="J66" s="9" t="s">
        <v>90</v>
      </c>
      <c r="K66" s="19" t="s">
        <v>175</v>
      </c>
      <c r="L66" s="19" t="s">
        <v>176</v>
      </c>
      <c r="M66" s="9" t="s">
        <v>177</v>
      </c>
      <c r="N66" s="9" t="s">
        <v>90</v>
      </c>
      <c r="O66" s="19" t="s">
        <v>178</v>
      </c>
      <c r="P66" s="9" t="s">
        <v>178</v>
      </c>
      <c r="Q66" s="13" t="s">
        <v>187</v>
      </c>
      <c r="R66" s="13" t="s">
        <v>184</v>
      </c>
      <c r="S66" s="19" t="s">
        <v>188</v>
      </c>
      <c r="T66" s="21"/>
      <c r="U66" s="21"/>
      <c r="V66" s="21"/>
      <c r="W66" s="21"/>
      <c r="X66" s="21"/>
      <c r="Y66" s="21" t="str">
        <f t="shared" si="4"/>
        <v>Aditya</v>
      </c>
      <c r="Z66" s="9"/>
      <c r="AA66" s="9"/>
      <c r="AB66" s="9">
        <f t="shared" si="5"/>
        <v>1</v>
      </c>
      <c r="AC66" s="9"/>
      <c r="AD66" s="22" t="str">
        <f>IF(COUNT(Z66,AA66,AC66)=0,"",ROUND(Z66*'Scoring Guide'!$B$5+AA66*'Scoring Guide'!$B$6+AB66*'Scoring Guide'!$B$7+AC66*'Scoring Guide'!$B$8,2))</f>
        <v/>
      </c>
      <c r="AE66" s="23" t="str">
        <f>IF(AD66="","Not scored",IF(AD66&gt;='Scoring Guide'!$B$11,"Tier 1 - Priority",IF(AD66&gt;='Scoring Guide'!$B$12,"Tier 2 - Develop",IF(AD66&gt;='Scoring Guide'!$B$13,"Tier 3 - Monitor","Tier 4 - Deprioritise"))))</f>
        <v>Not scored</v>
      </c>
    </row>
    <row r="67" ht="15.75" customHeight="1">
      <c r="A67" s="9">
        <v>66.0</v>
      </c>
      <c r="B67" s="30" t="s">
        <v>210</v>
      </c>
      <c r="C67" s="13" t="s">
        <v>96</v>
      </c>
      <c r="D67" s="13" t="s">
        <v>174</v>
      </c>
      <c r="E67" s="14">
        <v>1.463E9</v>
      </c>
      <c r="F67" s="9" t="str">
        <f t="shared" si="1"/>
        <v>Over 100 m</v>
      </c>
      <c r="G67" s="14">
        <v>3.91E12</v>
      </c>
      <c r="H67" s="14">
        <f t="shared" si="2"/>
        <v>2673</v>
      </c>
      <c r="I67" s="9" t="str">
        <f t="shared" si="3"/>
        <v>Lower-middle</v>
      </c>
      <c r="J67" s="9" t="s">
        <v>108</v>
      </c>
      <c r="K67" s="19" t="s">
        <v>211</v>
      </c>
      <c r="L67" s="19" t="s">
        <v>212</v>
      </c>
      <c r="M67" s="9" t="s">
        <v>177</v>
      </c>
      <c r="N67" s="9" t="s">
        <v>90</v>
      </c>
      <c r="O67" s="19" t="s">
        <v>178</v>
      </c>
      <c r="P67" s="9" t="s">
        <v>178</v>
      </c>
      <c r="Q67" s="13" t="s">
        <v>179</v>
      </c>
      <c r="R67" s="13" t="s">
        <v>109</v>
      </c>
      <c r="S67" s="19"/>
      <c r="T67" s="21"/>
      <c r="U67" s="21"/>
      <c r="V67" s="21"/>
      <c r="W67" s="21"/>
      <c r="X67" s="21"/>
      <c r="Y67" s="21" t="str">
        <f t="shared" si="4"/>
        <v>Aditya</v>
      </c>
      <c r="Z67" s="9"/>
      <c r="AA67" s="9"/>
      <c r="AB67" s="9">
        <f t="shared" si="5"/>
        <v>1</v>
      </c>
      <c r="AC67" s="9"/>
      <c r="AD67" s="22" t="str">
        <f>IF(COUNT(Z67,AA67,AC67)=0,"",ROUND(Z67*'Scoring Guide'!$B$5+AA67*'Scoring Guide'!$B$6+AB67*'Scoring Guide'!$B$7+AC67*'Scoring Guide'!$B$8,2))</f>
        <v/>
      </c>
      <c r="AE67" s="23" t="str">
        <f>IF(AD67="","Not scored",IF(AD67&gt;='Scoring Guide'!$B$11,"Tier 1 - Priority",IF(AD67&gt;='Scoring Guide'!$B$12,"Tier 2 - Develop",IF(AD67&gt;='Scoring Guide'!$B$13,"Tier 3 - Monitor","Tier 4 - Deprioritise"))))</f>
        <v>Not scored</v>
      </c>
    </row>
    <row r="68" ht="15.75" hidden="1" customHeight="1">
      <c r="A68" s="9">
        <v>67.0</v>
      </c>
      <c r="B68" s="13" t="s">
        <v>213</v>
      </c>
      <c r="C68" s="13" t="s">
        <v>96</v>
      </c>
      <c r="D68" s="13" t="s">
        <v>196</v>
      </c>
      <c r="E68" s="14">
        <v>2.86E8</v>
      </c>
      <c r="F68" s="9" t="str">
        <f t="shared" si="1"/>
        <v>Over 100 m</v>
      </c>
      <c r="G68" s="14">
        <v>1.4E12</v>
      </c>
      <c r="H68" s="14">
        <f t="shared" si="2"/>
        <v>4895</v>
      </c>
      <c r="I68" s="9" t="str">
        <f t="shared" si="3"/>
        <v>Upper-middle</v>
      </c>
      <c r="J68" s="9" t="s">
        <v>90</v>
      </c>
      <c r="K68" s="19" t="s">
        <v>175</v>
      </c>
      <c r="L68" s="19" t="s">
        <v>176</v>
      </c>
      <c r="M68" s="9" t="s">
        <v>177</v>
      </c>
      <c r="N68" s="9" t="s">
        <v>90</v>
      </c>
      <c r="O68" s="19" t="s">
        <v>178</v>
      </c>
      <c r="P68" s="9" t="s">
        <v>178</v>
      </c>
      <c r="Q68" s="13" t="s">
        <v>197</v>
      </c>
      <c r="R68" s="13" t="s">
        <v>214</v>
      </c>
      <c r="S68" s="19"/>
      <c r="T68" s="21"/>
      <c r="U68" s="21"/>
      <c r="V68" s="21"/>
      <c r="W68" s="21"/>
      <c r="X68" s="21"/>
      <c r="Y68" s="21" t="str">
        <f t="shared" si="4"/>
        <v>Aditya</v>
      </c>
      <c r="Z68" s="9"/>
      <c r="AA68" s="9"/>
      <c r="AB68" s="9">
        <f t="shared" si="5"/>
        <v>1</v>
      </c>
      <c r="AC68" s="9"/>
      <c r="AD68" s="22" t="str">
        <f>IF(COUNT(Z68,AA68,AC68)=0,"",ROUND(Z68*'Scoring Guide'!$B$5+AA68*'Scoring Guide'!$B$6+AB68*'Scoring Guide'!$B$7+AC68*'Scoring Guide'!$B$8,2))</f>
        <v/>
      </c>
      <c r="AE68" s="23" t="str">
        <f>IF(AD68="","Not scored",IF(AD68&gt;='Scoring Guide'!$B$11,"Tier 1 - Priority",IF(AD68&gt;='Scoring Guide'!$B$12,"Tier 2 - Develop",IF(AD68&gt;='Scoring Guide'!$B$13,"Tier 3 - Monitor","Tier 4 - Deprioritise"))))</f>
        <v>Not scored</v>
      </c>
    </row>
    <row r="69" ht="15.75" customHeight="1">
      <c r="A69" s="9">
        <v>68.0</v>
      </c>
      <c r="B69" s="30" t="s">
        <v>215</v>
      </c>
      <c r="C69" s="13" t="s">
        <v>96</v>
      </c>
      <c r="D69" s="13" t="s">
        <v>174</v>
      </c>
      <c r="E69" s="14">
        <v>9.24E7</v>
      </c>
      <c r="F69" s="9" t="str">
        <f t="shared" si="1"/>
        <v>25-100 m</v>
      </c>
      <c r="G69" s="14">
        <v>4.34E11</v>
      </c>
      <c r="H69" s="14">
        <f t="shared" si="2"/>
        <v>4697</v>
      </c>
      <c r="I69" s="9" t="str">
        <f t="shared" si="3"/>
        <v>Upper-middle</v>
      </c>
      <c r="J69" s="9" t="s">
        <v>108</v>
      </c>
      <c r="K69" s="19" t="s">
        <v>216</v>
      </c>
      <c r="L69" s="19" t="s">
        <v>217</v>
      </c>
      <c r="M69" s="9" t="s">
        <v>177</v>
      </c>
      <c r="N69" s="9" t="s">
        <v>90</v>
      </c>
      <c r="O69" s="19" t="s">
        <v>178</v>
      </c>
      <c r="P69" s="9" t="s">
        <v>178</v>
      </c>
      <c r="Q69" s="13" t="s">
        <v>187</v>
      </c>
      <c r="R69" s="13" t="s">
        <v>180</v>
      </c>
      <c r="S69" s="19"/>
      <c r="T69" s="21"/>
      <c r="U69" s="21"/>
      <c r="V69" s="21"/>
      <c r="W69" s="21"/>
      <c r="X69" s="21"/>
      <c r="Y69" s="21" t="str">
        <f t="shared" si="4"/>
        <v>Aditya</v>
      </c>
      <c r="Z69" s="9"/>
      <c r="AA69" s="9"/>
      <c r="AB69" s="9">
        <f t="shared" si="5"/>
        <v>1</v>
      </c>
      <c r="AC69" s="9"/>
      <c r="AD69" s="22" t="str">
        <f>IF(COUNT(Z69,AA69,AC69)=0,"",ROUND(Z69*'Scoring Guide'!$B$5+AA69*'Scoring Guide'!$B$6+AB69*'Scoring Guide'!$B$7+AC69*'Scoring Guide'!$B$8,2))</f>
        <v/>
      </c>
      <c r="AE69" s="23" t="str">
        <f>IF(AD69="","Not scored",IF(AD69&gt;='Scoring Guide'!$B$11,"Tier 1 - Priority",IF(AD69&gt;='Scoring Guide'!$B$12,"Tier 2 - Develop",IF(AD69&gt;='Scoring Guide'!$B$13,"Tier 3 - Monitor","Tier 4 - Deprioritise"))))</f>
        <v>Not scored</v>
      </c>
    </row>
    <row r="70" ht="15.75" customHeight="1">
      <c r="A70" s="9">
        <v>69.0</v>
      </c>
      <c r="B70" s="11" t="s">
        <v>218</v>
      </c>
      <c r="C70" s="13" t="s">
        <v>96</v>
      </c>
      <c r="D70" s="13" t="s">
        <v>182</v>
      </c>
      <c r="E70" s="14">
        <v>4.7E7</v>
      </c>
      <c r="F70" s="9" t="str">
        <f t="shared" si="1"/>
        <v>25-100 m</v>
      </c>
      <c r="G70" s="14">
        <v>2.64E11</v>
      </c>
      <c r="H70" s="14">
        <f t="shared" si="2"/>
        <v>5617</v>
      </c>
      <c r="I70" s="9" t="str">
        <f t="shared" si="3"/>
        <v>Upper-middle</v>
      </c>
      <c r="J70" s="9" t="s">
        <v>108</v>
      </c>
      <c r="K70" s="19" t="s">
        <v>219</v>
      </c>
      <c r="L70" s="19" t="s">
        <v>220</v>
      </c>
      <c r="M70" s="9" t="s">
        <v>177</v>
      </c>
      <c r="N70" s="9" t="s">
        <v>90</v>
      </c>
      <c r="O70" s="19" t="s">
        <v>178</v>
      </c>
      <c r="P70" s="9" t="s">
        <v>178</v>
      </c>
      <c r="Q70" s="13" t="s">
        <v>187</v>
      </c>
      <c r="R70" s="13" t="s">
        <v>113</v>
      </c>
      <c r="S70" s="19"/>
      <c r="T70" s="21"/>
      <c r="U70" s="21"/>
      <c r="V70" s="21"/>
      <c r="W70" s="21"/>
      <c r="X70" s="21"/>
      <c r="Y70" s="21" t="str">
        <f t="shared" si="4"/>
        <v>Aditya</v>
      </c>
      <c r="Z70" s="9"/>
      <c r="AA70" s="9"/>
      <c r="AB70" s="9">
        <f t="shared" si="5"/>
        <v>1</v>
      </c>
      <c r="AC70" s="9"/>
      <c r="AD70" s="22" t="str">
        <f>IF(COUNT(Z70,AA70,AC70)=0,"",ROUND(Z70*'Scoring Guide'!$B$5+AA70*'Scoring Guide'!$B$6+AB70*'Scoring Guide'!$B$7+AC70*'Scoring Guide'!$B$8,2))</f>
        <v/>
      </c>
      <c r="AE70" s="23" t="str">
        <f>IF(AD70="","Not scored",IF(AD70&gt;='Scoring Guide'!$B$11,"Tier 1 - Priority",IF(AD70&gt;='Scoring Guide'!$B$12,"Tier 2 - Develop",IF(AD70&gt;='Scoring Guide'!$B$13,"Tier 3 - Monitor","Tier 4 - Deprioritise"))))</f>
        <v>Not scored</v>
      </c>
    </row>
    <row r="71" ht="15.75" customHeight="1">
      <c r="A71" s="9">
        <v>70.0</v>
      </c>
      <c r="B71" s="11" t="s">
        <v>221</v>
      </c>
      <c r="C71" s="13" t="s">
        <v>96</v>
      </c>
      <c r="D71" s="13" t="s">
        <v>182</v>
      </c>
      <c r="E71" s="14">
        <v>9800000.0</v>
      </c>
      <c r="F71" s="9" t="str">
        <f t="shared" si="1"/>
        <v>5-25 m</v>
      </c>
      <c r="G71" s="14">
        <v>5.3E11</v>
      </c>
      <c r="H71" s="14">
        <f t="shared" si="2"/>
        <v>54082</v>
      </c>
      <c r="I71" s="9" t="str">
        <f t="shared" si="3"/>
        <v>High income</v>
      </c>
      <c r="J71" s="9" t="s">
        <v>108</v>
      </c>
      <c r="K71" s="19" t="s">
        <v>222</v>
      </c>
      <c r="L71" s="19" t="s">
        <v>223</v>
      </c>
      <c r="M71" s="9" t="s">
        <v>177</v>
      </c>
      <c r="N71" s="9" t="s">
        <v>90</v>
      </c>
      <c r="O71" s="19" t="s">
        <v>178</v>
      </c>
      <c r="P71" s="9" t="s">
        <v>178</v>
      </c>
      <c r="Q71" s="13" t="s">
        <v>187</v>
      </c>
      <c r="R71" s="13" t="s">
        <v>224</v>
      </c>
      <c r="S71" s="19"/>
      <c r="T71" s="21"/>
      <c r="U71" s="21"/>
      <c r="V71" s="21"/>
      <c r="W71" s="21"/>
      <c r="X71" s="21"/>
      <c r="Y71" s="21" t="str">
        <f t="shared" si="4"/>
        <v>Aditya</v>
      </c>
      <c r="Z71" s="9"/>
      <c r="AA71" s="9"/>
      <c r="AB71" s="9">
        <f t="shared" si="5"/>
        <v>1</v>
      </c>
      <c r="AC71" s="9"/>
      <c r="AD71" s="22" t="str">
        <f>IF(COUNT(Z71,AA71,AC71)=0,"",ROUND(Z71*'Scoring Guide'!$B$5+AA71*'Scoring Guide'!$B$6+AB71*'Scoring Guide'!$B$7+AC71*'Scoring Guide'!$B$8,2))</f>
        <v/>
      </c>
      <c r="AE71" s="23" t="str">
        <f>IF(AD71="","Not scored",IF(AD71&gt;='Scoring Guide'!$B$11,"Tier 1 - Priority",IF(AD71&gt;='Scoring Guide'!$B$12,"Tier 2 - Develop",IF(AD71&gt;='Scoring Guide'!$B$13,"Tier 3 - Monitor","Tier 4 - Deprioritise"))))</f>
        <v>Not scored</v>
      </c>
    </row>
    <row r="72" ht="15.75" customHeight="1">
      <c r="A72" s="9">
        <v>71.0</v>
      </c>
      <c r="B72" s="11" t="s">
        <v>225</v>
      </c>
      <c r="C72" s="13" t="s">
        <v>96</v>
      </c>
      <c r="D72" s="13" t="s">
        <v>201</v>
      </c>
      <c r="E72" s="14">
        <v>1.231E8</v>
      </c>
      <c r="F72" s="9" t="str">
        <f t="shared" si="1"/>
        <v>Over 100 m</v>
      </c>
      <c r="G72" s="14">
        <v>4.07E12</v>
      </c>
      <c r="H72" s="14">
        <f t="shared" si="2"/>
        <v>33063</v>
      </c>
      <c r="I72" s="9" t="str">
        <f t="shared" si="3"/>
        <v>High income</v>
      </c>
      <c r="J72" s="9" t="s">
        <v>108</v>
      </c>
      <c r="K72" s="19" t="s">
        <v>226</v>
      </c>
      <c r="L72" s="19" t="s">
        <v>227</v>
      </c>
      <c r="M72" s="9" t="s">
        <v>177</v>
      </c>
      <c r="N72" s="9" t="s">
        <v>90</v>
      </c>
      <c r="O72" s="19" t="s">
        <v>178</v>
      </c>
      <c r="P72" s="9" t="s">
        <v>178</v>
      </c>
      <c r="Q72" s="13" t="s">
        <v>187</v>
      </c>
      <c r="R72" s="13" t="s">
        <v>228</v>
      </c>
      <c r="S72" s="19"/>
      <c r="T72" s="21"/>
      <c r="U72" s="21"/>
      <c r="V72" s="21"/>
      <c r="W72" s="21"/>
      <c r="X72" s="21"/>
      <c r="Y72" s="21" t="str">
        <f t="shared" si="4"/>
        <v>Aditya</v>
      </c>
      <c r="Z72" s="9"/>
      <c r="AA72" s="9"/>
      <c r="AB72" s="9">
        <f t="shared" si="5"/>
        <v>1</v>
      </c>
      <c r="AC72" s="9"/>
      <c r="AD72" s="22" t="str">
        <f>IF(COUNT(Z72,AA72,AC72)=0,"",ROUND(Z72*'Scoring Guide'!$B$5+AA72*'Scoring Guide'!$B$6+AB72*'Scoring Guide'!$B$7+AC72*'Scoring Guide'!$B$8,2))</f>
        <v/>
      </c>
      <c r="AE72" s="23" t="str">
        <f>IF(AD72="","Not scored",IF(AD72&gt;='Scoring Guide'!$B$11,"Tier 1 - Priority",IF(AD72&gt;='Scoring Guide'!$B$12,"Tier 2 - Develop",IF(AD72&gt;='Scoring Guide'!$B$13,"Tier 3 - Monitor","Tier 4 - Deprioritise"))))</f>
        <v>Not scored</v>
      </c>
    </row>
    <row r="73" ht="15.75" customHeight="1">
      <c r="A73" s="9">
        <v>72.0</v>
      </c>
      <c r="B73" s="11" t="s">
        <v>229</v>
      </c>
      <c r="C73" s="13" t="s">
        <v>96</v>
      </c>
      <c r="D73" s="13" t="s">
        <v>182</v>
      </c>
      <c r="E73" s="14">
        <v>1.16E7</v>
      </c>
      <c r="F73" s="9" t="str">
        <f t="shared" si="1"/>
        <v>5-25 m</v>
      </c>
      <c r="G73" s="14">
        <v>5.33E10</v>
      </c>
      <c r="H73" s="14">
        <f t="shared" si="2"/>
        <v>4595</v>
      </c>
      <c r="I73" s="9" t="str">
        <f t="shared" si="3"/>
        <v>Upper-middle</v>
      </c>
      <c r="J73" s="9" t="s">
        <v>108</v>
      </c>
      <c r="K73" s="19" t="s">
        <v>190</v>
      </c>
      <c r="L73" s="19" t="s">
        <v>230</v>
      </c>
      <c r="M73" s="9" t="s">
        <v>177</v>
      </c>
      <c r="N73" s="9" t="s">
        <v>90</v>
      </c>
      <c r="O73" s="19" t="s">
        <v>178</v>
      </c>
      <c r="P73" s="9" t="s">
        <v>178</v>
      </c>
      <c r="Q73" s="13" t="s">
        <v>187</v>
      </c>
      <c r="R73" s="13" t="s">
        <v>113</v>
      </c>
      <c r="S73" s="19"/>
      <c r="T73" s="21"/>
      <c r="U73" s="21"/>
      <c r="V73" s="21"/>
      <c r="W73" s="21"/>
      <c r="X73" s="21"/>
      <c r="Y73" s="21" t="str">
        <f t="shared" si="4"/>
        <v>Aditya</v>
      </c>
      <c r="Z73" s="9"/>
      <c r="AA73" s="9"/>
      <c r="AB73" s="9">
        <f t="shared" si="5"/>
        <v>1</v>
      </c>
      <c r="AC73" s="9"/>
      <c r="AD73" s="22" t="str">
        <f>IF(COUNT(Z73,AA73,AC73)=0,"",ROUND(Z73*'Scoring Guide'!$B$5+AA73*'Scoring Guide'!$B$6+AB73*'Scoring Guide'!$B$7+AC73*'Scoring Guide'!$B$8,2))</f>
        <v/>
      </c>
      <c r="AE73" s="23" t="str">
        <f>IF(AD73="","Not scored",IF(AD73&gt;='Scoring Guide'!$B$11,"Tier 1 - Priority",IF(AD73&gt;='Scoring Guide'!$B$12,"Tier 2 - Develop",IF(AD73&gt;='Scoring Guide'!$B$13,"Tier 3 - Monitor","Tier 4 - Deprioritise"))))</f>
        <v>Not scored</v>
      </c>
    </row>
    <row r="74" ht="15.75" hidden="1" customHeight="1">
      <c r="A74" s="9">
        <v>73.0</v>
      </c>
      <c r="B74" s="13" t="s">
        <v>231</v>
      </c>
      <c r="C74" s="13" t="s">
        <v>96</v>
      </c>
      <c r="D74" s="13" t="s">
        <v>232</v>
      </c>
      <c r="E74" s="14">
        <v>2.06E7</v>
      </c>
      <c r="F74" s="9" t="str">
        <f t="shared" si="1"/>
        <v>5-25 m</v>
      </c>
      <c r="G74" s="14">
        <v>2.92E11</v>
      </c>
      <c r="H74" s="14">
        <f t="shared" si="2"/>
        <v>14175</v>
      </c>
      <c r="I74" s="9" t="str">
        <f t="shared" si="3"/>
        <v>High income</v>
      </c>
      <c r="J74" s="9" t="s">
        <v>90</v>
      </c>
      <c r="K74" s="19" t="s">
        <v>175</v>
      </c>
      <c r="L74" s="19" t="s">
        <v>176</v>
      </c>
      <c r="M74" s="9" t="s">
        <v>177</v>
      </c>
      <c r="N74" s="9" t="s">
        <v>108</v>
      </c>
      <c r="O74" s="19" t="s">
        <v>178</v>
      </c>
      <c r="P74" s="9" t="s">
        <v>178</v>
      </c>
      <c r="Q74" s="13" t="s">
        <v>183</v>
      </c>
      <c r="R74" s="13" t="s">
        <v>184</v>
      </c>
      <c r="S74" s="19" t="s">
        <v>233</v>
      </c>
      <c r="T74" s="21"/>
      <c r="U74" s="21"/>
      <c r="V74" s="21"/>
      <c r="W74" s="21"/>
      <c r="X74" s="21"/>
      <c r="Y74" s="21" t="str">
        <f t="shared" si="4"/>
        <v>Aditya</v>
      </c>
      <c r="Z74" s="9"/>
      <c r="AA74" s="9"/>
      <c r="AB74" s="9">
        <f t="shared" si="5"/>
        <v>1</v>
      </c>
      <c r="AC74" s="9"/>
      <c r="AD74" s="22" t="str">
        <f>IF(COUNT(Z74,AA74,AC74)=0,"",ROUND(Z74*'Scoring Guide'!$B$5+AA74*'Scoring Guide'!$B$6+AB74*'Scoring Guide'!$B$7+AC74*'Scoring Guide'!$B$8,2))</f>
        <v/>
      </c>
      <c r="AE74" s="23" t="str">
        <f>IF(AD74="","Not scored",IF(AD74&gt;='Scoring Guide'!$B$11,"Tier 1 - Priority",IF(AD74&gt;='Scoring Guide'!$B$12,"Tier 2 - Develop",IF(AD74&gt;='Scoring Guide'!$B$13,"Tier 3 - Monitor","Tier 4 - Deprioritise"))))</f>
        <v>Not scored</v>
      </c>
    </row>
    <row r="75" ht="15.75" customHeight="1">
      <c r="A75" s="9">
        <v>74.0</v>
      </c>
      <c r="B75" s="11" t="s">
        <v>234</v>
      </c>
      <c r="C75" s="13" t="s">
        <v>96</v>
      </c>
      <c r="D75" s="13" t="s">
        <v>182</v>
      </c>
      <c r="E75" s="14">
        <v>5000000.0</v>
      </c>
      <c r="F75" s="9" t="str">
        <f t="shared" si="1"/>
        <v>5-25 m</v>
      </c>
      <c r="G75" s="14">
        <v>1.62E11</v>
      </c>
      <c r="H75" s="14">
        <f t="shared" si="2"/>
        <v>32400</v>
      </c>
      <c r="I75" s="9" t="str">
        <f t="shared" si="3"/>
        <v>High income</v>
      </c>
      <c r="J75" s="9" t="s">
        <v>108</v>
      </c>
      <c r="K75" s="19" t="s">
        <v>216</v>
      </c>
      <c r="L75" s="19" t="s">
        <v>235</v>
      </c>
      <c r="M75" s="9" t="s">
        <v>177</v>
      </c>
      <c r="N75" s="9" t="s">
        <v>90</v>
      </c>
      <c r="O75" s="19" t="s">
        <v>178</v>
      </c>
      <c r="P75" s="9" t="s">
        <v>178</v>
      </c>
      <c r="Q75" s="13" t="s">
        <v>192</v>
      </c>
      <c r="R75" s="13" t="s">
        <v>113</v>
      </c>
      <c r="S75" s="19"/>
      <c r="T75" s="21"/>
      <c r="U75" s="21"/>
      <c r="V75" s="21"/>
      <c r="W75" s="21"/>
      <c r="X75" s="21"/>
      <c r="Y75" s="21" t="str">
        <f t="shared" si="4"/>
        <v>Aditya</v>
      </c>
      <c r="Z75" s="9"/>
      <c r="AA75" s="9"/>
      <c r="AB75" s="9">
        <f t="shared" si="5"/>
        <v>1</v>
      </c>
      <c r="AC75" s="9"/>
      <c r="AD75" s="22" t="str">
        <f>IF(COUNT(Z75,AA75,AC75)=0,"",ROUND(Z75*'Scoring Guide'!$B$5+AA75*'Scoring Guide'!$B$6+AB75*'Scoring Guide'!$B$7+AC75*'Scoring Guide'!$B$8,2))</f>
        <v/>
      </c>
      <c r="AE75" s="23" t="str">
        <f>IF(AD75="","Not scored",IF(AD75&gt;='Scoring Guide'!$B$11,"Tier 1 - Priority",IF(AD75&gt;='Scoring Guide'!$B$12,"Tier 2 - Develop",IF(AD75&gt;='Scoring Guide'!$B$13,"Tier 3 - Monitor","Tier 4 - Deprioritise"))))</f>
        <v>Not scored</v>
      </c>
    </row>
    <row r="76" ht="15.75" hidden="1" customHeight="1">
      <c r="A76" s="9">
        <v>75.0</v>
      </c>
      <c r="B76" s="13" t="s">
        <v>236</v>
      </c>
      <c r="C76" s="13" t="s">
        <v>96</v>
      </c>
      <c r="D76" s="13" t="s">
        <v>232</v>
      </c>
      <c r="E76" s="14">
        <v>7300000.0</v>
      </c>
      <c r="F76" s="9" t="str">
        <f t="shared" si="1"/>
        <v>5-25 m</v>
      </c>
      <c r="G76" s="14">
        <v>1.5E10</v>
      </c>
      <c r="H76" s="14">
        <f t="shared" si="2"/>
        <v>2055</v>
      </c>
      <c r="I76" s="9" t="str">
        <f t="shared" si="3"/>
        <v>Lower-middle</v>
      </c>
      <c r="J76" s="9" t="s">
        <v>90</v>
      </c>
      <c r="K76" s="19" t="s">
        <v>175</v>
      </c>
      <c r="L76" s="19" t="s">
        <v>176</v>
      </c>
      <c r="M76" s="9" t="s">
        <v>177</v>
      </c>
      <c r="N76" s="9" t="s">
        <v>108</v>
      </c>
      <c r="O76" s="19" t="s">
        <v>178</v>
      </c>
      <c r="P76" s="9" t="s">
        <v>178</v>
      </c>
      <c r="Q76" s="13" t="s">
        <v>183</v>
      </c>
      <c r="R76" s="13" t="s">
        <v>184</v>
      </c>
      <c r="S76" s="19"/>
      <c r="T76" s="21"/>
      <c r="U76" s="21"/>
      <c r="V76" s="21"/>
      <c r="W76" s="21"/>
      <c r="X76" s="21"/>
      <c r="Y76" s="21" t="str">
        <f t="shared" si="4"/>
        <v>Aditya</v>
      </c>
      <c r="Z76" s="9"/>
      <c r="AA76" s="9"/>
      <c r="AB76" s="9">
        <f t="shared" si="5"/>
        <v>1</v>
      </c>
      <c r="AC76" s="9"/>
      <c r="AD76" s="22" t="str">
        <f>IF(COUNT(Z76,AA76,AC76)=0,"",ROUND(Z76*'Scoring Guide'!$B$5+AA76*'Scoring Guide'!$B$6+AB76*'Scoring Guide'!$B$7+AC76*'Scoring Guide'!$B$8,2))</f>
        <v/>
      </c>
      <c r="AE76" s="23" t="str">
        <f>IF(AD76="","Not scored",IF(AD76&gt;='Scoring Guide'!$B$11,"Tier 1 - Priority",IF(AD76&gt;='Scoring Guide'!$B$12,"Tier 2 - Develop",IF(AD76&gt;='Scoring Guide'!$B$13,"Tier 3 - Monitor","Tier 4 - Deprioritise"))))</f>
        <v>Not scored</v>
      </c>
    </row>
    <row r="77" ht="15.75" hidden="1" customHeight="1">
      <c r="A77" s="9">
        <v>76.0</v>
      </c>
      <c r="B77" s="13" t="s">
        <v>237</v>
      </c>
      <c r="C77" s="13" t="s">
        <v>96</v>
      </c>
      <c r="D77" s="13" t="s">
        <v>196</v>
      </c>
      <c r="E77" s="14">
        <v>7900000.0</v>
      </c>
      <c r="F77" s="9" t="str">
        <f t="shared" si="1"/>
        <v>5-25 m</v>
      </c>
      <c r="G77" s="14">
        <v>1.58E10</v>
      </c>
      <c r="H77" s="14">
        <f t="shared" si="2"/>
        <v>2000</v>
      </c>
      <c r="I77" s="9" t="str">
        <f t="shared" si="3"/>
        <v>Lower-middle</v>
      </c>
      <c r="J77" s="9" t="s">
        <v>90</v>
      </c>
      <c r="K77" s="19" t="s">
        <v>175</v>
      </c>
      <c r="L77" s="19" t="s">
        <v>176</v>
      </c>
      <c r="M77" s="9" t="s">
        <v>177</v>
      </c>
      <c r="N77" s="9" t="s">
        <v>108</v>
      </c>
      <c r="O77" s="19" t="s">
        <v>178</v>
      </c>
      <c r="P77" s="9" t="s">
        <v>178</v>
      </c>
      <c r="Q77" s="13" t="s">
        <v>197</v>
      </c>
      <c r="R77" s="13" t="s">
        <v>109</v>
      </c>
      <c r="S77" s="19"/>
      <c r="T77" s="21"/>
      <c r="U77" s="21"/>
      <c r="V77" s="21"/>
      <c r="W77" s="21"/>
      <c r="X77" s="21"/>
      <c r="Y77" s="21" t="str">
        <f t="shared" si="4"/>
        <v>Aditya</v>
      </c>
      <c r="Z77" s="9"/>
      <c r="AA77" s="9"/>
      <c r="AB77" s="9">
        <f t="shared" si="5"/>
        <v>1</v>
      </c>
      <c r="AC77" s="9"/>
      <c r="AD77" s="22" t="str">
        <f>IF(COUNT(Z77,AA77,AC77)=0,"",ROUND(Z77*'Scoring Guide'!$B$5+AA77*'Scoring Guide'!$B$6+AB77*'Scoring Guide'!$B$7+AC77*'Scoring Guide'!$B$8,2))</f>
        <v/>
      </c>
      <c r="AE77" s="23" t="str">
        <f>IF(AD77="","Not scored",IF(AD77&gt;='Scoring Guide'!$B$11,"Tier 1 - Priority",IF(AD77&gt;='Scoring Guide'!$B$12,"Tier 2 - Develop",IF(AD77&gt;='Scoring Guide'!$B$13,"Tier 3 - Monitor","Tier 4 - Deprioritise"))))</f>
        <v>Not scored</v>
      </c>
    </row>
    <row r="78" ht="15.75" customHeight="1">
      <c r="A78" s="9">
        <v>77.0</v>
      </c>
      <c r="B78" s="11" t="s">
        <v>238</v>
      </c>
      <c r="C78" s="13" t="s">
        <v>96</v>
      </c>
      <c r="D78" s="13" t="s">
        <v>182</v>
      </c>
      <c r="E78" s="14">
        <v>5800000.0</v>
      </c>
      <c r="F78" s="9" t="str">
        <f t="shared" si="1"/>
        <v>5-25 m</v>
      </c>
      <c r="G78" s="14">
        <v>2.5E10</v>
      </c>
      <c r="H78" s="14">
        <f t="shared" si="2"/>
        <v>4310</v>
      </c>
      <c r="I78" s="9" t="str">
        <f t="shared" si="3"/>
        <v>Lower-middle</v>
      </c>
      <c r="J78" s="9" t="s">
        <v>108</v>
      </c>
      <c r="K78" s="19" t="s">
        <v>219</v>
      </c>
      <c r="L78" s="19" t="s">
        <v>239</v>
      </c>
      <c r="M78" s="9" t="s">
        <v>177</v>
      </c>
      <c r="N78" s="9" t="s">
        <v>90</v>
      </c>
      <c r="O78" s="19" t="s">
        <v>178</v>
      </c>
      <c r="P78" s="9" t="s">
        <v>178</v>
      </c>
      <c r="Q78" s="13" t="s">
        <v>187</v>
      </c>
      <c r="R78" s="13" t="s">
        <v>97</v>
      </c>
      <c r="S78" s="19"/>
      <c r="T78" s="21"/>
      <c r="U78" s="21"/>
      <c r="V78" s="21"/>
      <c r="W78" s="21"/>
      <c r="X78" s="21"/>
      <c r="Y78" s="21" t="str">
        <f t="shared" si="4"/>
        <v>Aditya</v>
      </c>
      <c r="Z78" s="9"/>
      <c r="AA78" s="9"/>
      <c r="AB78" s="9">
        <f t="shared" si="5"/>
        <v>1</v>
      </c>
      <c r="AC78" s="9"/>
      <c r="AD78" s="22" t="str">
        <f>IF(COUNT(Z78,AA78,AC78)=0,"",ROUND(Z78*'Scoring Guide'!$B$5+AA78*'Scoring Guide'!$B$6+AB78*'Scoring Guide'!$B$7+AC78*'Scoring Guide'!$B$8,2))</f>
        <v/>
      </c>
      <c r="AE78" s="23" t="str">
        <f>IF(AD78="","Not scored",IF(AD78&gt;='Scoring Guide'!$B$11,"Tier 1 - Priority",IF(AD78&gt;='Scoring Guide'!$B$12,"Tier 2 - Develop",IF(AD78&gt;='Scoring Guide'!$B$13,"Tier 3 - Monitor","Tier 4 - Deprioritise"))))</f>
        <v>Not scored</v>
      </c>
    </row>
    <row r="79" ht="15.75" customHeight="1">
      <c r="A79" s="9">
        <v>78.0</v>
      </c>
      <c r="B79" s="11" t="s">
        <v>240</v>
      </c>
      <c r="C79" s="13" t="s">
        <v>96</v>
      </c>
      <c r="D79" s="13" t="s">
        <v>196</v>
      </c>
      <c r="E79" s="14">
        <v>3.56E7</v>
      </c>
      <c r="F79" s="9" t="str">
        <f t="shared" si="1"/>
        <v>25-100 m</v>
      </c>
      <c r="G79" s="14">
        <v>4.45E11</v>
      </c>
      <c r="H79" s="14">
        <f t="shared" si="2"/>
        <v>12500</v>
      </c>
      <c r="I79" s="9" t="str">
        <f t="shared" si="3"/>
        <v>Upper-middle</v>
      </c>
      <c r="J79" s="9" t="s">
        <v>108</v>
      </c>
      <c r="K79" s="19" t="s">
        <v>241</v>
      </c>
      <c r="L79" s="19" t="s">
        <v>242</v>
      </c>
      <c r="M79" s="9" t="s">
        <v>177</v>
      </c>
      <c r="N79" s="9" t="s">
        <v>90</v>
      </c>
      <c r="O79" s="19" t="s">
        <v>178</v>
      </c>
      <c r="P79" s="9" t="s">
        <v>178</v>
      </c>
      <c r="Q79" s="13" t="s">
        <v>197</v>
      </c>
      <c r="R79" s="13" t="s">
        <v>198</v>
      </c>
      <c r="S79" s="19"/>
      <c r="T79" s="21"/>
      <c r="U79" s="21"/>
      <c r="V79" s="21"/>
      <c r="W79" s="21"/>
      <c r="X79" s="21"/>
      <c r="Y79" s="21" t="str">
        <f t="shared" si="4"/>
        <v>Aditya</v>
      </c>
      <c r="Z79" s="9"/>
      <c r="AA79" s="9"/>
      <c r="AB79" s="9">
        <f t="shared" si="5"/>
        <v>1</v>
      </c>
      <c r="AC79" s="9"/>
      <c r="AD79" s="22" t="str">
        <f>IF(COUNT(Z79,AA79,AC79)=0,"",ROUND(Z79*'Scoring Guide'!$B$5+AA79*'Scoring Guide'!$B$6+AB79*'Scoring Guide'!$B$7+AC79*'Scoring Guide'!$B$8,2))</f>
        <v/>
      </c>
      <c r="AE79" s="23" t="str">
        <f>IF(AD79="","Not scored",IF(AD79&gt;='Scoring Guide'!$B$11,"Tier 1 - Priority",IF(AD79&gt;='Scoring Guide'!$B$12,"Tier 2 - Develop",IF(AD79&gt;='Scoring Guide'!$B$13,"Tier 3 - Monitor","Tier 4 - Deprioritise"))))</f>
        <v>Not scored</v>
      </c>
    </row>
    <row r="80" ht="15.75" hidden="1" customHeight="1">
      <c r="A80" s="9">
        <v>79.0</v>
      </c>
      <c r="B80" s="13" t="s">
        <v>243</v>
      </c>
      <c r="C80" s="13" t="s">
        <v>96</v>
      </c>
      <c r="D80" s="13" t="s">
        <v>174</v>
      </c>
      <c r="E80" s="14">
        <v>530000.0</v>
      </c>
      <c r="F80" s="9" t="str">
        <f t="shared" si="1"/>
        <v>Under 1 m</v>
      </c>
      <c r="G80" s="14">
        <v>7.2E9</v>
      </c>
      <c r="H80" s="14">
        <f t="shared" si="2"/>
        <v>13585</v>
      </c>
      <c r="I80" s="9" t="str">
        <f t="shared" si="3"/>
        <v>Upper-middle</v>
      </c>
      <c r="J80" s="9" t="s">
        <v>90</v>
      </c>
      <c r="K80" s="19" t="s">
        <v>175</v>
      </c>
      <c r="L80" s="19" t="s">
        <v>176</v>
      </c>
      <c r="M80" s="9" t="s">
        <v>177</v>
      </c>
      <c r="N80" s="9" t="s">
        <v>90</v>
      </c>
      <c r="O80" s="19" t="s">
        <v>178</v>
      </c>
      <c r="P80" s="9" t="s">
        <v>178</v>
      </c>
      <c r="Q80" s="13" t="s">
        <v>179</v>
      </c>
      <c r="R80" s="13" t="s">
        <v>109</v>
      </c>
      <c r="S80" s="19"/>
      <c r="T80" s="21"/>
      <c r="U80" s="21"/>
      <c r="V80" s="21"/>
      <c r="W80" s="21"/>
      <c r="X80" s="21"/>
      <c r="Y80" s="21" t="str">
        <f t="shared" si="4"/>
        <v>Aditya</v>
      </c>
      <c r="Z80" s="9"/>
      <c r="AA80" s="9"/>
      <c r="AB80" s="9">
        <f t="shared" si="5"/>
        <v>1</v>
      </c>
      <c r="AC80" s="9"/>
      <c r="AD80" s="22" t="str">
        <f>IF(COUNT(Z80,AA80,AC80)=0,"",ROUND(Z80*'Scoring Guide'!$B$5+AA80*'Scoring Guide'!$B$6+AB80*'Scoring Guide'!$B$7+AC80*'Scoring Guide'!$B$8,2))</f>
        <v/>
      </c>
      <c r="AE80" s="23" t="str">
        <f>IF(AD80="","Not scored",IF(AD80&gt;='Scoring Guide'!$B$11,"Tier 1 - Priority",IF(AD80&gt;='Scoring Guide'!$B$12,"Tier 2 - Develop",IF(AD80&gt;='Scoring Guide'!$B$13,"Tier 3 - Monitor","Tier 4 - Deprioritise"))))</f>
        <v>Not scored</v>
      </c>
    </row>
    <row r="81" ht="15.75" hidden="1" customHeight="1">
      <c r="A81" s="9">
        <v>80.0</v>
      </c>
      <c r="B81" s="13" t="s">
        <v>244</v>
      </c>
      <c r="C81" s="13" t="s">
        <v>96</v>
      </c>
      <c r="D81" s="13" t="s">
        <v>201</v>
      </c>
      <c r="E81" s="14">
        <v>3500000.0</v>
      </c>
      <c r="F81" s="9" t="str">
        <f t="shared" si="1"/>
        <v>1-5 m</v>
      </c>
      <c r="G81" s="14">
        <v>2.35E10</v>
      </c>
      <c r="H81" s="14">
        <f t="shared" si="2"/>
        <v>6714</v>
      </c>
      <c r="I81" s="9" t="str">
        <f t="shared" si="3"/>
        <v>Upper-middle</v>
      </c>
      <c r="J81" s="9" t="s">
        <v>90</v>
      </c>
      <c r="K81" s="19" t="s">
        <v>175</v>
      </c>
      <c r="L81" s="19" t="s">
        <v>176</v>
      </c>
      <c r="M81" s="9" t="s">
        <v>177</v>
      </c>
      <c r="N81" s="9" t="s">
        <v>108</v>
      </c>
      <c r="O81" s="19" t="s">
        <v>178</v>
      </c>
      <c r="P81" s="9" t="s">
        <v>178</v>
      </c>
      <c r="Q81" s="13" t="s">
        <v>187</v>
      </c>
      <c r="R81" s="13" t="s">
        <v>109</v>
      </c>
      <c r="S81" s="19"/>
      <c r="T81" s="21"/>
      <c r="U81" s="21"/>
      <c r="V81" s="21"/>
      <c r="W81" s="21"/>
      <c r="X81" s="21"/>
      <c r="Y81" s="21" t="str">
        <f t="shared" si="4"/>
        <v>Aditya</v>
      </c>
      <c r="Z81" s="9"/>
      <c r="AA81" s="9"/>
      <c r="AB81" s="9">
        <f t="shared" si="5"/>
        <v>1</v>
      </c>
      <c r="AC81" s="9"/>
      <c r="AD81" s="22" t="str">
        <f>IF(COUNT(Z81,AA81,AC81)=0,"",ROUND(Z81*'Scoring Guide'!$B$5+AA81*'Scoring Guide'!$B$6+AB81*'Scoring Guide'!$B$7+AC81*'Scoring Guide'!$B$8,2))</f>
        <v/>
      </c>
      <c r="AE81" s="23" t="str">
        <f>IF(AD81="","Not scored",IF(AD81&gt;='Scoring Guide'!$B$11,"Tier 1 - Priority",IF(AD81&gt;='Scoring Guide'!$B$12,"Tier 2 - Develop",IF(AD81&gt;='Scoring Guide'!$B$13,"Tier 3 - Monitor","Tier 4 - Deprioritise"))))</f>
        <v>Not scored</v>
      </c>
    </row>
    <row r="82" ht="15.75" hidden="1" customHeight="1">
      <c r="A82" s="9">
        <v>81.0</v>
      </c>
      <c r="B82" s="13" t="s">
        <v>245</v>
      </c>
      <c r="C82" s="13" t="s">
        <v>96</v>
      </c>
      <c r="D82" s="13" t="s">
        <v>196</v>
      </c>
      <c r="E82" s="14">
        <v>5.49E7</v>
      </c>
      <c r="F82" s="9" t="str">
        <f t="shared" si="1"/>
        <v>25-100 m</v>
      </c>
      <c r="G82" s="14">
        <v>6.5E10</v>
      </c>
      <c r="H82" s="14">
        <f t="shared" si="2"/>
        <v>1184</v>
      </c>
      <c r="I82" s="9" t="str">
        <f t="shared" si="3"/>
        <v>Lower-middle</v>
      </c>
      <c r="J82" s="9" t="s">
        <v>90</v>
      </c>
      <c r="K82" s="19" t="s">
        <v>175</v>
      </c>
      <c r="L82" s="19" t="s">
        <v>176</v>
      </c>
      <c r="M82" s="9" t="s">
        <v>177</v>
      </c>
      <c r="N82" s="9" t="s">
        <v>90</v>
      </c>
      <c r="O82" s="19" t="s">
        <v>178</v>
      </c>
      <c r="P82" s="9" t="s">
        <v>178</v>
      </c>
      <c r="Q82" s="13" t="s">
        <v>197</v>
      </c>
      <c r="R82" s="13" t="s">
        <v>109</v>
      </c>
      <c r="S82" s="19"/>
      <c r="T82" s="21"/>
      <c r="U82" s="21"/>
      <c r="V82" s="21"/>
      <c r="W82" s="21"/>
      <c r="X82" s="21"/>
      <c r="Y82" s="21" t="str">
        <f t="shared" si="4"/>
        <v>Aditya</v>
      </c>
      <c r="Z82" s="9"/>
      <c r="AA82" s="9"/>
      <c r="AB82" s="9">
        <f t="shared" si="5"/>
        <v>1</v>
      </c>
      <c r="AC82" s="9"/>
      <c r="AD82" s="22" t="str">
        <f>IF(COUNT(Z82,AA82,AC82)=0,"",ROUND(Z82*'Scoring Guide'!$B$5+AA82*'Scoring Guide'!$B$6+AB82*'Scoring Guide'!$B$7+AC82*'Scoring Guide'!$B$8,2))</f>
        <v/>
      </c>
      <c r="AE82" s="23" t="str">
        <f>IF(AD82="","Not scored",IF(AD82&gt;='Scoring Guide'!$B$11,"Tier 1 - Priority",IF(AD82&gt;='Scoring Guide'!$B$12,"Tier 2 - Develop",IF(AD82&gt;='Scoring Guide'!$B$13,"Tier 3 - Monitor","Tier 4 - Deprioritise"))))</f>
        <v>Not scored</v>
      </c>
    </row>
    <row r="83" ht="15.75" hidden="1" customHeight="1">
      <c r="A83" s="9">
        <v>82.0</v>
      </c>
      <c r="B83" s="13" t="s">
        <v>246</v>
      </c>
      <c r="C83" s="13" t="s">
        <v>96</v>
      </c>
      <c r="D83" s="13" t="s">
        <v>174</v>
      </c>
      <c r="E83" s="14">
        <v>3.0E7</v>
      </c>
      <c r="F83" s="9" t="str">
        <f t="shared" si="1"/>
        <v>25-100 m</v>
      </c>
      <c r="G83" s="14">
        <v>4.37E10</v>
      </c>
      <c r="H83" s="14">
        <f t="shared" si="2"/>
        <v>1457</v>
      </c>
      <c r="I83" s="9" t="str">
        <f t="shared" si="3"/>
        <v>Lower-middle</v>
      </c>
      <c r="J83" s="9" t="s">
        <v>90</v>
      </c>
      <c r="K83" s="19" t="s">
        <v>175</v>
      </c>
      <c r="L83" s="19" t="s">
        <v>176</v>
      </c>
      <c r="M83" s="9" t="s">
        <v>177</v>
      </c>
      <c r="N83" s="9" t="s">
        <v>108</v>
      </c>
      <c r="O83" s="19" t="s">
        <v>178</v>
      </c>
      <c r="P83" s="9" t="s">
        <v>178</v>
      </c>
      <c r="Q83" s="13" t="s">
        <v>179</v>
      </c>
      <c r="R83" s="13" t="s">
        <v>109</v>
      </c>
      <c r="S83" s="19"/>
      <c r="T83" s="21"/>
      <c r="U83" s="21"/>
      <c r="V83" s="21"/>
      <c r="W83" s="21"/>
      <c r="X83" s="21"/>
      <c r="Y83" s="21" t="str">
        <f t="shared" si="4"/>
        <v>Aditya</v>
      </c>
      <c r="Z83" s="9"/>
      <c r="AA83" s="9"/>
      <c r="AB83" s="9">
        <f t="shared" si="5"/>
        <v>1</v>
      </c>
      <c r="AC83" s="9"/>
      <c r="AD83" s="22" t="str">
        <f>IF(COUNT(Z83,AA83,AC83)=0,"",ROUND(Z83*'Scoring Guide'!$B$5+AA83*'Scoring Guide'!$B$6+AB83*'Scoring Guide'!$B$7+AC83*'Scoring Guide'!$B$8,2))</f>
        <v/>
      </c>
      <c r="AE83" s="23" t="str">
        <f>IF(AD83="","Not scored",IF(AD83&gt;='Scoring Guide'!$B$11,"Tier 1 - Priority",IF(AD83&gt;='Scoring Guide'!$B$12,"Tier 2 - Develop",IF(AD83&gt;='Scoring Guide'!$B$13,"Tier 3 - Monitor","Tier 4 - Deprioritise"))))</f>
        <v>Not scored</v>
      </c>
    </row>
    <row r="84" ht="15.75" hidden="1" customHeight="1">
      <c r="A84" s="9">
        <v>83.0</v>
      </c>
      <c r="B84" s="13" t="s">
        <v>247</v>
      </c>
      <c r="C84" s="13" t="s">
        <v>96</v>
      </c>
      <c r="D84" s="13" t="s">
        <v>201</v>
      </c>
      <c r="E84" s="14">
        <v>2.66E7</v>
      </c>
      <c r="F84" s="9" t="str">
        <f t="shared" si="1"/>
        <v>25-100 m</v>
      </c>
      <c r="G84" s="14">
        <v>2.5E10</v>
      </c>
      <c r="H84" s="14">
        <f t="shared" si="2"/>
        <v>940</v>
      </c>
      <c r="I84" s="9" t="str">
        <f t="shared" si="3"/>
        <v>Low income</v>
      </c>
      <c r="J84" s="9" t="s">
        <v>90</v>
      </c>
      <c r="K84" s="19" t="s">
        <v>175</v>
      </c>
      <c r="L84" s="19" t="s">
        <v>176</v>
      </c>
      <c r="M84" s="9" t="s">
        <v>177</v>
      </c>
      <c r="N84" s="9" t="s">
        <v>90</v>
      </c>
      <c r="O84" s="19" t="s">
        <v>178</v>
      </c>
      <c r="P84" s="9" t="s">
        <v>178</v>
      </c>
      <c r="Q84" s="13" t="s">
        <v>187</v>
      </c>
      <c r="R84" s="13" t="s">
        <v>248</v>
      </c>
      <c r="S84" s="19"/>
      <c r="T84" s="21"/>
      <c r="U84" s="21"/>
      <c r="V84" s="21"/>
      <c r="W84" s="21"/>
      <c r="X84" s="21"/>
      <c r="Y84" s="21" t="str">
        <f t="shared" si="4"/>
        <v>Aditya</v>
      </c>
      <c r="Z84" s="9"/>
      <c r="AA84" s="9"/>
      <c r="AB84" s="9">
        <f t="shared" si="5"/>
        <v>1</v>
      </c>
      <c r="AC84" s="9"/>
      <c r="AD84" s="22" t="str">
        <f>IF(COUNT(Z84,AA84,AC84)=0,"",ROUND(Z84*'Scoring Guide'!$B$5+AA84*'Scoring Guide'!$B$6+AB84*'Scoring Guide'!$B$7+AC84*'Scoring Guide'!$B$8,2))</f>
        <v/>
      </c>
      <c r="AE84" s="23" t="str">
        <f>IF(AD84="","Not scored",IF(AD84&gt;='Scoring Guide'!$B$11,"Tier 1 - Priority",IF(AD84&gt;='Scoring Guide'!$B$12,"Tier 2 - Develop",IF(AD84&gt;='Scoring Guide'!$B$13,"Tier 3 - Monitor","Tier 4 - Deprioritise"))))</f>
        <v>Not scored</v>
      </c>
    </row>
    <row r="85" ht="15.75" customHeight="1">
      <c r="A85" s="9">
        <v>84.0</v>
      </c>
      <c r="B85" s="11" t="s">
        <v>249</v>
      </c>
      <c r="C85" s="13" t="s">
        <v>96</v>
      </c>
      <c r="D85" s="13" t="s">
        <v>182</v>
      </c>
      <c r="E85" s="14">
        <v>5400000.0</v>
      </c>
      <c r="F85" s="9" t="str">
        <f t="shared" si="1"/>
        <v>5-25 m</v>
      </c>
      <c r="G85" s="14">
        <v>1.1E11</v>
      </c>
      <c r="H85" s="14">
        <f t="shared" si="2"/>
        <v>20370</v>
      </c>
      <c r="I85" s="9" t="str">
        <f t="shared" si="3"/>
        <v>High income</v>
      </c>
      <c r="J85" s="9" t="s">
        <v>108</v>
      </c>
      <c r="K85" s="19" t="s">
        <v>250</v>
      </c>
      <c r="L85" s="19" t="s">
        <v>251</v>
      </c>
      <c r="M85" s="9" t="s">
        <v>203</v>
      </c>
      <c r="N85" s="9" t="s">
        <v>90</v>
      </c>
      <c r="O85" s="19" t="s">
        <v>178</v>
      </c>
      <c r="P85" s="9" t="s">
        <v>178</v>
      </c>
      <c r="Q85" s="13" t="s">
        <v>192</v>
      </c>
      <c r="R85" s="13" t="s">
        <v>113</v>
      </c>
      <c r="S85" s="19"/>
      <c r="T85" s="21"/>
      <c r="U85" s="21"/>
      <c r="V85" s="21"/>
      <c r="W85" s="21"/>
      <c r="X85" s="21"/>
      <c r="Y85" s="21" t="str">
        <f t="shared" si="4"/>
        <v>Aditya</v>
      </c>
      <c r="Z85" s="9"/>
      <c r="AA85" s="9"/>
      <c r="AB85" s="9">
        <f t="shared" si="5"/>
        <v>3</v>
      </c>
      <c r="AC85" s="9"/>
      <c r="AD85" s="22" t="str">
        <f>IF(COUNT(Z85,AA85,AC85)=0,"",ROUND(Z85*'Scoring Guide'!$B$5+AA85*'Scoring Guide'!$B$6+AB85*'Scoring Guide'!$B$7+AC85*'Scoring Guide'!$B$8,2))</f>
        <v/>
      </c>
      <c r="AE85" s="23" t="str">
        <f>IF(AD85="","Not scored",IF(AD85&gt;='Scoring Guide'!$B$11,"Tier 1 - Priority",IF(AD85&gt;='Scoring Guide'!$B$12,"Tier 2 - Develop",IF(AD85&gt;='Scoring Guide'!$B$13,"Tier 3 - Monitor","Tier 4 - Deprioritise"))))</f>
        <v>Not scored</v>
      </c>
    </row>
    <row r="86" ht="15.75" customHeight="1">
      <c r="A86" s="9">
        <v>85.0</v>
      </c>
      <c r="B86" s="30" t="s">
        <v>252</v>
      </c>
      <c r="C86" s="13" t="s">
        <v>96</v>
      </c>
      <c r="D86" s="13" t="s">
        <v>174</v>
      </c>
      <c r="E86" s="14">
        <v>2.552E8</v>
      </c>
      <c r="F86" s="9" t="str">
        <f t="shared" si="1"/>
        <v>Over 100 m</v>
      </c>
      <c r="G86" s="14">
        <v>3.75E11</v>
      </c>
      <c r="H86" s="14">
        <f t="shared" si="2"/>
        <v>1469</v>
      </c>
      <c r="I86" s="9" t="str">
        <f t="shared" si="3"/>
        <v>Lower-middle</v>
      </c>
      <c r="J86" s="9" t="s">
        <v>108</v>
      </c>
      <c r="K86" s="19" t="s">
        <v>219</v>
      </c>
      <c r="L86" s="19" t="s">
        <v>253</v>
      </c>
      <c r="M86" s="9" t="s">
        <v>177</v>
      </c>
      <c r="N86" s="9" t="s">
        <v>90</v>
      </c>
      <c r="O86" s="19" t="s">
        <v>178</v>
      </c>
      <c r="P86" s="9" t="s">
        <v>178</v>
      </c>
      <c r="Q86" s="13" t="s">
        <v>179</v>
      </c>
      <c r="R86" s="13" t="s">
        <v>109</v>
      </c>
      <c r="S86" s="19"/>
      <c r="T86" s="21"/>
      <c r="U86" s="21"/>
      <c r="V86" s="21"/>
      <c r="W86" s="21"/>
      <c r="X86" s="21"/>
      <c r="Y86" s="21" t="str">
        <f t="shared" si="4"/>
        <v>Aditya</v>
      </c>
      <c r="Z86" s="9"/>
      <c r="AA86" s="9"/>
      <c r="AB86" s="9">
        <f t="shared" si="5"/>
        <v>1</v>
      </c>
      <c r="AC86" s="9"/>
      <c r="AD86" s="22" t="str">
        <f>IF(COUNT(Z86,AA86,AC86)=0,"",ROUND(Z86*'Scoring Guide'!$B$5+AA86*'Scoring Guide'!$B$6+AB86*'Scoring Guide'!$B$7+AC86*'Scoring Guide'!$B$8,2))</f>
        <v/>
      </c>
      <c r="AE86" s="23" t="str">
        <f>IF(AD86="","Not scored",IF(AD86&gt;='Scoring Guide'!$B$11,"Tier 1 - Priority",IF(AD86&gt;='Scoring Guide'!$B$12,"Tier 2 - Develop",IF(AD86&gt;='Scoring Guide'!$B$13,"Tier 3 - Monitor","Tier 4 - Deprioritise"))))</f>
        <v>Not scored</v>
      </c>
    </row>
    <row r="87" ht="15.75" hidden="1" customHeight="1">
      <c r="A87" s="9">
        <v>86.0</v>
      </c>
      <c r="B87" s="13" t="s">
        <v>254</v>
      </c>
      <c r="C87" s="13" t="s">
        <v>96</v>
      </c>
      <c r="D87" s="13" t="s">
        <v>182</v>
      </c>
      <c r="E87" s="14">
        <v>5600000.0</v>
      </c>
      <c r="F87" s="9" t="str">
        <f t="shared" si="1"/>
        <v>5-25 m</v>
      </c>
      <c r="G87" s="14">
        <v>1.74E10</v>
      </c>
      <c r="H87" s="14">
        <f t="shared" si="2"/>
        <v>3107</v>
      </c>
      <c r="I87" s="9" t="str">
        <f t="shared" si="3"/>
        <v>Lower-middle</v>
      </c>
      <c r="J87" s="9" t="s">
        <v>90</v>
      </c>
      <c r="K87" s="19" t="s">
        <v>175</v>
      </c>
      <c r="L87" s="19" t="s">
        <v>176</v>
      </c>
      <c r="M87" s="9" t="s">
        <v>177</v>
      </c>
      <c r="N87" s="9" t="s">
        <v>90</v>
      </c>
      <c r="O87" s="19" t="s">
        <v>178</v>
      </c>
      <c r="P87" s="9" t="s">
        <v>178</v>
      </c>
      <c r="Q87" s="13" t="s">
        <v>187</v>
      </c>
      <c r="R87" s="13" t="s">
        <v>113</v>
      </c>
      <c r="S87" s="19" t="s">
        <v>255</v>
      </c>
      <c r="T87" s="21"/>
      <c r="U87" s="21"/>
      <c r="V87" s="21"/>
      <c r="W87" s="21"/>
      <c r="X87" s="21"/>
      <c r="Y87" s="21" t="str">
        <f t="shared" si="4"/>
        <v>Aditya</v>
      </c>
      <c r="Z87" s="9"/>
      <c r="AA87" s="9"/>
      <c r="AB87" s="9">
        <f t="shared" si="5"/>
        <v>1</v>
      </c>
      <c r="AC87" s="9"/>
      <c r="AD87" s="22" t="str">
        <f>IF(COUNT(Z87,AA87,AC87)=0,"",ROUND(Z87*'Scoring Guide'!$B$5+AA87*'Scoring Guide'!$B$6+AB87*'Scoring Guide'!$B$7+AC87*'Scoring Guide'!$B$8,2))</f>
        <v/>
      </c>
      <c r="AE87" s="23" t="str">
        <f>IF(AD87="","Not scored",IF(AD87&gt;='Scoring Guide'!$B$11,"Tier 1 - Priority",IF(AD87&gt;='Scoring Guide'!$B$12,"Tier 2 - Develop",IF(AD87&gt;='Scoring Guide'!$B$13,"Tier 3 - Monitor","Tier 4 - Deprioritise"))))</f>
        <v>Not scored</v>
      </c>
    </row>
    <row r="88" ht="15.75" hidden="1" customHeight="1">
      <c r="A88" s="9">
        <v>87.0</v>
      </c>
      <c r="B88" s="13" t="s">
        <v>256</v>
      </c>
      <c r="C88" s="13" t="s">
        <v>96</v>
      </c>
      <c r="D88" s="13" t="s">
        <v>196</v>
      </c>
      <c r="E88" s="14">
        <v>1.168E8</v>
      </c>
      <c r="F88" s="9" t="str">
        <f t="shared" si="1"/>
        <v>Over 100 m</v>
      </c>
      <c r="G88" s="14">
        <v>4.7E11</v>
      </c>
      <c r="H88" s="14">
        <f t="shared" si="2"/>
        <v>4024</v>
      </c>
      <c r="I88" s="9" t="str">
        <f t="shared" si="3"/>
        <v>Lower-middle</v>
      </c>
      <c r="J88" s="9" t="s">
        <v>90</v>
      </c>
      <c r="K88" s="19" t="s">
        <v>175</v>
      </c>
      <c r="L88" s="19" t="s">
        <v>176</v>
      </c>
      <c r="M88" s="9" t="s">
        <v>177</v>
      </c>
      <c r="N88" s="9" t="s">
        <v>90</v>
      </c>
      <c r="O88" s="19" t="s">
        <v>178</v>
      </c>
      <c r="P88" s="9" t="s">
        <v>178</v>
      </c>
      <c r="Q88" s="13" t="s">
        <v>197</v>
      </c>
      <c r="R88" s="13" t="s">
        <v>109</v>
      </c>
      <c r="S88" s="19"/>
      <c r="T88" s="21"/>
      <c r="U88" s="21"/>
      <c r="V88" s="21"/>
      <c r="W88" s="21"/>
      <c r="X88" s="21"/>
      <c r="Y88" s="21" t="str">
        <f t="shared" si="4"/>
        <v>Aditya</v>
      </c>
      <c r="Z88" s="9"/>
      <c r="AA88" s="9"/>
      <c r="AB88" s="9">
        <f t="shared" si="5"/>
        <v>1</v>
      </c>
      <c r="AC88" s="9"/>
      <c r="AD88" s="22" t="str">
        <f>IF(COUNT(Z88,AA88,AC88)=0,"",ROUND(Z88*'Scoring Guide'!$B$5+AA88*'Scoring Guide'!$B$6+AB88*'Scoring Guide'!$B$7+AC88*'Scoring Guide'!$B$8,2))</f>
        <v/>
      </c>
      <c r="AE88" s="23" t="str">
        <f>IF(AD88="","Not scored",IF(AD88&gt;='Scoring Guide'!$B$11,"Tier 1 - Priority",IF(AD88&gt;='Scoring Guide'!$B$12,"Tier 2 - Develop",IF(AD88&gt;='Scoring Guide'!$B$13,"Tier 3 - Monitor","Tier 4 - Deprioritise"))))</f>
        <v>Not scored</v>
      </c>
    </row>
    <row r="89" ht="15.75" customHeight="1">
      <c r="A89" s="9">
        <v>88.0</v>
      </c>
      <c r="B89" s="11" t="s">
        <v>257</v>
      </c>
      <c r="C89" s="13" t="s">
        <v>96</v>
      </c>
      <c r="D89" s="13" t="s">
        <v>182</v>
      </c>
      <c r="E89" s="14">
        <v>3100000.0</v>
      </c>
      <c r="F89" s="9" t="str">
        <f t="shared" si="1"/>
        <v>1-5 m</v>
      </c>
      <c r="G89" s="14">
        <v>2.21E11</v>
      </c>
      <c r="H89" s="14">
        <f t="shared" si="2"/>
        <v>71290</v>
      </c>
      <c r="I89" s="9" t="str">
        <f t="shared" si="3"/>
        <v>High income</v>
      </c>
      <c r="J89" s="9" t="s">
        <v>108</v>
      </c>
      <c r="K89" s="19" t="s">
        <v>258</v>
      </c>
      <c r="L89" s="19" t="s">
        <v>235</v>
      </c>
      <c r="M89" s="9" t="s">
        <v>203</v>
      </c>
      <c r="N89" s="9" t="s">
        <v>90</v>
      </c>
      <c r="O89" s="19" t="s">
        <v>178</v>
      </c>
      <c r="P89" s="9" t="s">
        <v>178</v>
      </c>
      <c r="Q89" s="13" t="s">
        <v>192</v>
      </c>
      <c r="R89" s="13" t="s">
        <v>113</v>
      </c>
      <c r="S89" s="19"/>
      <c r="T89" s="21"/>
      <c r="U89" s="21"/>
      <c r="V89" s="21"/>
      <c r="W89" s="21"/>
      <c r="X89" s="21"/>
      <c r="Y89" s="21" t="str">
        <f t="shared" si="4"/>
        <v>Aditya</v>
      </c>
      <c r="Z89" s="9"/>
      <c r="AA89" s="9"/>
      <c r="AB89" s="9">
        <f t="shared" si="5"/>
        <v>3</v>
      </c>
      <c r="AC89" s="9"/>
      <c r="AD89" s="22" t="str">
        <f>IF(COUNT(Z89,AA89,AC89)=0,"",ROUND(Z89*'Scoring Guide'!$B$5+AA89*'Scoring Guide'!$B$6+AB89*'Scoring Guide'!$B$7+AC89*'Scoring Guide'!$B$8,2))</f>
        <v/>
      </c>
      <c r="AE89" s="23" t="str">
        <f>IF(AD89="","Not scored",IF(AD89&gt;='Scoring Guide'!$B$11,"Tier 1 - Priority",IF(AD89&gt;='Scoring Guide'!$B$12,"Tier 2 - Develop",IF(AD89&gt;='Scoring Guide'!$B$13,"Tier 3 - Monitor","Tier 4 - Deprioritise"))))</f>
        <v>Not scored</v>
      </c>
    </row>
    <row r="90" ht="15.75" customHeight="1">
      <c r="A90" s="9">
        <v>89.0</v>
      </c>
      <c r="B90" s="11" t="s">
        <v>259</v>
      </c>
      <c r="C90" s="13" t="s">
        <v>96</v>
      </c>
      <c r="D90" s="13" t="s">
        <v>182</v>
      </c>
      <c r="E90" s="14">
        <v>3.46E7</v>
      </c>
      <c r="F90" s="9" t="str">
        <f t="shared" si="1"/>
        <v>25-100 m</v>
      </c>
      <c r="G90" s="14">
        <v>1.11E12</v>
      </c>
      <c r="H90" s="14">
        <f t="shared" si="2"/>
        <v>32081</v>
      </c>
      <c r="I90" s="9" t="str">
        <f t="shared" si="3"/>
        <v>High income</v>
      </c>
      <c r="J90" s="9" t="s">
        <v>108</v>
      </c>
      <c r="K90" s="19" t="s">
        <v>260</v>
      </c>
      <c r="L90" s="19" t="s">
        <v>261</v>
      </c>
      <c r="M90" s="9" t="s">
        <v>203</v>
      </c>
      <c r="N90" s="9" t="s">
        <v>90</v>
      </c>
      <c r="O90" s="19" t="s">
        <v>178</v>
      </c>
      <c r="P90" s="9" t="s">
        <v>178</v>
      </c>
      <c r="Q90" s="13" t="s">
        <v>192</v>
      </c>
      <c r="R90" s="13" t="s">
        <v>113</v>
      </c>
      <c r="S90" s="19"/>
      <c r="T90" s="21"/>
      <c r="U90" s="21"/>
      <c r="V90" s="21"/>
      <c r="W90" s="21"/>
      <c r="X90" s="21"/>
      <c r="Y90" s="21" t="str">
        <f t="shared" si="4"/>
        <v>Aditya</v>
      </c>
      <c r="Z90" s="9"/>
      <c r="AA90" s="9"/>
      <c r="AB90" s="9">
        <f t="shared" si="5"/>
        <v>3</v>
      </c>
      <c r="AC90" s="9"/>
      <c r="AD90" s="22" t="str">
        <f>IF(COUNT(Z90,AA90,AC90)=0,"",ROUND(Z90*'Scoring Guide'!$B$5+AA90*'Scoring Guide'!$B$6+AB90*'Scoring Guide'!$B$7+AC90*'Scoring Guide'!$B$8,2))</f>
        <v/>
      </c>
      <c r="AE90" s="23" t="str">
        <f>IF(AD90="","Not scored",IF(AD90&gt;='Scoring Guide'!$B$11,"Tier 1 - Priority",IF(AD90&gt;='Scoring Guide'!$B$12,"Tier 2 - Develop",IF(AD90&gt;='Scoring Guide'!$B$13,"Tier 3 - Monitor","Tier 4 - Deprioritise"))))</f>
        <v>Not scored</v>
      </c>
    </row>
    <row r="91" ht="15.75" hidden="1" customHeight="1">
      <c r="A91" s="9">
        <v>90.0</v>
      </c>
      <c r="B91" s="13" t="s">
        <v>262</v>
      </c>
      <c r="C91" s="13" t="s">
        <v>96</v>
      </c>
      <c r="D91" s="13" t="s">
        <v>196</v>
      </c>
      <c r="E91" s="14">
        <v>6100000.0</v>
      </c>
      <c r="F91" s="9" t="str">
        <f t="shared" si="1"/>
        <v>5-25 m</v>
      </c>
      <c r="G91" s="14">
        <v>5.3E11</v>
      </c>
      <c r="H91" s="14">
        <f t="shared" si="2"/>
        <v>86885</v>
      </c>
      <c r="I91" s="9" t="str">
        <f t="shared" si="3"/>
        <v>High income</v>
      </c>
      <c r="J91" s="9" t="s">
        <v>90</v>
      </c>
      <c r="K91" s="19" t="s">
        <v>175</v>
      </c>
      <c r="L91" s="19" t="s">
        <v>176</v>
      </c>
      <c r="M91" s="9" t="s">
        <v>177</v>
      </c>
      <c r="N91" s="9" t="s">
        <v>90</v>
      </c>
      <c r="O91" s="19" t="s">
        <v>178</v>
      </c>
      <c r="P91" s="9" t="s">
        <v>178</v>
      </c>
      <c r="Q91" s="13" t="s">
        <v>197</v>
      </c>
      <c r="R91" s="13" t="s">
        <v>198</v>
      </c>
      <c r="S91" s="19"/>
      <c r="T91" s="21"/>
      <c r="U91" s="21"/>
      <c r="V91" s="21"/>
      <c r="W91" s="21"/>
      <c r="X91" s="21"/>
      <c r="Y91" s="21" t="str">
        <f t="shared" si="4"/>
        <v>Aditya</v>
      </c>
      <c r="Z91" s="9"/>
      <c r="AA91" s="9"/>
      <c r="AB91" s="9">
        <f t="shared" si="5"/>
        <v>1</v>
      </c>
      <c r="AC91" s="9"/>
      <c r="AD91" s="22" t="str">
        <f>IF(COUNT(Z91,AA91,AC91)=0,"",ROUND(Z91*'Scoring Guide'!$B$5+AA91*'Scoring Guide'!$B$6+AB91*'Scoring Guide'!$B$7+AC91*'Scoring Guide'!$B$8,2))</f>
        <v/>
      </c>
      <c r="AE91" s="23" t="str">
        <f>IF(AD91="","Not scored",IF(AD91&gt;='Scoring Guide'!$B$11,"Tier 1 - Priority",IF(AD91&gt;='Scoring Guide'!$B$12,"Tier 2 - Develop",IF(AD91&gt;='Scoring Guide'!$B$13,"Tier 3 - Monitor","Tier 4 - Deprioritise"))))</f>
        <v>Not scored</v>
      </c>
    </row>
    <row r="92" ht="15.75" customHeight="1">
      <c r="A92" s="9">
        <v>91.0</v>
      </c>
      <c r="B92" s="11" t="s">
        <v>263</v>
      </c>
      <c r="C92" s="13" t="s">
        <v>96</v>
      </c>
      <c r="D92" s="13" t="s">
        <v>201</v>
      </c>
      <c r="E92" s="14">
        <v>5.17E7</v>
      </c>
      <c r="F92" s="9" t="str">
        <f t="shared" si="1"/>
        <v>25-100 m</v>
      </c>
      <c r="G92" s="14">
        <v>1.87E12</v>
      </c>
      <c r="H92" s="14">
        <f t="shared" si="2"/>
        <v>36170</v>
      </c>
      <c r="I92" s="9" t="str">
        <f t="shared" si="3"/>
        <v>High income</v>
      </c>
      <c r="J92" s="9" t="s">
        <v>108</v>
      </c>
      <c r="K92" s="19" t="s">
        <v>264</v>
      </c>
      <c r="L92" s="19" t="s">
        <v>227</v>
      </c>
      <c r="M92" s="9" t="s">
        <v>177</v>
      </c>
      <c r="N92" s="9" t="s">
        <v>90</v>
      </c>
      <c r="O92" s="19" t="s">
        <v>178</v>
      </c>
      <c r="P92" s="9" t="s">
        <v>178</v>
      </c>
      <c r="Q92" s="13" t="s">
        <v>187</v>
      </c>
      <c r="R92" s="13" t="s">
        <v>248</v>
      </c>
      <c r="S92" s="19"/>
      <c r="T92" s="21"/>
      <c r="U92" s="21"/>
      <c r="V92" s="21"/>
      <c r="W92" s="21"/>
      <c r="X92" s="21"/>
      <c r="Y92" s="21" t="str">
        <f t="shared" si="4"/>
        <v>Aditya</v>
      </c>
      <c r="Z92" s="9"/>
      <c r="AA92" s="9"/>
      <c r="AB92" s="9">
        <f t="shared" si="5"/>
        <v>1</v>
      </c>
      <c r="AC92" s="9"/>
      <c r="AD92" s="22" t="str">
        <f>IF(COUNT(Z92,AA92,AC92)=0,"",ROUND(Z92*'Scoring Guide'!$B$5+AA92*'Scoring Guide'!$B$6+AB92*'Scoring Guide'!$B$7+AC92*'Scoring Guide'!$B$8,2))</f>
        <v/>
      </c>
      <c r="AE92" s="23" t="str">
        <f>IF(AD92="","Not scored",IF(AD92&gt;='Scoring Guide'!$B$11,"Tier 1 - Priority",IF(AD92&gt;='Scoring Guide'!$B$12,"Tier 2 - Develop",IF(AD92&gt;='Scoring Guide'!$B$13,"Tier 3 - Monitor","Tier 4 - Deprioritise"))))</f>
        <v>Not scored</v>
      </c>
    </row>
    <row r="93" ht="15.75" hidden="1" customHeight="1">
      <c r="A93" s="9">
        <v>92.0</v>
      </c>
      <c r="B93" s="13" t="s">
        <v>265</v>
      </c>
      <c r="C93" s="13" t="s">
        <v>96</v>
      </c>
      <c r="D93" s="13" t="s">
        <v>174</v>
      </c>
      <c r="E93" s="14">
        <v>2.32E7</v>
      </c>
      <c r="F93" s="9" t="str">
        <f t="shared" si="1"/>
        <v>5-25 m</v>
      </c>
      <c r="G93" s="14">
        <v>9.6E10</v>
      </c>
      <c r="H93" s="14">
        <f t="shared" si="2"/>
        <v>4138</v>
      </c>
      <c r="I93" s="9" t="str">
        <f t="shared" si="3"/>
        <v>Lower-middle</v>
      </c>
      <c r="J93" s="9" t="s">
        <v>90</v>
      </c>
      <c r="K93" s="19" t="s">
        <v>175</v>
      </c>
      <c r="L93" s="19" t="s">
        <v>176</v>
      </c>
      <c r="M93" s="9" t="s">
        <v>177</v>
      </c>
      <c r="N93" s="9" t="s">
        <v>90</v>
      </c>
      <c r="O93" s="19" t="s">
        <v>178</v>
      </c>
      <c r="P93" s="9" t="s">
        <v>178</v>
      </c>
      <c r="Q93" s="13" t="s">
        <v>179</v>
      </c>
      <c r="R93" s="13" t="s">
        <v>109</v>
      </c>
      <c r="S93" s="19"/>
      <c r="T93" s="21"/>
      <c r="U93" s="21"/>
      <c r="V93" s="21"/>
      <c r="W93" s="21"/>
      <c r="X93" s="21"/>
      <c r="Y93" s="21" t="str">
        <f t="shared" si="4"/>
        <v>Aditya</v>
      </c>
      <c r="Z93" s="9"/>
      <c r="AA93" s="9"/>
      <c r="AB93" s="9">
        <f t="shared" si="5"/>
        <v>1</v>
      </c>
      <c r="AC93" s="9"/>
      <c r="AD93" s="22" t="str">
        <f>IF(COUNT(Z93,AA93,AC93)=0,"",ROUND(Z93*'Scoring Guide'!$B$5+AA93*'Scoring Guide'!$B$6+AB93*'Scoring Guide'!$B$7+AC93*'Scoring Guide'!$B$8,2))</f>
        <v/>
      </c>
      <c r="AE93" s="23" t="str">
        <f>IF(AD93="","Not scored",IF(AD93&gt;='Scoring Guide'!$B$11,"Tier 1 - Priority",IF(AD93&gt;='Scoring Guide'!$B$12,"Tier 2 - Develop",IF(AD93&gt;='Scoring Guide'!$B$13,"Tier 3 - Monitor","Tier 4 - Deprioritise"))))</f>
        <v>Not scored</v>
      </c>
    </row>
    <row r="94" ht="15.75" hidden="1" customHeight="1">
      <c r="A94" s="9">
        <v>93.0</v>
      </c>
      <c r="B94" s="13" t="s">
        <v>266</v>
      </c>
      <c r="C94" s="13" t="s">
        <v>96</v>
      </c>
      <c r="D94" s="13" t="s">
        <v>182</v>
      </c>
      <c r="E94" s="14">
        <v>2.56E7</v>
      </c>
      <c r="F94" s="9" t="str">
        <f t="shared" si="1"/>
        <v>25-100 m</v>
      </c>
      <c r="G94" s="14">
        <v>2.5E10</v>
      </c>
      <c r="H94" s="14">
        <f t="shared" si="2"/>
        <v>977</v>
      </c>
      <c r="I94" s="9" t="str">
        <f t="shared" si="3"/>
        <v>Low income</v>
      </c>
      <c r="J94" s="9" t="s">
        <v>90</v>
      </c>
      <c r="K94" s="19" t="s">
        <v>175</v>
      </c>
      <c r="L94" s="19" t="s">
        <v>176</v>
      </c>
      <c r="M94" s="9" t="s">
        <v>177</v>
      </c>
      <c r="N94" s="9" t="s">
        <v>90</v>
      </c>
      <c r="O94" s="19" t="s">
        <v>178</v>
      </c>
      <c r="P94" s="9" t="s">
        <v>178</v>
      </c>
      <c r="Q94" s="13" t="s">
        <v>187</v>
      </c>
      <c r="R94" s="13" t="s">
        <v>113</v>
      </c>
      <c r="S94" s="19"/>
      <c r="T94" s="21"/>
      <c r="U94" s="21"/>
      <c r="V94" s="21"/>
      <c r="W94" s="21"/>
      <c r="X94" s="21"/>
      <c r="Y94" s="21" t="str">
        <f t="shared" si="4"/>
        <v>Aditya</v>
      </c>
      <c r="Z94" s="9"/>
      <c r="AA94" s="9"/>
      <c r="AB94" s="9">
        <f t="shared" si="5"/>
        <v>1</v>
      </c>
      <c r="AC94" s="9"/>
      <c r="AD94" s="22" t="str">
        <f>IF(COUNT(Z94,AA94,AC94)=0,"",ROUND(Z94*'Scoring Guide'!$B$5+AA94*'Scoring Guide'!$B$6+AB94*'Scoring Guide'!$B$7+AC94*'Scoring Guide'!$B$8,2))</f>
        <v/>
      </c>
      <c r="AE94" s="23" t="str">
        <f>IF(AD94="","Not scored",IF(AD94&gt;='Scoring Guide'!$B$11,"Tier 1 - Priority",IF(AD94&gt;='Scoring Guide'!$B$12,"Tier 2 - Develop",IF(AD94&gt;='Scoring Guide'!$B$13,"Tier 3 - Monitor","Tier 4 - Deprioritise"))))</f>
        <v>Not scored</v>
      </c>
    </row>
    <row r="95" ht="15.75" hidden="1" customHeight="1">
      <c r="A95" s="9">
        <v>94.0</v>
      </c>
      <c r="B95" s="13" t="s">
        <v>267</v>
      </c>
      <c r="C95" s="13" t="s">
        <v>96</v>
      </c>
      <c r="D95" s="13" t="s">
        <v>232</v>
      </c>
      <c r="E95" s="14">
        <v>1.09E7</v>
      </c>
      <c r="F95" s="9" t="str">
        <f t="shared" si="1"/>
        <v>5-25 m</v>
      </c>
      <c r="G95" s="14">
        <v>1.3E10</v>
      </c>
      <c r="H95" s="14">
        <f t="shared" si="2"/>
        <v>1193</v>
      </c>
      <c r="I95" s="9" t="str">
        <f t="shared" si="3"/>
        <v>Lower-middle</v>
      </c>
      <c r="J95" s="9" t="s">
        <v>90</v>
      </c>
      <c r="K95" s="19" t="s">
        <v>175</v>
      </c>
      <c r="L95" s="19" t="s">
        <v>176</v>
      </c>
      <c r="M95" s="9" t="s">
        <v>177</v>
      </c>
      <c r="N95" s="9" t="s">
        <v>108</v>
      </c>
      <c r="O95" s="19" t="s">
        <v>178</v>
      </c>
      <c r="P95" s="9" t="s">
        <v>178</v>
      </c>
      <c r="Q95" s="13" t="s">
        <v>187</v>
      </c>
      <c r="R95" s="13" t="s">
        <v>184</v>
      </c>
      <c r="S95" s="19"/>
      <c r="T95" s="21"/>
      <c r="U95" s="21"/>
      <c r="V95" s="21"/>
      <c r="W95" s="21"/>
      <c r="X95" s="21"/>
      <c r="Y95" s="21" t="str">
        <f t="shared" si="4"/>
        <v>Aditya</v>
      </c>
      <c r="Z95" s="9"/>
      <c r="AA95" s="9"/>
      <c r="AB95" s="9">
        <f t="shared" si="5"/>
        <v>1</v>
      </c>
      <c r="AC95" s="9"/>
      <c r="AD95" s="22" t="str">
        <f>IF(COUNT(Z95,AA95,AC95)=0,"",ROUND(Z95*'Scoring Guide'!$B$5+AA95*'Scoring Guide'!$B$6+AB95*'Scoring Guide'!$B$7+AC95*'Scoring Guide'!$B$8,2))</f>
        <v/>
      </c>
      <c r="AE95" s="23" t="str">
        <f>IF(AD95="","Not scored",IF(AD95&gt;='Scoring Guide'!$B$11,"Tier 1 - Priority",IF(AD95&gt;='Scoring Guide'!$B$12,"Tier 2 - Develop",IF(AD95&gt;='Scoring Guide'!$B$13,"Tier 3 - Monitor","Tier 4 - Deprioritise"))))</f>
        <v>Not scored</v>
      </c>
    </row>
    <row r="96" ht="15.75" hidden="1" customHeight="1">
      <c r="A96" s="9">
        <v>95.0</v>
      </c>
      <c r="B96" s="13" t="s">
        <v>268</v>
      </c>
      <c r="C96" s="13" t="s">
        <v>96</v>
      </c>
      <c r="D96" s="13" t="s">
        <v>196</v>
      </c>
      <c r="E96" s="14">
        <v>7.16E7</v>
      </c>
      <c r="F96" s="9" t="str">
        <f t="shared" si="1"/>
        <v>25-100 m</v>
      </c>
      <c r="G96" s="14">
        <v>5.26E11</v>
      </c>
      <c r="H96" s="14">
        <f t="shared" si="2"/>
        <v>7346</v>
      </c>
      <c r="I96" s="9" t="str">
        <f t="shared" si="3"/>
        <v>Upper-middle</v>
      </c>
      <c r="J96" s="9" t="s">
        <v>90</v>
      </c>
      <c r="K96" s="19" t="s">
        <v>175</v>
      </c>
      <c r="L96" s="19" t="s">
        <v>176</v>
      </c>
      <c r="M96" s="9" t="s">
        <v>177</v>
      </c>
      <c r="N96" s="9" t="s">
        <v>90</v>
      </c>
      <c r="O96" s="19" t="s">
        <v>178</v>
      </c>
      <c r="P96" s="9" t="s">
        <v>178</v>
      </c>
      <c r="Q96" s="13" t="s">
        <v>197</v>
      </c>
      <c r="R96" s="13" t="s">
        <v>269</v>
      </c>
      <c r="S96" s="19"/>
      <c r="T96" s="21"/>
      <c r="U96" s="21"/>
      <c r="V96" s="21"/>
      <c r="W96" s="21"/>
      <c r="X96" s="21"/>
      <c r="Y96" s="21" t="str">
        <f t="shared" si="4"/>
        <v>Aditya</v>
      </c>
      <c r="Z96" s="9"/>
      <c r="AA96" s="9"/>
      <c r="AB96" s="9">
        <f t="shared" si="5"/>
        <v>1</v>
      </c>
      <c r="AC96" s="9"/>
      <c r="AD96" s="22" t="str">
        <f>IF(COUNT(Z96,AA96,AC96)=0,"",ROUND(Z96*'Scoring Guide'!$B$5+AA96*'Scoring Guide'!$B$6+AB96*'Scoring Guide'!$B$7+AC96*'Scoring Guide'!$B$8,2))</f>
        <v/>
      </c>
      <c r="AE96" s="23" t="str">
        <f>IF(AD96="","Not scored",IF(AD96&gt;='Scoring Guide'!$B$11,"Tier 1 - Priority",IF(AD96&gt;='Scoring Guide'!$B$12,"Tier 2 - Develop",IF(AD96&gt;='Scoring Guide'!$B$13,"Tier 3 - Monitor","Tier 4 - Deprioritise"))))</f>
        <v>Not scored</v>
      </c>
    </row>
    <row r="97" ht="15.75" hidden="1" customHeight="1">
      <c r="A97" s="9">
        <v>96.0</v>
      </c>
      <c r="B97" s="13" t="s">
        <v>270</v>
      </c>
      <c r="C97" s="13" t="s">
        <v>96</v>
      </c>
      <c r="D97" s="13" t="s">
        <v>196</v>
      </c>
      <c r="E97" s="14">
        <v>1450000.0</v>
      </c>
      <c r="F97" s="9" t="str">
        <f t="shared" si="1"/>
        <v>1-5 m</v>
      </c>
      <c r="G97" s="14">
        <v>2.0E9</v>
      </c>
      <c r="H97" s="14">
        <f t="shared" si="2"/>
        <v>1379</v>
      </c>
      <c r="I97" s="9" t="str">
        <f t="shared" si="3"/>
        <v>Lower-middle</v>
      </c>
      <c r="J97" s="9" t="s">
        <v>90</v>
      </c>
      <c r="K97" s="19" t="s">
        <v>175</v>
      </c>
      <c r="L97" s="19" t="s">
        <v>176</v>
      </c>
      <c r="M97" s="9" t="s">
        <v>177</v>
      </c>
      <c r="N97" s="9" t="s">
        <v>90</v>
      </c>
      <c r="O97" s="19" t="s">
        <v>178</v>
      </c>
      <c r="P97" s="9" t="s">
        <v>178</v>
      </c>
      <c r="Q97" s="13" t="s">
        <v>187</v>
      </c>
      <c r="R97" s="13" t="s">
        <v>93</v>
      </c>
      <c r="S97" s="19"/>
      <c r="T97" s="21"/>
      <c r="U97" s="21"/>
      <c r="V97" s="21"/>
      <c r="W97" s="21"/>
      <c r="X97" s="21"/>
      <c r="Y97" s="21" t="str">
        <f t="shared" si="4"/>
        <v>Aditya</v>
      </c>
      <c r="Z97" s="9"/>
      <c r="AA97" s="9"/>
      <c r="AB97" s="9">
        <f t="shared" si="5"/>
        <v>1</v>
      </c>
      <c r="AC97" s="9"/>
      <c r="AD97" s="22" t="str">
        <f>IF(COUNT(Z97,AA97,AC97)=0,"",ROUND(Z97*'Scoring Guide'!$B$5+AA97*'Scoring Guide'!$B$6+AB97*'Scoring Guide'!$B$7+AC97*'Scoring Guide'!$B$8,2))</f>
        <v/>
      </c>
      <c r="AE97" s="23" t="str">
        <f>IF(AD97="","Not scored",IF(AD97&gt;='Scoring Guide'!$B$11,"Tier 1 - Priority",IF(AD97&gt;='Scoring Guide'!$B$12,"Tier 2 - Develop",IF(AD97&gt;='Scoring Guide'!$B$13,"Tier 3 - Monitor","Tier 4 - Deprioritise"))))</f>
        <v>Not scored</v>
      </c>
    </row>
    <row r="98" ht="15.75" customHeight="1">
      <c r="A98" s="9">
        <v>97.0</v>
      </c>
      <c r="B98" s="11" t="s">
        <v>271</v>
      </c>
      <c r="C98" s="13" t="s">
        <v>96</v>
      </c>
      <c r="D98" s="13" t="s">
        <v>182</v>
      </c>
      <c r="E98" s="14">
        <v>8.77E7</v>
      </c>
      <c r="F98" s="9" t="str">
        <f t="shared" si="1"/>
        <v>25-100 m</v>
      </c>
      <c r="G98" s="14">
        <v>1.32E12</v>
      </c>
      <c r="H98" s="14">
        <f t="shared" si="2"/>
        <v>15051</v>
      </c>
      <c r="I98" s="9" t="str">
        <f t="shared" si="3"/>
        <v>High income</v>
      </c>
      <c r="J98" s="9" t="s">
        <v>108</v>
      </c>
      <c r="K98" s="19" t="s">
        <v>272</v>
      </c>
      <c r="L98" s="19" t="s">
        <v>273</v>
      </c>
      <c r="M98" s="9" t="s">
        <v>203</v>
      </c>
      <c r="N98" s="9" t="s">
        <v>90</v>
      </c>
      <c r="O98" s="19" t="s">
        <v>178</v>
      </c>
      <c r="P98" s="9" t="s">
        <v>178</v>
      </c>
      <c r="Q98" s="13" t="s">
        <v>187</v>
      </c>
      <c r="R98" s="13" t="s">
        <v>274</v>
      </c>
      <c r="S98" s="19" t="s">
        <v>275</v>
      </c>
      <c r="T98" s="21"/>
      <c r="U98" s="21"/>
      <c r="V98" s="21"/>
      <c r="W98" s="21"/>
      <c r="X98" s="21"/>
      <c r="Y98" s="21" t="str">
        <f t="shared" si="4"/>
        <v>Aditya</v>
      </c>
      <c r="Z98" s="9"/>
      <c r="AA98" s="9"/>
      <c r="AB98" s="9">
        <f t="shared" si="5"/>
        <v>3</v>
      </c>
      <c r="AC98" s="9"/>
      <c r="AD98" s="22" t="str">
        <f>IF(COUNT(Z98,AA98,AC98)=0,"",ROUND(Z98*'Scoring Guide'!$B$5+AA98*'Scoring Guide'!$B$6+AB98*'Scoring Guide'!$B$7+AC98*'Scoring Guide'!$B$8,2))</f>
        <v/>
      </c>
      <c r="AE98" s="23" t="str">
        <f>IF(AD98="","Not scored",IF(AD98&gt;='Scoring Guide'!$B$11,"Tier 1 - Priority",IF(AD98&gt;='Scoring Guide'!$B$12,"Tier 2 - Develop",IF(AD98&gt;='Scoring Guide'!$B$13,"Tier 3 - Monitor","Tier 4 - Deprioritise"))))</f>
        <v>Not scored</v>
      </c>
    </row>
    <row r="99" ht="15.75" hidden="1" customHeight="1">
      <c r="A99" s="9">
        <v>98.0</v>
      </c>
      <c r="B99" s="13" t="s">
        <v>276</v>
      </c>
      <c r="C99" s="13" t="s">
        <v>96</v>
      </c>
      <c r="D99" s="13" t="s">
        <v>232</v>
      </c>
      <c r="E99" s="14">
        <v>7600000.0</v>
      </c>
      <c r="F99" s="9" t="str">
        <f t="shared" si="1"/>
        <v>5-25 m</v>
      </c>
      <c r="G99" s="14">
        <v>8.2E10</v>
      </c>
      <c r="H99" s="14">
        <f t="shared" si="2"/>
        <v>10789</v>
      </c>
      <c r="I99" s="9" t="str">
        <f t="shared" si="3"/>
        <v>Upper-middle</v>
      </c>
      <c r="J99" s="9" t="s">
        <v>90</v>
      </c>
      <c r="K99" s="19" t="s">
        <v>175</v>
      </c>
      <c r="L99" s="19" t="s">
        <v>176</v>
      </c>
      <c r="M99" s="9" t="s">
        <v>177</v>
      </c>
      <c r="N99" s="9" t="s">
        <v>108</v>
      </c>
      <c r="O99" s="19" t="s">
        <v>178</v>
      </c>
      <c r="P99" s="9" t="s">
        <v>178</v>
      </c>
      <c r="Q99" s="13" t="s">
        <v>187</v>
      </c>
      <c r="R99" s="13" t="s">
        <v>184</v>
      </c>
      <c r="S99" s="19"/>
      <c r="T99" s="21"/>
      <c r="U99" s="21"/>
      <c r="V99" s="21"/>
      <c r="W99" s="21"/>
      <c r="X99" s="21"/>
      <c r="Y99" s="21" t="str">
        <f t="shared" si="4"/>
        <v>Aditya</v>
      </c>
      <c r="Z99" s="9"/>
      <c r="AA99" s="9"/>
      <c r="AB99" s="9">
        <f t="shared" si="5"/>
        <v>1</v>
      </c>
      <c r="AC99" s="9"/>
      <c r="AD99" s="22" t="str">
        <f>IF(COUNT(Z99,AA99,AC99)=0,"",ROUND(Z99*'Scoring Guide'!$B$5+AA99*'Scoring Guide'!$B$6+AB99*'Scoring Guide'!$B$7+AC99*'Scoring Guide'!$B$8,2))</f>
        <v/>
      </c>
      <c r="AE99" s="23" t="str">
        <f>IF(AD99="","Not scored",IF(AD99&gt;='Scoring Guide'!$B$11,"Tier 1 - Priority",IF(AD99&gt;='Scoring Guide'!$B$12,"Tier 2 - Develop",IF(AD99&gt;='Scoring Guide'!$B$13,"Tier 3 - Monitor","Tier 4 - Deprioritise"))))</f>
        <v>Not scored</v>
      </c>
    </row>
    <row r="100" ht="15.75" customHeight="1">
      <c r="A100" s="9">
        <v>99.0</v>
      </c>
      <c r="B100" s="11" t="s">
        <v>277</v>
      </c>
      <c r="C100" s="13" t="s">
        <v>96</v>
      </c>
      <c r="D100" s="13" t="s">
        <v>182</v>
      </c>
      <c r="E100" s="14">
        <v>1.13E7</v>
      </c>
      <c r="F100" s="9" t="str">
        <f t="shared" si="1"/>
        <v>5-25 m</v>
      </c>
      <c r="G100" s="14">
        <v>5.45E11</v>
      </c>
      <c r="H100" s="14">
        <f t="shared" si="2"/>
        <v>48230</v>
      </c>
      <c r="I100" s="9" t="str">
        <f t="shared" si="3"/>
        <v>High income</v>
      </c>
      <c r="J100" s="9" t="s">
        <v>108</v>
      </c>
      <c r="K100" s="19" t="s">
        <v>278</v>
      </c>
      <c r="L100" s="19" t="s">
        <v>279</v>
      </c>
      <c r="M100" s="9" t="s">
        <v>280</v>
      </c>
      <c r="N100" s="9" t="s">
        <v>90</v>
      </c>
      <c r="O100" s="19" t="s">
        <v>178</v>
      </c>
      <c r="P100" s="9" t="s">
        <v>178</v>
      </c>
      <c r="Q100" s="13" t="s">
        <v>192</v>
      </c>
      <c r="R100" s="13" t="s">
        <v>113</v>
      </c>
      <c r="S100" s="19"/>
      <c r="T100" s="21"/>
      <c r="U100" s="21"/>
      <c r="V100" s="21"/>
      <c r="W100" s="21"/>
      <c r="X100" s="21"/>
      <c r="Y100" s="21" t="str">
        <f t="shared" si="4"/>
        <v>Aditya</v>
      </c>
      <c r="Z100" s="9"/>
      <c r="AA100" s="9"/>
      <c r="AB100" s="9">
        <f t="shared" si="5"/>
        <v>5</v>
      </c>
      <c r="AC100" s="9"/>
      <c r="AD100" s="22" t="str">
        <f>IF(COUNT(Z100,AA100,AC100)=0,"",ROUND(Z100*'Scoring Guide'!$B$5+AA100*'Scoring Guide'!$B$6+AB100*'Scoring Guide'!$B$7+AC100*'Scoring Guide'!$B$8,2))</f>
        <v/>
      </c>
      <c r="AE100" s="23" t="str">
        <f>IF(AD100="","Not scored",IF(AD100&gt;='Scoring Guide'!$B$11,"Tier 1 - Priority",IF(AD100&gt;='Scoring Guide'!$B$12,"Tier 2 - Develop",IF(AD100&gt;='Scoring Guide'!$B$13,"Tier 3 - Monitor","Tier 4 - Deprioritise"))))</f>
        <v>Not scored</v>
      </c>
    </row>
    <row r="101" ht="15.75" hidden="1" customHeight="1">
      <c r="A101" s="9">
        <v>100.0</v>
      </c>
      <c r="B101" s="13" t="s">
        <v>281</v>
      </c>
      <c r="C101" s="13" t="s">
        <v>96</v>
      </c>
      <c r="D101" s="13" t="s">
        <v>232</v>
      </c>
      <c r="E101" s="14">
        <v>3.71E7</v>
      </c>
      <c r="F101" s="9" t="str">
        <f t="shared" si="1"/>
        <v>25-100 m</v>
      </c>
      <c r="G101" s="14">
        <v>1.12E11</v>
      </c>
      <c r="H101" s="14">
        <f t="shared" si="2"/>
        <v>3019</v>
      </c>
      <c r="I101" s="9" t="str">
        <f t="shared" si="3"/>
        <v>Lower-middle</v>
      </c>
      <c r="J101" s="9" t="s">
        <v>90</v>
      </c>
      <c r="K101" s="19" t="s">
        <v>175</v>
      </c>
      <c r="L101" s="19" t="s">
        <v>176</v>
      </c>
      <c r="M101" s="9" t="s">
        <v>177</v>
      </c>
      <c r="N101" s="9" t="s">
        <v>108</v>
      </c>
      <c r="O101" s="19" t="s">
        <v>178</v>
      </c>
      <c r="P101" s="9" t="s">
        <v>178</v>
      </c>
      <c r="Q101" s="13" t="s">
        <v>187</v>
      </c>
      <c r="R101" s="13" t="s">
        <v>184</v>
      </c>
      <c r="S101" s="19"/>
      <c r="T101" s="21"/>
      <c r="U101" s="21"/>
      <c r="V101" s="21"/>
      <c r="W101" s="21"/>
      <c r="X101" s="21"/>
      <c r="Y101" s="21" t="str">
        <f t="shared" si="4"/>
        <v>Aditya</v>
      </c>
      <c r="Z101" s="9"/>
      <c r="AA101" s="9"/>
      <c r="AB101" s="9">
        <f t="shared" si="5"/>
        <v>1</v>
      </c>
      <c r="AC101" s="9"/>
      <c r="AD101" s="22" t="str">
        <f>IF(COUNT(Z101,AA101,AC101)=0,"",ROUND(Z101*'Scoring Guide'!$B$5+AA101*'Scoring Guide'!$B$6+AB101*'Scoring Guide'!$B$7+AC101*'Scoring Guide'!$B$8,2))</f>
        <v/>
      </c>
      <c r="AE101" s="23" t="str">
        <f>IF(AD101="","Not scored",IF(AD101&gt;='Scoring Guide'!$B$11,"Tier 1 - Priority",IF(AD101&gt;='Scoring Guide'!$B$12,"Tier 2 - Develop",IF(AD101&gt;='Scoring Guide'!$B$13,"Tier 3 - Monitor","Tier 4 - Deprioritise"))))</f>
        <v>Not scored</v>
      </c>
    </row>
    <row r="102" ht="15.75" hidden="1" customHeight="1">
      <c r="A102" s="9">
        <v>101.0</v>
      </c>
      <c r="B102" s="13" t="s">
        <v>282</v>
      </c>
      <c r="C102" s="13" t="s">
        <v>96</v>
      </c>
      <c r="D102" s="13" t="s">
        <v>196</v>
      </c>
      <c r="E102" s="14">
        <v>1.016E8</v>
      </c>
      <c r="F102" s="9" t="str">
        <f t="shared" si="1"/>
        <v>Over 100 m</v>
      </c>
      <c r="G102" s="14">
        <v>4.76E11</v>
      </c>
      <c r="H102" s="14">
        <f t="shared" si="2"/>
        <v>4685</v>
      </c>
      <c r="I102" s="9" t="str">
        <f t="shared" si="3"/>
        <v>Upper-middle</v>
      </c>
      <c r="J102" s="9" t="s">
        <v>90</v>
      </c>
      <c r="K102" s="19" t="s">
        <v>175</v>
      </c>
      <c r="L102" s="19" t="s">
        <v>176</v>
      </c>
      <c r="M102" s="9" t="s">
        <v>177</v>
      </c>
      <c r="N102" s="9" t="s">
        <v>90</v>
      </c>
      <c r="O102" s="19" t="s">
        <v>178</v>
      </c>
      <c r="P102" s="9" t="s">
        <v>178</v>
      </c>
      <c r="Q102" s="13" t="s">
        <v>197</v>
      </c>
      <c r="R102" s="13" t="s">
        <v>283</v>
      </c>
      <c r="S102" s="19"/>
      <c r="T102" s="21"/>
      <c r="U102" s="21"/>
      <c r="V102" s="21"/>
      <c r="W102" s="21"/>
      <c r="X102" s="21"/>
      <c r="Y102" s="21" t="str">
        <f t="shared" si="4"/>
        <v>Aditya</v>
      </c>
      <c r="Z102" s="9"/>
      <c r="AA102" s="9"/>
      <c r="AB102" s="9">
        <f t="shared" si="5"/>
        <v>1</v>
      </c>
      <c r="AC102" s="9"/>
      <c r="AD102" s="22" t="str">
        <f>IF(COUNT(Z102,AA102,AC102)=0,"",ROUND(Z102*'Scoring Guide'!$B$5+AA102*'Scoring Guide'!$B$6+AB102*'Scoring Guide'!$B$7+AC102*'Scoring Guide'!$B$8,2))</f>
        <v/>
      </c>
      <c r="AE102" s="23" t="str">
        <f>IF(AD102="","Not scored",IF(AD102&gt;='Scoring Guide'!$B$11,"Tier 1 - Priority",IF(AD102&gt;='Scoring Guide'!$B$12,"Tier 2 - Develop",IF(AD102&gt;='Scoring Guide'!$B$13,"Tier 3 - Monitor","Tier 4 - Deprioritise"))))</f>
        <v>Not scored</v>
      </c>
    </row>
    <row r="103" ht="15.75" customHeight="1">
      <c r="A103" s="9">
        <v>102.0</v>
      </c>
      <c r="B103" s="11" t="s">
        <v>284</v>
      </c>
      <c r="C103" s="13" t="s">
        <v>96</v>
      </c>
      <c r="D103" s="13" t="s">
        <v>182</v>
      </c>
      <c r="E103" s="14">
        <v>4.18E7</v>
      </c>
      <c r="F103" s="9" t="str">
        <f t="shared" si="1"/>
        <v>25-100 m</v>
      </c>
      <c r="G103" s="14">
        <v>1.6E10</v>
      </c>
      <c r="H103" s="14">
        <f t="shared" si="2"/>
        <v>383</v>
      </c>
      <c r="I103" s="9" t="str">
        <f t="shared" si="3"/>
        <v>Low income</v>
      </c>
      <c r="J103" s="9" t="s">
        <v>108</v>
      </c>
      <c r="K103" s="19" t="s">
        <v>285</v>
      </c>
      <c r="L103" s="19" t="s">
        <v>286</v>
      </c>
      <c r="M103" s="9" t="s">
        <v>177</v>
      </c>
      <c r="N103" s="9" t="s">
        <v>90</v>
      </c>
      <c r="O103" s="19" t="s">
        <v>178</v>
      </c>
      <c r="P103" s="9" t="s">
        <v>178</v>
      </c>
      <c r="Q103" s="13" t="s">
        <v>187</v>
      </c>
      <c r="R103" s="13" t="s">
        <v>113</v>
      </c>
      <c r="S103" s="19"/>
      <c r="T103" s="21"/>
      <c r="U103" s="21"/>
      <c r="V103" s="21"/>
      <c r="W103" s="21"/>
      <c r="X103" s="21"/>
      <c r="Y103" s="21" t="str">
        <f t="shared" si="4"/>
        <v>Aditya</v>
      </c>
      <c r="Z103" s="9"/>
      <c r="AA103" s="9"/>
      <c r="AB103" s="9">
        <f t="shared" si="5"/>
        <v>1</v>
      </c>
      <c r="AC103" s="9"/>
      <c r="AD103" s="22" t="str">
        <f>IF(COUNT(Z103,AA103,AC103)=0,"",ROUND(Z103*'Scoring Guide'!$B$5+AA103*'Scoring Guide'!$B$6+AB103*'Scoring Guide'!$B$7+AC103*'Scoring Guide'!$B$8,2))</f>
        <v/>
      </c>
      <c r="AE103" s="23" t="str">
        <f>IF(AD103="","Not scored",IF(AD103&gt;='Scoring Guide'!$B$11,"Tier 1 - Priority",IF(AD103&gt;='Scoring Guide'!$B$12,"Tier 2 - Develop",IF(AD103&gt;='Scoring Guide'!$B$13,"Tier 3 - Monitor","Tier 4 - Deprioritise"))))</f>
        <v>Not scored</v>
      </c>
    </row>
    <row r="104" ht="15.75" hidden="1" customHeight="1">
      <c r="A104" s="9">
        <v>103.0</v>
      </c>
      <c r="B104" s="13" t="s">
        <v>287</v>
      </c>
      <c r="C104" s="13" t="s">
        <v>100</v>
      </c>
      <c r="D104" s="13" t="s">
        <v>288</v>
      </c>
      <c r="E104" s="14">
        <v>2700000.0</v>
      </c>
      <c r="F104" s="9" t="str">
        <f t="shared" si="1"/>
        <v>1-5 m</v>
      </c>
      <c r="G104" s="14">
        <v>2.61E10</v>
      </c>
      <c r="H104" s="14">
        <f t="shared" si="2"/>
        <v>9667</v>
      </c>
      <c r="I104" s="9" t="str">
        <f t="shared" si="3"/>
        <v>Upper-middle</v>
      </c>
      <c r="J104" s="9" t="s">
        <v>90</v>
      </c>
      <c r="K104" s="19" t="s">
        <v>175</v>
      </c>
      <c r="L104" s="19" t="s">
        <v>176</v>
      </c>
      <c r="M104" s="9" t="s">
        <v>177</v>
      </c>
      <c r="N104" s="9" t="s">
        <v>90</v>
      </c>
      <c r="O104" s="19" t="s">
        <v>178</v>
      </c>
      <c r="P104" s="9" t="s">
        <v>178</v>
      </c>
      <c r="Q104" s="13" t="s">
        <v>187</v>
      </c>
      <c r="R104" s="13" t="s">
        <v>109</v>
      </c>
      <c r="S104" s="19"/>
      <c r="T104" s="21"/>
      <c r="U104" s="21"/>
      <c r="V104" s="21"/>
      <c r="W104" s="21"/>
      <c r="X104" s="21"/>
      <c r="Y104" s="21" t="str">
        <f t="shared" si="4"/>
        <v>Dev</v>
      </c>
      <c r="Z104" s="9"/>
      <c r="AA104" s="9"/>
      <c r="AB104" s="9">
        <f t="shared" si="5"/>
        <v>1</v>
      </c>
      <c r="AC104" s="9"/>
      <c r="AD104" s="22" t="str">
        <f>IF(COUNT(Z104,AA104,AC104)=0,"",ROUND(Z104*'Scoring Guide'!$B$5+AA104*'Scoring Guide'!$B$6+AB104*'Scoring Guide'!$B$7+AC104*'Scoring Guide'!$B$8,2))</f>
        <v/>
      </c>
      <c r="AE104" s="23" t="str">
        <f>IF(AD104="","Not scored",IF(AD104&gt;='Scoring Guide'!$B$11,"Tier 1 - Priority",IF(AD104&gt;='Scoring Guide'!$B$12,"Tier 2 - Develop",IF(AD104&gt;='Scoring Guide'!$B$13,"Tier 3 - Monitor","Tier 4 - Deprioritise"))))</f>
        <v>Not scored</v>
      </c>
    </row>
    <row r="105" ht="15.75" hidden="1" customHeight="1">
      <c r="A105" s="9">
        <v>104.0</v>
      </c>
      <c r="B105" s="13" t="s">
        <v>289</v>
      </c>
      <c r="C105" s="13" t="s">
        <v>100</v>
      </c>
      <c r="D105" s="13" t="s">
        <v>288</v>
      </c>
      <c r="E105" s="14">
        <v>82000.0</v>
      </c>
      <c r="F105" s="9" t="str">
        <f t="shared" si="1"/>
        <v>Under 1 m</v>
      </c>
      <c r="G105" s="14">
        <v>3.8E9</v>
      </c>
      <c r="H105" s="14">
        <f t="shared" si="2"/>
        <v>46341</v>
      </c>
      <c r="I105" s="9" t="str">
        <f t="shared" si="3"/>
        <v>High income</v>
      </c>
      <c r="J105" s="9" t="s">
        <v>90</v>
      </c>
      <c r="K105" s="19" t="s">
        <v>175</v>
      </c>
      <c r="L105" s="19" t="s">
        <v>176</v>
      </c>
      <c r="M105" s="9" t="s">
        <v>177</v>
      </c>
      <c r="N105" s="9" t="s">
        <v>108</v>
      </c>
      <c r="O105" s="19" t="s">
        <v>178</v>
      </c>
      <c r="P105" s="9" t="s">
        <v>178</v>
      </c>
      <c r="Q105" s="13" t="s">
        <v>187</v>
      </c>
      <c r="R105" s="13" t="s">
        <v>109</v>
      </c>
      <c r="S105" s="19"/>
      <c r="T105" s="21"/>
      <c r="U105" s="21"/>
      <c r="V105" s="21"/>
      <c r="W105" s="21"/>
      <c r="X105" s="21"/>
      <c r="Y105" s="21" t="str">
        <f t="shared" si="4"/>
        <v>Dev</v>
      </c>
      <c r="Z105" s="9"/>
      <c r="AA105" s="9"/>
      <c r="AB105" s="9">
        <f t="shared" si="5"/>
        <v>1</v>
      </c>
      <c r="AC105" s="9"/>
      <c r="AD105" s="22" t="str">
        <f>IF(COUNT(Z105,AA105,AC105)=0,"",ROUND(Z105*'Scoring Guide'!$B$5+AA105*'Scoring Guide'!$B$6+AB105*'Scoring Guide'!$B$7+AC105*'Scoring Guide'!$B$8,2))</f>
        <v/>
      </c>
      <c r="AE105" s="23" t="str">
        <f>IF(AD105="","Not scored",IF(AD105&gt;='Scoring Guide'!$B$11,"Tier 1 - Priority",IF(AD105&gt;='Scoring Guide'!$B$12,"Tier 2 - Develop",IF(AD105&gt;='Scoring Guide'!$B$13,"Tier 3 - Monitor","Tier 4 - Deprioritise"))))</f>
        <v>Not scored</v>
      </c>
    </row>
    <row r="106" ht="15.75" customHeight="1">
      <c r="A106" s="9">
        <v>105.0</v>
      </c>
      <c r="B106" s="11" t="s">
        <v>290</v>
      </c>
      <c r="C106" s="13" t="s">
        <v>100</v>
      </c>
      <c r="D106" s="13" t="s">
        <v>291</v>
      </c>
      <c r="E106" s="14">
        <v>9100000.0</v>
      </c>
      <c r="F106" s="9" t="str">
        <f t="shared" si="1"/>
        <v>5-25 m</v>
      </c>
      <c r="G106" s="14">
        <v>5.34E11</v>
      </c>
      <c r="H106" s="14">
        <f t="shared" si="2"/>
        <v>58681</v>
      </c>
      <c r="I106" s="9" t="str">
        <f t="shared" si="3"/>
        <v>High income</v>
      </c>
      <c r="J106" s="9" t="s">
        <v>108</v>
      </c>
      <c r="K106" s="19" t="s">
        <v>292</v>
      </c>
      <c r="L106" s="19" t="s">
        <v>293</v>
      </c>
      <c r="M106" s="9" t="s">
        <v>177</v>
      </c>
      <c r="N106" s="9" t="s">
        <v>108</v>
      </c>
      <c r="O106" s="19" t="s">
        <v>178</v>
      </c>
      <c r="P106" s="9" t="s">
        <v>178</v>
      </c>
      <c r="Q106" s="13" t="s">
        <v>206</v>
      </c>
      <c r="R106" s="13" t="s">
        <v>294</v>
      </c>
      <c r="S106" s="19"/>
      <c r="T106" s="21"/>
      <c r="U106" s="21"/>
      <c r="V106" s="21"/>
      <c r="W106" s="21"/>
      <c r="X106" s="21"/>
      <c r="Y106" s="21" t="str">
        <f t="shared" si="4"/>
        <v>Dev</v>
      </c>
      <c r="Z106" s="9"/>
      <c r="AA106" s="9"/>
      <c r="AB106" s="9">
        <f t="shared" si="5"/>
        <v>1</v>
      </c>
      <c r="AC106" s="9"/>
      <c r="AD106" s="22" t="str">
        <f>IF(COUNT(Z106,AA106,AC106)=0,"",ROUND(Z106*'Scoring Guide'!$B$5+AA106*'Scoring Guide'!$B$6+AB106*'Scoring Guide'!$B$7+AC106*'Scoring Guide'!$B$8,2))</f>
        <v/>
      </c>
      <c r="AE106" s="23" t="str">
        <f>IF(AD106="","Not scored",IF(AD106&gt;='Scoring Guide'!$B$11,"Tier 1 - Priority",IF(AD106&gt;='Scoring Guide'!$B$12,"Tier 2 - Develop",IF(AD106&gt;='Scoring Guide'!$B$13,"Tier 3 - Monitor","Tier 4 - Deprioritise"))))</f>
        <v>Not scored</v>
      </c>
    </row>
    <row r="107" ht="15.75" hidden="1" customHeight="1">
      <c r="A107" s="9">
        <v>106.0</v>
      </c>
      <c r="B107" s="13" t="s">
        <v>295</v>
      </c>
      <c r="C107" s="13" t="s">
        <v>100</v>
      </c>
      <c r="D107" s="13" t="s">
        <v>296</v>
      </c>
      <c r="E107" s="14">
        <v>9000000.0</v>
      </c>
      <c r="F107" s="9" t="str">
        <f t="shared" si="1"/>
        <v>5-25 m</v>
      </c>
      <c r="G107" s="14">
        <v>7.3E10</v>
      </c>
      <c r="H107" s="14">
        <f t="shared" si="2"/>
        <v>8111</v>
      </c>
      <c r="I107" s="9" t="str">
        <f t="shared" si="3"/>
        <v>Upper-middle</v>
      </c>
      <c r="J107" s="9" t="s">
        <v>90</v>
      </c>
      <c r="K107" s="19" t="s">
        <v>175</v>
      </c>
      <c r="L107" s="19" t="s">
        <v>176</v>
      </c>
      <c r="M107" s="9" t="s">
        <v>177</v>
      </c>
      <c r="N107" s="9" t="s">
        <v>108</v>
      </c>
      <c r="O107" s="19" t="s">
        <v>178</v>
      </c>
      <c r="P107" s="9" t="s">
        <v>178</v>
      </c>
      <c r="Q107" s="13" t="s">
        <v>183</v>
      </c>
      <c r="R107" s="13" t="s">
        <v>184</v>
      </c>
      <c r="S107" s="19"/>
      <c r="T107" s="21"/>
      <c r="U107" s="21"/>
      <c r="V107" s="21"/>
      <c r="W107" s="21"/>
      <c r="X107" s="21"/>
      <c r="Y107" s="21" t="str">
        <f t="shared" si="4"/>
        <v>Dev</v>
      </c>
      <c r="Z107" s="9"/>
      <c r="AA107" s="9"/>
      <c r="AB107" s="9">
        <f t="shared" si="5"/>
        <v>1</v>
      </c>
      <c r="AC107" s="9"/>
      <c r="AD107" s="22" t="str">
        <f>IF(COUNT(Z107,AA107,AC107)=0,"",ROUND(Z107*'Scoring Guide'!$B$5+AA107*'Scoring Guide'!$B$6+AB107*'Scoring Guide'!$B$7+AC107*'Scoring Guide'!$B$8,2))</f>
        <v/>
      </c>
      <c r="AE107" s="23" t="str">
        <f>IF(AD107="","Not scored",IF(AD107&gt;='Scoring Guide'!$B$11,"Tier 1 - Priority",IF(AD107&gt;='Scoring Guide'!$B$12,"Tier 2 - Develop",IF(AD107&gt;='Scoring Guide'!$B$13,"Tier 3 - Monitor","Tier 4 - Deprioritise"))))</f>
        <v>Not scored</v>
      </c>
    </row>
    <row r="108" ht="15.75" customHeight="1">
      <c r="A108" s="9">
        <v>107.0</v>
      </c>
      <c r="B108" s="11" t="s">
        <v>297</v>
      </c>
      <c r="C108" s="13" t="s">
        <v>100</v>
      </c>
      <c r="D108" s="13" t="s">
        <v>291</v>
      </c>
      <c r="E108" s="14">
        <v>1.18E7</v>
      </c>
      <c r="F108" s="9" t="str">
        <f t="shared" si="1"/>
        <v>5-25 m</v>
      </c>
      <c r="G108" s="14">
        <v>6.62E11</v>
      </c>
      <c r="H108" s="14">
        <f t="shared" si="2"/>
        <v>56102</v>
      </c>
      <c r="I108" s="9" t="str">
        <f t="shared" si="3"/>
        <v>High income</v>
      </c>
      <c r="J108" s="9" t="s">
        <v>108</v>
      </c>
      <c r="K108" s="19" t="s">
        <v>219</v>
      </c>
      <c r="L108" s="19" t="s">
        <v>298</v>
      </c>
      <c r="M108" s="9" t="s">
        <v>203</v>
      </c>
      <c r="N108" s="9" t="s">
        <v>90</v>
      </c>
      <c r="O108" s="19" t="s">
        <v>178</v>
      </c>
      <c r="P108" s="9" t="s">
        <v>178</v>
      </c>
      <c r="Q108" s="13" t="s">
        <v>206</v>
      </c>
      <c r="R108" s="13" t="s">
        <v>299</v>
      </c>
      <c r="S108" s="19"/>
      <c r="T108" s="21"/>
      <c r="U108" s="21"/>
      <c r="V108" s="21"/>
      <c r="W108" s="21"/>
      <c r="X108" s="21"/>
      <c r="Y108" s="21" t="str">
        <f t="shared" si="4"/>
        <v>Dev</v>
      </c>
      <c r="Z108" s="9"/>
      <c r="AA108" s="9"/>
      <c r="AB108" s="9">
        <f t="shared" si="5"/>
        <v>3</v>
      </c>
      <c r="AC108" s="9"/>
      <c r="AD108" s="22" t="str">
        <f>IF(COUNT(Z108,AA108,AC108)=0,"",ROUND(Z108*'Scoring Guide'!$B$5+AA108*'Scoring Guide'!$B$6+AB108*'Scoring Guide'!$B$7+AC108*'Scoring Guide'!$B$8,2))</f>
        <v/>
      </c>
      <c r="AE108" s="23" t="str">
        <f>IF(AD108="","Not scored",IF(AD108&gt;='Scoring Guide'!$B$11,"Tier 1 - Priority",IF(AD108&gt;='Scoring Guide'!$B$12,"Tier 2 - Develop",IF(AD108&gt;='Scoring Guide'!$B$13,"Tier 3 - Monitor","Tier 4 - Deprioritise"))))</f>
        <v>Not scored</v>
      </c>
    </row>
    <row r="109" ht="15.75" hidden="1" customHeight="1">
      <c r="A109" s="9">
        <v>108.0</v>
      </c>
      <c r="B109" s="13" t="s">
        <v>300</v>
      </c>
      <c r="C109" s="13" t="s">
        <v>100</v>
      </c>
      <c r="D109" s="13" t="s">
        <v>288</v>
      </c>
      <c r="E109" s="14">
        <v>3100000.0</v>
      </c>
      <c r="F109" s="9" t="str">
        <f t="shared" si="1"/>
        <v>1-5 m</v>
      </c>
      <c r="G109" s="14">
        <v>2.9E10</v>
      </c>
      <c r="H109" s="14">
        <f t="shared" si="2"/>
        <v>9355</v>
      </c>
      <c r="I109" s="9" t="str">
        <f t="shared" si="3"/>
        <v>Upper-middle</v>
      </c>
      <c r="J109" s="9" t="s">
        <v>90</v>
      </c>
      <c r="K109" s="19" t="s">
        <v>175</v>
      </c>
      <c r="L109" s="19" t="s">
        <v>176</v>
      </c>
      <c r="M109" s="9" t="s">
        <v>177</v>
      </c>
      <c r="N109" s="9" t="s">
        <v>90</v>
      </c>
      <c r="O109" s="19" t="s">
        <v>178</v>
      </c>
      <c r="P109" s="9" t="s">
        <v>178</v>
      </c>
      <c r="Q109" s="13" t="s">
        <v>187</v>
      </c>
      <c r="R109" s="13" t="s">
        <v>109</v>
      </c>
      <c r="S109" s="19"/>
      <c r="T109" s="21"/>
      <c r="U109" s="21"/>
      <c r="V109" s="21"/>
      <c r="W109" s="21"/>
      <c r="X109" s="21"/>
      <c r="Y109" s="21" t="str">
        <f t="shared" si="4"/>
        <v>Dev</v>
      </c>
      <c r="Z109" s="9"/>
      <c r="AA109" s="9"/>
      <c r="AB109" s="9">
        <f t="shared" si="5"/>
        <v>1</v>
      </c>
      <c r="AC109" s="9"/>
      <c r="AD109" s="22" t="str">
        <f>IF(COUNT(Z109,AA109,AC109)=0,"",ROUND(Z109*'Scoring Guide'!$B$5+AA109*'Scoring Guide'!$B$6+AB109*'Scoring Guide'!$B$7+AC109*'Scoring Guide'!$B$8,2))</f>
        <v/>
      </c>
      <c r="AE109" s="23" t="str">
        <f>IF(AD109="","Not scored",IF(AD109&gt;='Scoring Guide'!$B$11,"Tier 1 - Priority",IF(AD109&gt;='Scoring Guide'!$B$12,"Tier 2 - Develop",IF(AD109&gt;='Scoring Guide'!$B$13,"Tier 3 - Monitor","Tier 4 - Deprioritise"))))</f>
        <v>Not scored</v>
      </c>
    </row>
    <row r="110" ht="15.75" hidden="1" customHeight="1">
      <c r="A110" s="9">
        <v>109.0</v>
      </c>
      <c r="B110" s="13" t="s">
        <v>301</v>
      </c>
      <c r="C110" s="13" t="s">
        <v>100</v>
      </c>
      <c r="D110" s="13" t="s">
        <v>296</v>
      </c>
      <c r="E110" s="14">
        <v>6700000.0</v>
      </c>
      <c r="F110" s="9" t="str">
        <f t="shared" si="1"/>
        <v>5-25 m</v>
      </c>
      <c r="G110" s="14">
        <v>1.08E11</v>
      </c>
      <c r="H110" s="14">
        <f t="shared" si="2"/>
        <v>16119</v>
      </c>
      <c r="I110" s="9" t="str">
        <f t="shared" si="3"/>
        <v>High income</v>
      </c>
      <c r="J110" s="9" t="s">
        <v>90</v>
      </c>
      <c r="K110" s="19" t="s">
        <v>175</v>
      </c>
      <c r="L110" s="19" t="s">
        <v>176</v>
      </c>
      <c r="M110" s="9" t="s">
        <v>177</v>
      </c>
      <c r="N110" s="9" t="s">
        <v>90</v>
      </c>
      <c r="O110" s="19" t="s">
        <v>178</v>
      </c>
      <c r="P110" s="9" t="s">
        <v>178</v>
      </c>
      <c r="Q110" s="13" t="s">
        <v>206</v>
      </c>
      <c r="R110" s="13" t="s">
        <v>109</v>
      </c>
      <c r="S110" s="19"/>
      <c r="T110" s="21"/>
      <c r="U110" s="21"/>
      <c r="V110" s="21"/>
      <c r="W110" s="21"/>
      <c r="X110" s="21"/>
      <c r="Y110" s="21" t="str">
        <f t="shared" si="4"/>
        <v>Dev</v>
      </c>
      <c r="Z110" s="9"/>
      <c r="AA110" s="9"/>
      <c r="AB110" s="9">
        <f t="shared" si="5"/>
        <v>1</v>
      </c>
      <c r="AC110" s="9"/>
      <c r="AD110" s="22" t="str">
        <f>IF(COUNT(Z110,AA110,AC110)=0,"",ROUND(Z110*'Scoring Guide'!$B$5+AA110*'Scoring Guide'!$B$6+AB110*'Scoring Guide'!$B$7+AC110*'Scoring Guide'!$B$8,2))</f>
        <v/>
      </c>
      <c r="AE110" s="23" t="str">
        <f>IF(AD110="","Not scored",IF(AD110&gt;='Scoring Guide'!$B$11,"Tier 1 - Priority",IF(AD110&gt;='Scoring Guide'!$B$12,"Tier 2 - Develop",IF(AD110&gt;='Scoring Guide'!$B$13,"Tier 3 - Monitor","Tier 4 - Deprioritise"))))</f>
        <v>Not scored</v>
      </c>
    </row>
    <row r="111" ht="15.75" hidden="1" customHeight="1">
      <c r="A111" s="9">
        <v>110.0</v>
      </c>
      <c r="B111" s="13" t="s">
        <v>302</v>
      </c>
      <c r="C111" s="13" t="s">
        <v>100</v>
      </c>
      <c r="D111" s="13" t="s">
        <v>288</v>
      </c>
      <c r="E111" s="14">
        <v>3850000.0</v>
      </c>
      <c r="F111" s="9" t="str">
        <f t="shared" si="1"/>
        <v>1-5 m</v>
      </c>
      <c r="G111" s="14">
        <v>8.73E10</v>
      </c>
      <c r="H111" s="14">
        <f t="shared" si="2"/>
        <v>22675</v>
      </c>
      <c r="I111" s="9" t="str">
        <f t="shared" si="3"/>
        <v>High income</v>
      </c>
      <c r="J111" s="9" t="s">
        <v>90</v>
      </c>
      <c r="K111" s="19" t="s">
        <v>175</v>
      </c>
      <c r="L111" s="19" t="s">
        <v>176</v>
      </c>
      <c r="M111" s="9" t="s">
        <v>177</v>
      </c>
      <c r="N111" s="9" t="s">
        <v>90</v>
      </c>
      <c r="O111" s="19" t="s">
        <v>178</v>
      </c>
      <c r="P111" s="9" t="s">
        <v>178</v>
      </c>
      <c r="Q111" s="13" t="s">
        <v>206</v>
      </c>
      <c r="R111" s="13" t="s">
        <v>109</v>
      </c>
      <c r="S111" s="19"/>
      <c r="T111" s="21"/>
      <c r="U111" s="21"/>
      <c r="V111" s="21"/>
      <c r="W111" s="21"/>
      <c r="X111" s="21"/>
      <c r="Y111" s="21" t="str">
        <f t="shared" si="4"/>
        <v>Dev</v>
      </c>
      <c r="Z111" s="9"/>
      <c r="AA111" s="9"/>
      <c r="AB111" s="9">
        <f t="shared" si="5"/>
        <v>1</v>
      </c>
      <c r="AC111" s="9"/>
      <c r="AD111" s="22" t="str">
        <f>IF(COUNT(Z111,AA111,AC111)=0,"",ROUND(Z111*'Scoring Guide'!$B$5+AA111*'Scoring Guide'!$B$6+AB111*'Scoring Guide'!$B$7+AC111*'Scoring Guide'!$B$8,2))</f>
        <v/>
      </c>
      <c r="AE111" s="23" t="str">
        <f>IF(AD111="","Not scored",IF(AD111&gt;='Scoring Guide'!$B$11,"Tier 1 - Priority",IF(AD111&gt;='Scoring Guide'!$B$12,"Tier 2 - Develop",IF(AD111&gt;='Scoring Guide'!$B$13,"Tier 3 - Monitor","Tier 4 - Deprioritise"))))</f>
        <v>Not scored</v>
      </c>
    </row>
    <row r="112" ht="15.75" hidden="1" customHeight="1">
      <c r="A112" s="9">
        <v>111.0</v>
      </c>
      <c r="B112" s="13" t="s">
        <v>303</v>
      </c>
      <c r="C112" s="13" t="s">
        <v>100</v>
      </c>
      <c r="D112" s="13" t="s">
        <v>296</v>
      </c>
      <c r="E112" s="14">
        <v>1.07E7</v>
      </c>
      <c r="F112" s="9" t="str">
        <f t="shared" si="1"/>
        <v>5-25 m</v>
      </c>
      <c r="G112" s="14">
        <v>3.43E11</v>
      </c>
      <c r="H112" s="14">
        <f t="shared" si="2"/>
        <v>32056</v>
      </c>
      <c r="I112" s="9" t="str">
        <f t="shared" si="3"/>
        <v>High income</v>
      </c>
      <c r="J112" s="9" t="s">
        <v>90</v>
      </c>
      <c r="K112" s="19" t="s">
        <v>175</v>
      </c>
      <c r="L112" s="19" t="s">
        <v>176</v>
      </c>
      <c r="M112" s="9" t="s">
        <v>177</v>
      </c>
      <c r="N112" s="9" t="s">
        <v>108</v>
      </c>
      <c r="O112" s="19" t="s">
        <v>178</v>
      </c>
      <c r="P112" s="9" t="s">
        <v>178</v>
      </c>
      <c r="Q112" s="13" t="s">
        <v>206</v>
      </c>
      <c r="R112" s="13" t="s">
        <v>109</v>
      </c>
      <c r="S112" s="19"/>
      <c r="T112" s="21"/>
      <c r="U112" s="21"/>
      <c r="V112" s="21"/>
      <c r="W112" s="21"/>
      <c r="X112" s="21"/>
      <c r="Y112" s="21" t="str">
        <f t="shared" si="4"/>
        <v>Dev</v>
      </c>
      <c r="Z112" s="9"/>
      <c r="AA112" s="9"/>
      <c r="AB112" s="9">
        <f t="shared" si="5"/>
        <v>1</v>
      </c>
      <c r="AC112" s="9"/>
      <c r="AD112" s="22" t="str">
        <f>IF(COUNT(Z112,AA112,AC112)=0,"",ROUND(Z112*'Scoring Guide'!$B$5+AA112*'Scoring Guide'!$B$6+AB112*'Scoring Guide'!$B$7+AC112*'Scoring Guide'!$B$8,2))</f>
        <v/>
      </c>
      <c r="AE112" s="23" t="str">
        <f>IF(AD112="","Not scored",IF(AD112&gt;='Scoring Guide'!$B$11,"Tier 1 - Priority",IF(AD112&gt;='Scoring Guide'!$B$12,"Tier 2 - Develop",IF(AD112&gt;='Scoring Guide'!$B$13,"Tier 3 - Monitor","Tier 4 - Deprioritise"))))</f>
        <v>Not scored</v>
      </c>
    </row>
    <row r="113" ht="15.75" customHeight="1">
      <c r="A113" s="9">
        <v>112.0</v>
      </c>
      <c r="B113" s="11" t="s">
        <v>304</v>
      </c>
      <c r="C113" s="13" t="s">
        <v>100</v>
      </c>
      <c r="D113" s="13" t="s">
        <v>305</v>
      </c>
      <c r="E113" s="14">
        <v>6000000.0</v>
      </c>
      <c r="F113" s="9" t="str">
        <f t="shared" si="1"/>
        <v>5-25 m</v>
      </c>
      <c r="G113" s="14">
        <v>4.12E11</v>
      </c>
      <c r="H113" s="14">
        <f t="shared" si="2"/>
        <v>68667</v>
      </c>
      <c r="I113" s="9" t="str">
        <f t="shared" si="3"/>
        <v>High income</v>
      </c>
      <c r="J113" s="9" t="s">
        <v>108</v>
      </c>
      <c r="K113" s="19" t="s">
        <v>292</v>
      </c>
      <c r="L113" s="19" t="s">
        <v>306</v>
      </c>
      <c r="M113" s="9" t="s">
        <v>177</v>
      </c>
      <c r="N113" s="9" t="s">
        <v>90</v>
      </c>
      <c r="O113" s="19" t="s">
        <v>178</v>
      </c>
      <c r="P113" s="9" t="s">
        <v>178</v>
      </c>
      <c r="Q113" s="13" t="s">
        <v>206</v>
      </c>
      <c r="R113" s="13" t="s">
        <v>109</v>
      </c>
      <c r="S113" s="19"/>
      <c r="T113" s="21"/>
      <c r="U113" s="21"/>
      <c r="V113" s="21"/>
      <c r="W113" s="21"/>
      <c r="X113" s="21"/>
      <c r="Y113" s="21" t="str">
        <f t="shared" si="4"/>
        <v>Dev</v>
      </c>
      <c r="Z113" s="9"/>
      <c r="AA113" s="9"/>
      <c r="AB113" s="9">
        <f t="shared" si="5"/>
        <v>1</v>
      </c>
      <c r="AC113" s="9"/>
      <c r="AD113" s="22" t="str">
        <f>IF(COUNT(Z113,AA113,AC113)=0,"",ROUND(Z113*'Scoring Guide'!$B$5+AA113*'Scoring Guide'!$B$6+AB113*'Scoring Guide'!$B$7+AC113*'Scoring Guide'!$B$8,2))</f>
        <v/>
      </c>
      <c r="AE113" s="23" t="str">
        <f>IF(AD113="","Not scored",IF(AD113&gt;='Scoring Guide'!$B$11,"Tier 1 - Priority",IF(AD113&gt;='Scoring Guide'!$B$12,"Tier 2 - Develop",IF(AD113&gt;='Scoring Guide'!$B$13,"Tier 3 - Monitor","Tier 4 - Deprioritise"))))</f>
        <v>Not scored</v>
      </c>
    </row>
    <row r="114" ht="15.75" hidden="1" customHeight="1">
      <c r="A114" s="9">
        <v>113.0</v>
      </c>
      <c r="B114" s="13" t="s">
        <v>307</v>
      </c>
      <c r="C114" s="13" t="s">
        <v>100</v>
      </c>
      <c r="D114" s="13" t="s">
        <v>305</v>
      </c>
      <c r="E114" s="14">
        <v>1370000.0</v>
      </c>
      <c r="F114" s="9" t="str">
        <f t="shared" si="1"/>
        <v>1-5 m</v>
      </c>
      <c r="G114" s="14">
        <v>4.25E10</v>
      </c>
      <c r="H114" s="14">
        <f t="shared" si="2"/>
        <v>31022</v>
      </c>
      <c r="I114" s="9" t="str">
        <f t="shared" si="3"/>
        <v>High income</v>
      </c>
      <c r="J114" s="9" t="s">
        <v>90</v>
      </c>
      <c r="K114" s="19" t="s">
        <v>175</v>
      </c>
      <c r="L114" s="19" t="s">
        <v>176</v>
      </c>
      <c r="M114" s="9" t="s">
        <v>177</v>
      </c>
      <c r="N114" s="9" t="s">
        <v>90</v>
      </c>
      <c r="O114" s="19" t="s">
        <v>178</v>
      </c>
      <c r="P114" s="9" t="s">
        <v>178</v>
      </c>
      <c r="Q114" s="13" t="s">
        <v>206</v>
      </c>
      <c r="R114" s="13" t="s">
        <v>109</v>
      </c>
      <c r="S114" s="19"/>
      <c r="T114" s="21"/>
      <c r="U114" s="21"/>
      <c r="V114" s="21"/>
      <c r="W114" s="21"/>
      <c r="X114" s="21"/>
      <c r="Y114" s="21" t="str">
        <f t="shared" si="4"/>
        <v>Dev</v>
      </c>
      <c r="Z114" s="9"/>
      <c r="AA114" s="9"/>
      <c r="AB114" s="9">
        <f t="shared" si="5"/>
        <v>1</v>
      </c>
      <c r="AC114" s="9"/>
      <c r="AD114" s="22" t="str">
        <f>IF(COUNT(Z114,AA114,AC114)=0,"",ROUND(Z114*'Scoring Guide'!$B$5+AA114*'Scoring Guide'!$B$6+AB114*'Scoring Guide'!$B$7+AC114*'Scoring Guide'!$B$8,2))</f>
        <v/>
      </c>
      <c r="AE114" s="23" t="str">
        <f>IF(AD114="","Not scored",IF(AD114&gt;='Scoring Guide'!$B$11,"Tier 1 - Priority",IF(AD114&gt;='Scoring Guide'!$B$12,"Tier 2 - Develop",IF(AD114&gt;='Scoring Guide'!$B$13,"Tier 3 - Monitor","Tier 4 - Deprioritise"))))</f>
        <v>Not scored</v>
      </c>
    </row>
    <row r="115" ht="15.75" customHeight="1">
      <c r="A115" s="9">
        <v>114.0</v>
      </c>
      <c r="B115" s="11" t="s">
        <v>308</v>
      </c>
      <c r="C115" s="13" t="s">
        <v>100</v>
      </c>
      <c r="D115" s="13" t="s">
        <v>305</v>
      </c>
      <c r="E115" s="14">
        <v>5600000.0</v>
      </c>
      <c r="F115" s="9" t="str">
        <f t="shared" si="1"/>
        <v>5-25 m</v>
      </c>
      <c r="G115" s="14">
        <v>2.96E11</v>
      </c>
      <c r="H115" s="14">
        <f t="shared" si="2"/>
        <v>52857</v>
      </c>
      <c r="I115" s="9" t="str">
        <f t="shared" si="3"/>
        <v>High income</v>
      </c>
      <c r="J115" s="9" t="s">
        <v>108</v>
      </c>
      <c r="K115" s="19" t="s">
        <v>190</v>
      </c>
      <c r="L115" s="19" t="s">
        <v>309</v>
      </c>
      <c r="M115" s="9" t="s">
        <v>177</v>
      </c>
      <c r="N115" s="9" t="s">
        <v>90</v>
      </c>
      <c r="O115" s="19" t="s">
        <v>178</v>
      </c>
      <c r="P115" s="9" t="s">
        <v>178</v>
      </c>
      <c r="Q115" s="13" t="s">
        <v>206</v>
      </c>
      <c r="R115" s="13" t="s">
        <v>109</v>
      </c>
      <c r="S115" s="19"/>
      <c r="T115" s="21"/>
      <c r="U115" s="21"/>
      <c r="V115" s="21"/>
      <c r="W115" s="21"/>
      <c r="X115" s="21"/>
      <c r="Y115" s="21" t="str">
        <f t="shared" si="4"/>
        <v>Dev</v>
      </c>
      <c r="Z115" s="9"/>
      <c r="AA115" s="9"/>
      <c r="AB115" s="9">
        <f t="shared" si="5"/>
        <v>1</v>
      </c>
      <c r="AC115" s="9"/>
      <c r="AD115" s="22" t="str">
        <f>IF(COUNT(Z115,AA115,AC115)=0,"",ROUND(Z115*'Scoring Guide'!$B$5+AA115*'Scoring Guide'!$B$6+AB115*'Scoring Guide'!$B$7+AC115*'Scoring Guide'!$B$8,2))</f>
        <v/>
      </c>
      <c r="AE115" s="23" t="str">
        <f>IF(AD115="","Not scored",IF(AD115&gt;='Scoring Guide'!$B$11,"Tier 1 - Priority",IF(AD115&gt;='Scoring Guide'!$B$12,"Tier 2 - Develop",IF(AD115&gt;='Scoring Guide'!$B$13,"Tier 3 - Monitor","Tier 4 - Deprioritise"))))</f>
        <v>Not scored</v>
      </c>
    </row>
    <row r="116" ht="15.75" customHeight="1">
      <c r="A116" s="9">
        <v>115.0</v>
      </c>
      <c r="B116" s="11" t="s">
        <v>310</v>
      </c>
      <c r="C116" s="13" t="s">
        <v>100</v>
      </c>
      <c r="D116" s="13" t="s">
        <v>291</v>
      </c>
      <c r="E116" s="14">
        <v>6.67E7</v>
      </c>
      <c r="F116" s="9" t="str">
        <f t="shared" si="1"/>
        <v>25-100 m</v>
      </c>
      <c r="G116" s="14">
        <v>3.17E12</v>
      </c>
      <c r="H116" s="14">
        <f t="shared" si="2"/>
        <v>47526</v>
      </c>
      <c r="I116" s="9" t="str">
        <f t="shared" si="3"/>
        <v>High income</v>
      </c>
      <c r="J116" s="9" t="s">
        <v>108</v>
      </c>
      <c r="K116" s="19" t="s">
        <v>311</v>
      </c>
      <c r="L116" s="19" t="s">
        <v>312</v>
      </c>
      <c r="M116" s="9" t="s">
        <v>280</v>
      </c>
      <c r="N116" s="9" t="s">
        <v>90</v>
      </c>
      <c r="O116" s="19" t="s">
        <v>178</v>
      </c>
      <c r="P116" s="9" t="s">
        <v>178</v>
      </c>
      <c r="Q116" s="13" t="s">
        <v>206</v>
      </c>
      <c r="R116" s="13" t="s">
        <v>105</v>
      </c>
      <c r="S116" s="19"/>
      <c r="T116" s="21"/>
      <c r="U116" s="21"/>
      <c r="V116" s="21"/>
      <c r="W116" s="21"/>
      <c r="X116" s="21"/>
      <c r="Y116" s="21" t="str">
        <f t="shared" si="4"/>
        <v>Dev</v>
      </c>
      <c r="Z116" s="9"/>
      <c r="AA116" s="9"/>
      <c r="AB116" s="9">
        <f t="shared" si="5"/>
        <v>5</v>
      </c>
      <c r="AC116" s="9"/>
      <c r="AD116" s="22" t="str">
        <f>IF(COUNT(Z116,AA116,AC116)=0,"",ROUND(Z116*'Scoring Guide'!$B$5+AA116*'Scoring Guide'!$B$6+AB116*'Scoring Guide'!$B$7+AC116*'Scoring Guide'!$B$8,2))</f>
        <v/>
      </c>
      <c r="AE116" s="23" t="str">
        <f>IF(AD116="","Not scored",IF(AD116&gt;='Scoring Guide'!$B$11,"Tier 1 - Priority",IF(AD116&gt;='Scoring Guide'!$B$12,"Tier 2 - Develop",IF(AD116&gt;='Scoring Guide'!$B$13,"Tier 3 - Monitor","Tier 4 - Deprioritise"))))</f>
        <v>Not scored</v>
      </c>
    </row>
    <row r="117" ht="15.75" customHeight="1">
      <c r="A117" s="9">
        <v>116.0</v>
      </c>
      <c r="B117" s="11" t="s">
        <v>313</v>
      </c>
      <c r="C117" s="13" t="s">
        <v>100</v>
      </c>
      <c r="D117" s="13" t="s">
        <v>291</v>
      </c>
      <c r="E117" s="14">
        <v>8.41E7</v>
      </c>
      <c r="F117" s="9" t="str">
        <f t="shared" si="1"/>
        <v>25-100 m</v>
      </c>
      <c r="G117" s="14">
        <v>4.66E12</v>
      </c>
      <c r="H117" s="14">
        <f t="shared" si="2"/>
        <v>55410</v>
      </c>
      <c r="I117" s="9" t="str">
        <f t="shared" si="3"/>
        <v>High income</v>
      </c>
      <c r="J117" s="9" t="s">
        <v>108</v>
      </c>
      <c r="K117" s="19" t="s">
        <v>314</v>
      </c>
      <c r="L117" s="19" t="s">
        <v>315</v>
      </c>
      <c r="M117" s="9" t="s">
        <v>280</v>
      </c>
      <c r="N117" s="9" t="s">
        <v>90</v>
      </c>
      <c r="O117" s="19" t="s">
        <v>178</v>
      </c>
      <c r="P117" s="9" t="s">
        <v>178</v>
      </c>
      <c r="Q117" s="13" t="s">
        <v>206</v>
      </c>
      <c r="R117" s="13" t="s">
        <v>294</v>
      </c>
      <c r="S117" s="19"/>
      <c r="T117" s="21"/>
      <c r="U117" s="21"/>
      <c r="V117" s="21"/>
      <c r="W117" s="21"/>
      <c r="X117" s="21"/>
      <c r="Y117" s="21" t="str">
        <f t="shared" si="4"/>
        <v>Dev</v>
      </c>
      <c r="Z117" s="9"/>
      <c r="AA117" s="9"/>
      <c r="AB117" s="9">
        <f t="shared" si="5"/>
        <v>5</v>
      </c>
      <c r="AC117" s="9"/>
      <c r="AD117" s="22" t="str">
        <f>IF(COUNT(Z117,AA117,AC117)=0,"",ROUND(Z117*'Scoring Guide'!$B$5+AA117*'Scoring Guide'!$B$6+AB117*'Scoring Guide'!$B$7+AC117*'Scoring Guide'!$B$8,2))</f>
        <v/>
      </c>
      <c r="AE117" s="23" t="str">
        <f>IF(AD117="","Not scored",IF(AD117&gt;='Scoring Guide'!$B$11,"Tier 1 - Priority",IF(AD117&gt;='Scoring Guide'!$B$12,"Tier 2 - Develop",IF(AD117&gt;='Scoring Guide'!$B$13,"Tier 3 - Monitor","Tier 4 - Deprioritise"))))</f>
        <v>Not scored</v>
      </c>
    </row>
    <row r="118" ht="15.75" customHeight="1">
      <c r="A118" s="9">
        <v>117.0</v>
      </c>
      <c r="B118" s="11" t="s">
        <v>316</v>
      </c>
      <c r="C118" s="13" t="s">
        <v>100</v>
      </c>
      <c r="D118" s="13" t="s">
        <v>288</v>
      </c>
      <c r="E118" s="14">
        <v>1.0E7</v>
      </c>
      <c r="F118" s="9" t="str">
        <f t="shared" si="1"/>
        <v>5-25 m</v>
      </c>
      <c r="G118" s="14">
        <v>2.52E11</v>
      </c>
      <c r="H118" s="14">
        <f t="shared" si="2"/>
        <v>25200</v>
      </c>
      <c r="I118" s="9" t="str">
        <f t="shared" si="3"/>
        <v>High income</v>
      </c>
      <c r="J118" s="9" t="s">
        <v>108</v>
      </c>
      <c r="K118" s="19" t="s">
        <v>190</v>
      </c>
      <c r="L118" s="19" t="s">
        <v>317</v>
      </c>
      <c r="M118" s="9" t="s">
        <v>177</v>
      </c>
      <c r="N118" s="9" t="s">
        <v>90</v>
      </c>
      <c r="O118" s="19" t="s">
        <v>178</v>
      </c>
      <c r="P118" s="9" t="s">
        <v>178</v>
      </c>
      <c r="Q118" s="13" t="s">
        <v>206</v>
      </c>
      <c r="R118" s="13" t="s">
        <v>207</v>
      </c>
      <c r="S118" s="19"/>
      <c r="T118" s="21"/>
      <c r="U118" s="21"/>
      <c r="V118" s="21"/>
      <c r="W118" s="21"/>
      <c r="X118" s="21"/>
      <c r="Y118" s="21" t="str">
        <f t="shared" si="4"/>
        <v>Dev</v>
      </c>
      <c r="Z118" s="9"/>
      <c r="AA118" s="9"/>
      <c r="AB118" s="9">
        <f t="shared" si="5"/>
        <v>1</v>
      </c>
      <c r="AC118" s="9"/>
      <c r="AD118" s="22" t="str">
        <f>IF(COUNT(Z118,AA118,AC118)=0,"",ROUND(Z118*'Scoring Guide'!$B$5+AA118*'Scoring Guide'!$B$6+AB118*'Scoring Guide'!$B$7+AC118*'Scoring Guide'!$B$8,2))</f>
        <v/>
      </c>
      <c r="AE118" s="23" t="str">
        <f>IF(AD118="","Not scored",IF(AD118&gt;='Scoring Guide'!$B$11,"Tier 1 - Priority",IF(AD118&gt;='Scoring Guide'!$B$12,"Tier 2 - Develop",IF(AD118&gt;='Scoring Guide'!$B$13,"Tier 3 - Monitor","Tier 4 - Deprioritise"))))</f>
        <v>Not scored</v>
      </c>
    </row>
    <row r="119" ht="15.75" hidden="1" customHeight="1">
      <c r="A119" s="9">
        <v>118.0</v>
      </c>
      <c r="B119" s="13" t="s">
        <v>318</v>
      </c>
      <c r="C119" s="13" t="s">
        <v>100</v>
      </c>
      <c r="D119" s="13" t="s">
        <v>296</v>
      </c>
      <c r="E119" s="14">
        <v>9600000.0</v>
      </c>
      <c r="F119" s="9" t="str">
        <f t="shared" si="1"/>
        <v>5-25 m</v>
      </c>
      <c r="G119" s="14">
        <v>2.23E11</v>
      </c>
      <c r="H119" s="14">
        <f t="shared" si="2"/>
        <v>23229</v>
      </c>
      <c r="I119" s="9" t="str">
        <f t="shared" si="3"/>
        <v>High income</v>
      </c>
      <c r="J119" s="9" t="s">
        <v>90</v>
      </c>
      <c r="K119" s="19" t="s">
        <v>175</v>
      </c>
      <c r="L119" s="19" t="s">
        <v>176</v>
      </c>
      <c r="M119" s="9" t="s">
        <v>177</v>
      </c>
      <c r="N119" s="9" t="s">
        <v>108</v>
      </c>
      <c r="O119" s="19" t="s">
        <v>178</v>
      </c>
      <c r="P119" s="9" t="s">
        <v>178</v>
      </c>
      <c r="Q119" s="13" t="s">
        <v>206</v>
      </c>
      <c r="R119" s="13" t="s">
        <v>109</v>
      </c>
      <c r="S119" s="19"/>
      <c r="T119" s="21"/>
      <c r="U119" s="21"/>
      <c r="V119" s="21"/>
      <c r="W119" s="21"/>
      <c r="X119" s="21"/>
      <c r="Y119" s="21" t="str">
        <f t="shared" si="4"/>
        <v>Dev</v>
      </c>
      <c r="Z119" s="9"/>
      <c r="AA119" s="9"/>
      <c r="AB119" s="9">
        <f t="shared" si="5"/>
        <v>1</v>
      </c>
      <c r="AC119" s="9"/>
      <c r="AD119" s="22" t="str">
        <f>IF(COUNT(Z119,AA119,AC119)=0,"",ROUND(Z119*'Scoring Guide'!$B$5+AA119*'Scoring Guide'!$B$6+AB119*'Scoring Guide'!$B$7+AC119*'Scoring Guide'!$B$8,2))</f>
        <v/>
      </c>
      <c r="AE119" s="23" t="str">
        <f>IF(AD119="","Not scored",IF(AD119&gt;='Scoring Guide'!$B$11,"Tier 1 - Priority",IF(AD119&gt;='Scoring Guide'!$B$12,"Tier 2 - Develop",IF(AD119&gt;='Scoring Guide'!$B$13,"Tier 3 - Monitor","Tier 4 - Deprioritise"))))</f>
        <v>Not scored</v>
      </c>
    </row>
    <row r="120" ht="15.75" hidden="1" customHeight="1">
      <c r="A120" s="9">
        <v>119.0</v>
      </c>
      <c r="B120" s="13" t="s">
        <v>319</v>
      </c>
      <c r="C120" s="13" t="s">
        <v>100</v>
      </c>
      <c r="D120" s="13" t="s">
        <v>305</v>
      </c>
      <c r="E120" s="14">
        <v>400000.0</v>
      </c>
      <c r="F120" s="9" t="str">
        <f t="shared" si="1"/>
        <v>Under 1 m</v>
      </c>
      <c r="G120" s="14">
        <v>3.3E10</v>
      </c>
      <c r="H120" s="14">
        <f t="shared" si="2"/>
        <v>82500</v>
      </c>
      <c r="I120" s="9" t="str">
        <f t="shared" si="3"/>
        <v>High income</v>
      </c>
      <c r="J120" s="9" t="s">
        <v>90</v>
      </c>
      <c r="K120" s="19" t="s">
        <v>175</v>
      </c>
      <c r="L120" s="19" t="s">
        <v>176</v>
      </c>
      <c r="M120" s="9" t="s">
        <v>177</v>
      </c>
      <c r="N120" s="9" t="s">
        <v>90</v>
      </c>
      <c r="O120" s="19" t="s">
        <v>178</v>
      </c>
      <c r="P120" s="9" t="s">
        <v>178</v>
      </c>
      <c r="Q120" s="13" t="s">
        <v>320</v>
      </c>
      <c r="R120" s="13" t="s">
        <v>109</v>
      </c>
      <c r="S120" s="19"/>
      <c r="T120" s="21"/>
      <c r="U120" s="21"/>
      <c r="V120" s="21"/>
      <c r="W120" s="21"/>
      <c r="X120" s="21"/>
      <c r="Y120" s="21" t="str">
        <f t="shared" si="4"/>
        <v>Dev</v>
      </c>
      <c r="Z120" s="9"/>
      <c r="AA120" s="9"/>
      <c r="AB120" s="9">
        <f t="shared" si="5"/>
        <v>1</v>
      </c>
      <c r="AC120" s="9"/>
      <c r="AD120" s="22" t="str">
        <f>IF(COUNT(Z120,AA120,AC120)=0,"",ROUND(Z120*'Scoring Guide'!$B$5+AA120*'Scoring Guide'!$B$6+AB120*'Scoring Guide'!$B$7+AC120*'Scoring Guide'!$B$8,2))</f>
        <v/>
      </c>
      <c r="AE120" s="23" t="str">
        <f>IF(AD120="","Not scored",IF(AD120&gt;='Scoring Guide'!$B$11,"Tier 1 - Priority",IF(AD120&gt;='Scoring Guide'!$B$12,"Tier 2 - Develop",IF(AD120&gt;='Scoring Guide'!$B$13,"Tier 3 - Monitor","Tier 4 - Deprioritise"))))</f>
        <v>Not scored</v>
      </c>
    </row>
    <row r="121" ht="15.75" customHeight="1">
      <c r="A121" s="9">
        <v>120.0</v>
      </c>
      <c r="B121" s="11" t="s">
        <v>321</v>
      </c>
      <c r="C121" s="13" t="s">
        <v>100</v>
      </c>
      <c r="D121" s="13" t="s">
        <v>305</v>
      </c>
      <c r="E121" s="14">
        <v>5300000.0</v>
      </c>
      <c r="F121" s="9" t="str">
        <f t="shared" si="1"/>
        <v>5-25 m</v>
      </c>
      <c r="G121" s="14">
        <v>5.6E11</v>
      </c>
      <c r="H121" s="14">
        <f t="shared" si="2"/>
        <v>105660</v>
      </c>
      <c r="I121" s="9" t="str">
        <f t="shared" si="3"/>
        <v>High income</v>
      </c>
      <c r="J121" s="9" t="s">
        <v>108</v>
      </c>
      <c r="K121" s="19" t="s">
        <v>216</v>
      </c>
      <c r="L121" s="19" t="s">
        <v>322</v>
      </c>
      <c r="M121" s="9" t="s">
        <v>203</v>
      </c>
      <c r="N121" s="9" t="s">
        <v>90</v>
      </c>
      <c r="O121" s="19" t="s">
        <v>178</v>
      </c>
      <c r="P121" s="9" t="s">
        <v>178</v>
      </c>
      <c r="Q121" s="13" t="s">
        <v>206</v>
      </c>
      <c r="R121" s="13" t="s">
        <v>109</v>
      </c>
      <c r="S121" s="19"/>
      <c r="T121" s="21"/>
      <c r="U121" s="21"/>
      <c r="V121" s="21"/>
      <c r="W121" s="21"/>
      <c r="X121" s="21"/>
      <c r="Y121" s="21" t="str">
        <f t="shared" si="4"/>
        <v>Dev</v>
      </c>
      <c r="Z121" s="9"/>
      <c r="AA121" s="9"/>
      <c r="AB121" s="9">
        <f t="shared" si="5"/>
        <v>3</v>
      </c>
      <c r="AC121" s="9"/>
      <c r="AD121" s="22" t="str">
        <f>IF(COUNT(Z121,AA121,AC121)=0,"",ROUND(Z121*'Scoring Guide'!$B$5+AA121*'Scoring Guide'!$B$6+AB121*'Scoring Guide'!$B$7+AC121*'Scoring Guide'!$B$8,2))</f>
        <v/>
      </c>
      <c r="AE121" s="23" t="str">
        <f>IF(AD121="","Not scored",IF(AD121&gt;='Scoring Guide'!$B$11,"Tier 1 - Priority",IF(AD121&gt;='Scoring Guide'!$B$12,"Tier 2 - Develop",IF(AD121&gt;='Scoring Guide'!$B$13,"Tier 3 - Monitor","Tier 4 - Deprioritise"))))</f>
        <v>Not scored</v>
      </c>
    </row>
    <row r="122" ht="15.75" customHeight="1">
      <c r="A122" s="9">
        <v>121.0</v>
      </c>
      <c r="B122" s="11" t="s">
        <v>323</v>
      </c>
      <c r="C122" s="13" t="s">
        <v>100</v>
      </c>
      <c r="D122" s="13" t="s">
        <v>288</v>
      </c>
      <c r="E122" s="14">
        <v>5.91E7</v>
      </c>
      <c r="F122" s="9" t="str">
        <f t="shared" si="1"/>
        <v>25-100 m</v>
      </c>
      <c r="G122" s="14">
        <v>2.38E12</v>
      </c>
      <c r="H122" s="14">
        <f t="shared" si="2"/>
        <v>40271</v>
      </c>
      <c r="I122" s="9" t="str">
        <f t="shared" si="3"/>
        <v>High income</v>
      </c>
      <c r="J122" s="9" t="s">
        <v>108</v>
      </c>
      <c r="K122" s="19" t="s">
        <v>324</v>
      </c>
      <c r="L122" s="19" t="s">
        <v>325</v>
      </c>
      <c r="M122" s="9" t="s">
        <v>280</v>
      </c>
      <c r="N122" s="9" t="s">
        <v>90</v>
      </c>
      <c r="O122" s="19" t="s">
        <v>178</v>
      </c>
      <c r="P122" s="9" t="s">
        <v>178</v>
      </c>
      <c r="Q122" s="13" t="s">
        <v>206</v>
      </c>
      <c r="R122" s="13" t="s">
        <v>326</v>
      </c>
      <c r="S122" s="19"/>
      <c r="T122" s="21"/>
      <c r="U122" s="21"/>
      <c r="V122" s="21"/>
      <c r="W122" s="21"/>
      <c r="X122" s="21"/>
      <c r="Y122" s="21" t="str">
        <f t="shared" si="4"/>
        <v>Dev</v>
      </c>
      <c r="Z122" s="9"/>
      <c r="AA122" s="9"/>
      <c r="AB122" s="9">
        <f t="shared" si="5"/>
        <v>5</v>
      </c>
      <c r="AC122" s="9"/>
      <c r="AD122" s="22" t="str">
        <f>IF(COUNT(Z122,AA122,AC122)=0,"",ROUND(Z122*'Scoring Guide'!$B$5+AA122*'Scoring Guide'!$B$6+AB122*'Scoring Guide'!$B$7+AC122*'Scoring Guide'!$B$8,2))</f>
        <v/>
      </c>
      <c r="AE122" s="23" t="str">
        <f>IF(AD122="","Not scored",IF(AD122&gt;='Scoring Guide'!$B$11,"Tier 1 - Priority",IF(AD122&gt;='Scoring Guide'!$B$12,"Tier 2 - Develop",IF(AD122&gt;='Scoring Guide'!$B$13,"Tier 3 - Monitor","Tier 4 - Deprioritise"))))</f>
        <v>Not scored</v>
      </c>
    </row>
    <row r="123" ht="15.75" hidden="1" customHeight="1">
      <c r="A123" s="9">
        <v>122.0</v>
      </c>
      <c r="B123" s="13" t="s">
        <v>327</v>
      </c>
      <c r="C123" s="13" t="s">
        <v>100</v>
      </c>
      <c r="D123" s="13" t="s">
        <v>305</v>
      </c>
      <c r="E123" s="14">
        <v>1850000.0</v>
      </c>
      <c r="F123" s="9" t="str">
        <f t="shared" si="1"/>
        <v>1-5 m</v>
      </c>
      <c r="G123" s="14">
        <v>4.55E10</v>
      </c>
      <c r="H123" s="14">
        <f t="shared" si="2"/>
        <v>24595</v>
      </c>
      <c r="I123" s="9" t="str">
        <f t="shared" si="3"/>
        <v>High income</v>
      </c>
      <c r="J123" s="9" t="s">
        <v>90</v>
      </c>
      <c r="K123" s="19" t="s">
        <v>175</v>
      </c>
      <c r="L123" s="19" t="s">
        <v>176</v>
      </c>
      <c r="M123" s="9" t="s">
        <v>177</v>
      </c>
      <c r="N123" s="9" t="s">
        <v>90</v>
      </c>
      <c r="O123" s="19" t="s">
        <v>178</v>
      </c>
      <c r="P123" s="9" t="s">
        <v>178</v>
      </c>
      <c r="Q123" s="13" t="s">
        <v>206</v>
      </c>
      <c r="R123" s="13" t="s">
        <v>109</v>
      </c>
      <c r="S123" s="19"/>
      <c r="T123" s="21"/>
      <c r="U123" s="21"/>
      <c r="V123" s="21"/>
      <c r="W123" s="21"/>
      <c r="X123" s="21"/>
      <c r="Y123" s="21" t="str">
        <f t="shared" si="4"/>
        <v>Dev</v>
      </c>
      <c r="Z123" s="9"/>
      <c r="AA123" s="9"/>
      <c r="AB123" s="9">
        <f t="shared" si="5"/>
        <v>1</v>
      </c>
      <c r="AC123" s="9"/>
      <c r="AD123" s="22" t="str">
        <f>IF(COUNT(Z123,AA123,AC123)=0,"",ROUND(Z123*'Scoring Guide'!$B$5+AA123*'Scoring Guide'!$B$6+AB123*'Scoring Guide'!$B$7+AC123*'Scoring Guide'!$B$8,2))</f>
        <v/>
      </c>
      <c r="AE123" s="23" t="str">
        <f>IF(AD123="","Not scored",IF(AD123&gt;='Scoring Guide'!$B$11,"Tier 1 - Priority",IF(AD123&gt;='Scoring Guide'!$B$12,"Tier 2 - Develop",IF(AD123&gt;='Scoring Guide'!$B$13,"Tier 3 - Monitor","Tier 4 - Deprioritise"))))</f>
        <v>Not scored</v>
      </c>
    </row>
    <row r="124" ht="15.75" hidden="1" customHeight="1">
      <c r="A124" s="9">
        <v>123.0</v>
      </c>
      <c r="B124" s="13" t="s">
        <v>328</v>
      </c>
      <c r="C124" s="13" t="s">
        <v>100</v>
      </c>
      <c r="D124" s="13" t="s">
        <v>291</v>
      </c>
      <c r="E124" s="14">
        <v>40000.0</v>
      </c>
      <c r="F124" s="9" t="str">
        <f t="shared" si="1"/>
        <v>Under 1 m</v>
      </c>
      <c r="G124" s="14">
        <v>7.4E9</v>
      </c>
      <c r="H124" s="14">
        <f t="shared" si="2"/>
        <v>185000</v>
      </c>
      <c r="I124" s="9" t="str">
        <f t="shared" si="3"/>
        <v>High income</v>
      </c>
      <c r="J124" s="9" t="s">
        <v>90</v>
      </c>
      <c r="K124" s="19" t="s">
        <v>175</v>
      </c>
      <c r="L124" s="19" t="s">
        <v>176</v>
      </c>
      <c r="M124" s="9" t="s">
        <v>177</v>
      </c>
      <c r="N124" s="9" t="s">
        <v>108</v>
      </c>
      <c r="O124" s="19" t="s">
        <v>178</v>
      </c>
      <c r="P124" s="9" t="s">
        <v>178</v>
      </c>
      <c r="Q124" s="13" t="s">
        <v>320</v>
      </c>
      <c r="R124" s="13" t="s">
        <v>294</v>
      </c>
      <c r="S124" s="19"/>
      <c r="T124" s="21"/>
      <c r="U124" s="21"/>
      <c r="V124" s="21"/>
      <c r="W124" s="21"/>
      <c r="X124" s="21"/>
      <c r="Y124" s="21" t="str">
        <f t="shared" si="4"/>
        <v>Dev</v>
      </c>
      <c r="Z124" s="9"/>
      <c r="AA124" s="9"/>
      <c r="AB124" s="9">
        <f t="shared" si="5"/>
        <v>1</v>
      </c>
      <c r="AC124" s="9"/>
      <c r="AD124" s="22" t="str">
        <f>IF(COUNT(Z124,AA124,AC124)=0,"",ROUND(Z124*'Scoring Guide'!$B$5+AA124*'Scoring Guide'!$B$6+AB124*'Scoring Guide'!$B$7+AC124*'Scoring Guide'!$B$8,2))</f>
        <v/>
      </c>
      <c r="AE124" s="23" t="str">
        <f>IF(AD124="","Not scored",IF(AD124&gt;='Scoring Guide'!$B$11,"Tier 1 - Priority",IF(AD124&gt;='Scoring Guide'!$B$12,"Tier 2 - Develop",IF(AD124&gt;='Scoring Guide'!$B$13,"Tier 3 - Monitor","Tier 4 - Deprioritise"))))</f>
        <v>Not scored</v>
      </c>
    </row>
    <row r="125" ht="15.75" hidden="1" customHeight="1">
      <c r="A125" s="9">
        <v>124.0</v>
      </c>
      <c r="B125" s="13" t="s">
        <v>329</v>
      </c>
      <c r="C125" s="13" t="s">
        <v>100</v>
      </c>
      <c r="D125" s="13" t="s">
        <v>305</v>
      </c>
      <c r="E125" s="14">
        <v>2830000.0</v>
      </c>
      <c r="F125" s="9" t="str">
        <f t="shared" si="1"/>
        <v>1-5 m</v>
      </c>
      <c r="G125" s="14">
        <v>8.28E10</v>
      </c>
      <c r="H125" s="14">
        <f t="shared" si="2"/>
        <v>29258</v>
      </c>
      <c r="I125" s="9" t="str">
        <f t="shared" si="3"/>
        <v>High income</v>
      </c>
      <c r="J125" s="9" t="s">
        <v>90</v>
      </c>
      <c r="K125" s="19" t="s">
        <v>175</v>
      </c>
      <c r="L125" s="19" t="s">
        <v>176</v>
      </c>
      <c r="M125" s="9" t="s">
        <v>177</v>
      </c>
      <c r="N125" s="9" t="s">
        <v>90</v>
      </c>
      <c r="O125" s="19" t="s">
        <v>178</v>
      </c>
      <c r="P125" s="9" t="s">
        <v>178</v>
      </c>
      <c r="Q125" s="13" t="s">
        <v>206</v>
      </c>
      <c r="R125" s="13" t="s">
        <v>109</v>
      </c>
      <c r="S125" s="19"/>
      <c r="T125" s="21"/>
      <c r="U125" s="21"/>
      <c r="V125" s="21"/>
      <c r="W125" s="21"/>
      <c r="X125" s="21"/>
      <c r="Y125" s="21" t="str">
        <f t="shared" si="4"/>
        <v>Dev</v>
      </c>
      <c r="Z125" s="9"/>
      <c r="AA125" s="9"/>
      <c r="AB125" s="9">
        <f t="shared" si="5"/>
        <v>1</v>
      </c>
      <c r="AC125" s="9"/>
      <c r="AD125" s="22" t="str">
        <f>IF(COUNT(Z125,AA125,AC125)=0,"",ROUND(Z125*'Scoring Guide'!$B$5+AA125*'Scoring Guide'!$B$6+AB125*'Scoring Guide'!$B$7+AC125*'Scoring Guide'!$B$8,2))</f>
        <v/>
      </c>
      <c r="AE125" s="23" t="str">
        <f>IF(AD125="","Not scored",IF(AD125&gt;='Scoring Guide'!$B$11,"Tier 1 - Priority",IF(AD125&gt;='Scoring Guide'!$B$12,"Tier 2 - Develop",IF(AD125&gt;='Scoring Guide'!$B$13,"Tier 3 - Monitor","Tier 4 - Deprioritise"))))</f>
        <v>Not scored</v>
      </c>
    </row>
    <row r="126" ht="15.75" customHeight="1">
      <c r="A126" s="9">
        <v>125.0</v>
      </c>
      <c r="B126" s="11" t="s">
        <v>330</v>
      </c>
      <c r="C126" s="13" t="s">
        <v>100</v>
      </c>
      <c r="D126" s="13" t="s">
        <v>291</v>
      </c>
      <c r="E126" s="14">
        <v>680000.0</v>
      </c>
      <c r="F126" s="9" t="str">
        <f t="shared" si="1"/>
        <v>Under 1 m</v>
      </c>
      <c r="G126" s="14">
        <v>9.12E10</v>
      </c>
      <c r="H126" s="14">
        <f t="shared" si="2"/>
        <v>134118</v>
      </c>
      <c r="I126" s="9" t="str">
        <f t="shared" si="3"/>
        <v>High income</v>
      </c>
      <c r="J126" s="9" t="s">
        <v>108</v>
      </c>
      <c r="K126" s="19" t="s">
        <v>264</v>
      </c>
      <c r="L126" s="19" t="s">
        <v>331</v>
      </c>
      <c r="M126" s="9" t="s">
        <v>177</v>
      </c>
      <c r="N126" s="9" t="s">
        <v>108</v>
      </c>
      <c r="O126" s="19" t="s">
        <v>178</v>
      </c>
      <c r="P126" s="9" t="s">
        <v>178</v>
      </c>
      <c r="Q126" s="13" t="s">
        <v>206</v>
      </c>
      <c r="R126" s="13" t="s">
        <v>109</v>
      </c>
      <c r="S126" s="19"/>
      <c r="T126" s="21"/>
      <c r="U126" s="21"/>
      <c r="V126" s="21"/>
      <c r="W126" s="21"/>
      <c r="X126" s="21"/>
      <c r="Y126" s="21" t="str">
        <f t="shared" si="4"/>
        <v>Dev</v>
      </c>
      <c r="Z126" s="9"/>
      <c r="AA126" s="9"/>
      <c r="AB126" s="9">
        <f t="shared" si="5"/>
        <v>1</v>
      </c>
      <c r="AC126" s="9"/>
      <c r="AD126" s="22" t="str">
        <f>IF(COUNT(Z126,AA126,AC126)=0,"",ROUND(Z126*'Scoring Guide'!$B$5+AA126*'Scoring Guide'!$B$6+AB126*'Scoring Guide'!$B$7+AC126*'Scoring Guide'!$B$8,2))</f>
        <v/>
      </c>
      <c r="AE126" s="23" t="str">
        <f>IF(AD126="","Not scored",IF(AD126&gt;='Scoring Guide'!$B$11,"Tier 1 - Priority",IF(AD126&gt;='Scoring Guide'!$B$12,"Tier 2 - Develop",IF(AD126&gt;='Scoring Guide'!$B$13,"Tier 3 - Monitor","Tier 4 - Deprioritise"))))</f>
        <v>Not scored</v>
      </c>
    </row>
    <row r="127" ht="15.75" customHeight="1">
      <c r="A127" s="9">
        <v>126.0</v>
      </c>
      <c r="B127" s="11" t="s">
        <v>332</v>
      </c>
      <c r="C127" s="13" t="s">
        <v>100</v>
      </c>
      <c r="D127" s="13" t="s">
        <v>288</v>
      </c>
      <c r="E127" s="14">
        <v>550000.0</v>
      </c>
      <c r="F127" s="9" t="str">
        <f t="shared" si="1"/>
        <v>Under 1 m</v>
      </c>
      <c r="G127" s="14">
        <v>2.33E10</v>
      </c>
      <c r="H127" s="14">
        <f t="shared" si="2"/>
        <v>42364</v>
      </c>
      <c r="I127" s="9" t="str">
        <f t="shared" si="3"/>
        <v>High income</v>
      </c>
      <c r="J127" s="9" t="s">
        <v>108</v>
      </c>
      <c r="K127" s="19" t="s">
        <v>226</v>
      </c>
      <c r="L127" s="19" t="s">
        <v>317</v>
      </c>
      <c r="M127" s="9" t="s">
        <v>177</v>
      </c>
      <c r="N127" s="9" t="s">
        <v>90</v>
      </c>
      <c r="O127" s="19" t="s">
        <v>178</v>
      </c>
      <c r="P127" s="9" t="s">
        <v>178</v>
      </c>
      <c r="Q127" s="13" t="s">
        <v>206</v>
      </c>
      <c r="R127" s="13" t="s">
        <v>109</v>
      </c>
      <c r="S127" s="19"/>
      <c r="T127" s="21"/>
      <c r="U127" s="21"/>
      <c r="V127" s="21"/>
      <c r="W127" s="21"/>
      <c r="X127" s="21"/>
      <c r="Y127" s="21" t="str">
        <f t="shared" si="4"/>
        <v>Dev</v>
      </c>
      <c r="Z127" s="9"/>
      <c r="AA127" s="9"/>
      <c r="AB127" s="9">
        <f t="shared" si="5"/>
        <v>1</v>
      </c>
      <c r="AC127" s="9"/>
      <c r="AD127" s="22" t="str">
        <f>IF(COUNT(Z127,AA127,AC127)=0,"",ROUND(Z127*'Scoring Guide'!$B$5+AA127*'Scoring Guide'!$B$6+AB127*'Scoring Guide'!$B$7+AC127*'Scoring Guide'!$B$8,2))</f>
        <v/>
      </c>
      <c r="AE127" s="23" t="str">
        <f>IF(AD127="","Not scored",IF(AD127&gt;='Scoring Guide'!$B$11,"Tier 1 - Priority",IF(AD127&gt;='Scoring Guide'!$B$12,"Tier 2 - Develop",IF(AD127&gt;='Scoring Guide'!$B$13,"Tier 3 - Monitor","Tier 4 - Deprioritise"))))</f>
        <v>Not scored</v>
      </c>
    </row>
    <row r="128" ht="15.75" hidden="1" customHeight="1">
      <c r="A128" s="9">
        <v>127.0</v>
      </c>
      <c r="B128" s="13" t="s">
        <v>333</v>
      </c>
      <c r="C128" s="13" t="s">
        <v>100</v>
      </c>
      <c r="D128" s="13" t="s">
        <v>296</v>
      </c>
      <c r="E128" s="14">
        <v>3000000.0</v>
      </c>
      <c r="F128" s="9" t="str">
        <f t="shared" si="1"/>
        <v>1-5 m</v>
      </c>
      <c r="G128" s="14">
        <v>1.7E10</v>
      </c>
      <c r="H128" s="14">
        <f t="shared" si="2"/>
        <v>5667</v>
      </c>
      <c r="I128" s="9" t="str">
        <f t="shared" si="3"/>
        <v>Upper-middle</v>
      </c>
      <c r="J128" s="9" t="s">
        <v>90</v>
      </c>
      <c r="K128" s="19" t="s">
        <v>175</v>
      </c>
      <c r="L128" s="19" t="s">
        <v>176</v>
      </c>
      <c r="M128" s="9" t="s">
        <v>177</v>
      </c>
      <c r="N128" s="9" t="s">
        <v>108</v>
      </c>
      <c r="O128" s="19" t="s">
        <v>178</v>
      </c>
      <c r="P128" s="9" t="s">
        <v>178</v>
      </c>
      <c r="Q128" s="13" t="s">
        <v>187</v>
      </c>
      <c r="R128" s="13" t="s">
        <v>184</v>
      </c>
      <c r="S128" s="19"/>
      <c r="T128" s="21"/>
      <c r="U128" s="21"/>
      <c r="V128" s="21"/>
      <c r="W128" s="21"/>
      <c r="X128" s="21"/>
      <c r="Y128" s="21" t="str">
        <f t="shared" si="4"/>
        <v>Dev</v>
      </c>
      <c r="Z128" s="9"/>
      <c r="AA128" s="9"/>
      <c r="AB128" s="9">
        <f t="shared" si="5"/>
        <v>1</v>
      </c>
      <c r="AC128" s="9"/>
      <c r="AD128" s="22" t="str">
        <f>IF(COUNT(Z128,AA128,AC128)=0,"",ROUND(Z128*'Scoring Guide'!$B$5+AA128*'Scoring Guide'!$B$6+AB128*'Scoring Guide'!$B$7+AC128*'Scoring Guide'!$B$8,2))</f>
        <v/>
      </c>
      <c r="AE128" s="23" t="str">
        <f>IF(AD128="","Not scored",IF(AD128&gt;='Scoring Guide'!$B$11,"Tier 1 - Priority",IF(AD128&gt;='Scoring Guide'!$B$12,"Tier 2 - Develop",IF(AD128&gt;='Scoring Guide'!$B$13,"Tier 3 - Monitor","Tier 4 - Deprioritise"))))</f>
        <v>Not scored</v>
      </c>
    </row>
    <row r="129" ht="15.75" hidden="1" customHeight="1">
      <c r="A129" s="9">
        <v>128.0</v>
      </c>
      <c r="B129" s="13" t="s">
        <v>334</v>
      </c>
      <c r="C129" s="13" t="s">
        <v>100</v>
      </c>
      <c r="D129" s="13" t="s">
        <v>291</v>
      </c>
      <c r="E129" s="14">
        <v>39000.0</v>
      </c>
      <c r="F129" s="9" t="str">
        <f t="shared" si="1"/>
        <v>Under 1 m</v>
      </c>
      <c r="G129" s="14">
        <v>9.0E9</v>
      </c>
      <c r="H129" s="14">
        <f t="shared" si="2"/>
        <v>230769</v>
      </c>
      <c r="I129" s="9" t="str">
        <f t="shared" si="3"/>
        <v>High income</v>
      </c>
      <c r="J129" s="9" t="s">
        <v>90</v>
      </c>
      <c r="K129" s="19" t="s">
        <v>175</v>
      </c>
      <c r="L129" s="19" t="s">
        <v>176</v>
      </c>
      <c r="M129" s="9" t="s">
        <v>177</v>
      </c>
      <c r="N129" s="9" t="s">
        <v>90</v>
      </c>
      <c r="O129" s="19" t="s">
        <v>178</v>
      </c>
      <c r="P129" s="9" t="s">
        <v>178</v>
      </c>
      <c r="Q129" s="13" t="s">
        <v>187</v>
      </c>
      <c r="R129" s="13" t="s">
        <v>105</v>
      </c>
      <c r="S129" s="19"/>
      <c r="T129" s="21"/>
      <c r="U129" s="21"/>
      <c r="V129" s="21"/>
      <c r="W129" s="21"/>
      <c r="X129" s="21"/>
      <c r="Y129" s="21" t="str">
        <f t="shared" si="4"/>
        <v>Dev</v>
      </c>
      <c r="Z129" s="9"/>
      <c r="AA129" s="9"/>
      <c r="AB129" s="9">
        <f t="shared" si="5"/>
        <v>1</v>
      </c>
      <c r="AC129" s="9"/>
      <c r="AD129" s="22" t="str">
        <f>IF(COUNT(Z129,AA129,AC129)=0,"",ROUND(Z129*'Scoring Guide'!$B$5+AA129*'Scoring Guide'!$B$6+AB129*'Scoring Guide'!$B$7+AC129*'Scoring Guide'!$B$8,2))</f>
        <v/>
      </c>
      <c r="AE129" s="23" t="str">
        <f>IF(AD129="","Not scored",IF(AD129&gt;='Scoring Guide'!$B$11,"Tier 1 - Priority",IF(AD129&gt;='Scoring Guide'!$B$12,"Tier 2 - Develop",IF(AD129&gt;='Scoring Guide'!$B$13,"Tier 3 - Monitor","Tier 4 - Deprioritise"))))</f>
        <v>Not scored</v>
      </c>
    </row>
    <row r="130" ht="15.75" hidden="1" customHeight="1">
      <c r="A130" s="9">
        <v>129.0</v>
      </c>
      <c r="B130" s="13" t="s">
        <v>335</v>
      </c>
      <c r="C130" s="13" t="s">
        <v>100</v>
      </c>
      <c r="D130" s="13" t="s">
        <v>288</v>
      </c>
      <c r="E130" s="14">
        <v>630000.0</v>
      </c>
      <c r="F130" s="9" t="str">
        <f t="shared" si="1"/>
        <v>Under 1 m</v>
      </c>
      <c r="G130" s="14">
        <v>8.1E9</v>
      </c>
      <c r="H130" s="14">
        <f t="shared" si="2"/>
        <v>12857</v>
      </c>
      <c r="I130" s="9" t="str">
        <f t="shared" si="3"/>
        <v>Upper-middle</v>
      </c>
      <c r="J130" s="9" t="s">
        <v>90</v>
      </c>
      <c r="K130" s="19" t="s">
        <v>175</v>
      </c>
      <c r="L130" s="19" t="s">
        <v>176</v>
      </c>
      <c r="M130" s="9" t="s">
        <v>177</v>
      </c>
      <c r="N130" s="9" t="s">
        <v>90</v>
      </c>
      <c r="O130" s="19" t="s">
        <v>178</v>
      </c>
      <c r="P130" s="9" t="s">
        <v>178</v>
      </c>
      <c r="Q130" s="13" t="s">
        <v>187</v>
      </c>
      <c r="R130" s="13" t="s">
        <v>109</v>
      </c>
      <c r="S130" s="19"/>
      <c r="T130" s="21"/>
      <c r="U130" s="21"/>
      <c r="V130" s="21"/>
      <c r="W130" s="21"/>
      <c r="X130" s="21"/>
      <c r="Y130" s="21" t="str">
        <f t="shared" si="4"/>
        <v>Dev</v>
      </c>
      <c r="Z130" s="9"/>
      <c r="AA130" s="9"/>
      <c r="AB130" s="9">
        <f t="shared" si="5"/>
        <v>1</v>
      </c>
      <c r="AC130" s="9"/>
      <c r="AD130" s="22" t="str">
        <f>IF(COUNT(Z130,AA130,AC130)=0,"",ROUND(Z130*'Scoring Guide'!$B$5+AA130*'Scoring Guide'!$B$6+AB130*'Scoring Guide'!$B$7+AC130*'Scoring Guide'!$B$8,2))</f>
        <v/>
      </c>
      <c r="AE130" s="23" t="str">
        <f>IF(AD130="","Not scored",IF(AD130&gt;='Scoring Guide'!$B$11,"Tier 1 - Priority",IF(AD130&gt;='Scoring Guide'!$B$12,"Tier 2 - Develop",IF(AD130&gt;='Scoring Guide'!$B$13,"Tier 3 - Monitor","Tier 4 - Deprioritise"))))</f>
        <v>Not scored</v>
      </c>
    </row>
    <row r="131" ht="15.75" customHeight="1">
      <c r="A131" s="9">
        <v>130.0</v>
      </c>
      <c r="B131" s="11" t="s">
        <v>336</v>
      </c>
      <c r="C131" s="13" t="s">
        <v>100</v>
      </c>
      <c r="D131" s="13" t="s">
        <v>291</v>
      </c>
      <c r="E131" s="14">
        <v>1.83E7</v>
      </c>
      <c r="F131" s="9" t="str">
        <f t="shared" si="1"/>
        <v>5-25 m</v>
      </c>
      <c r="G131" s="14">
        <v>1.22E12</v>
      </c>
      <c r="H131" s="14">
        <f t="shared" si="2"/>
        <v>66667</v>
      </c>
      <c r="I131" s="9" t="str">
        <f t="shared" si="3"/>
        <v>High income</v>
      </c>
      <c r="J131" s="9" t="s">
        <v>108</v>
      </c>
      <c r="K131" s="19" t="s">
        <v>337</v>
      </c>
      <c r="L131" s="19" t="s">
        <v>338</v>
      </c>
      <c r="M131" s="9" t="s">
        <v>280</v>
      </c>
      <c r="N131" s="9" t="s">
        <v>90</v>
      </c>
      <c r="O131" s="19" t="s">
        <v>178</v>
      </c>
      <c r="P131" s="9" t="s">
        <v>178</v>
      </c>
      <c r="Q131" s="13" t="s">
        <v>206</v>
      </c>
      <c r="R131" s="13" t="s">
        <v>299</v>
      </c>
      <c r="S131" s="19"/>
      <c r="T131" s="21"/>
      <c r="U131" s="21"/>
      <c r="V131" s="21"/>
      <c r="W131" s="21"/>
      <c r="X131" s="21"/>
      <c r="Y131" s="21" t="str">
        <f t="shared" si="4"/>
        <v>Dev</v>
      </c>
      <c r="Z131" s="9"/>
      <c r="AA131" s="9"/>
      <c r="AB131" s="9">
        <f t="shared" si="5"/>
        <v>5</v>
      </c>
      <c r="AC131" s="9"/>
      <c r="AD131" s="22" t="str">
        <f>IF(COUNT(Z131,AA131,AC131)=0,"",ROUND(Z131*'Scoring Guide'!$B$5+AA131*'Scoring Guide'!$B$6+AB131*'Scoring Guide'!$B$7+AC131*'Scoring Guide'!$B$8,2))</f>
        <v/>
      </c>
      <c r="AE131" s="23" t="str">
        <f>IF(AD131="","Not scored",IF(AD131&gt;='Scoring Guide'!$B$11,"Tier 1 - Priority",IF(AD131&gt;='Scoring Guide'!$B$12,"Tier 2 - Develop",IF(AD131&gt;='Scoring Guide'!$B$13,"Tier 3 - Monitor","Tier 4 - Deprioritise"))))</f>
        <v>Not scored</v>
      </c>
    </row>
    <row r="132" ht="15.75" hidden="1" customHeight="1">
      <c r="A132" s="9">
        <v>131.0</v>
      </c>
      <c r="B132" s="13" t="s">
        <v>339</v>
      </c>
      <c r="C132" s="13" t="s">
        <v>100</v>
      </c>
      <c r="D132" s="13" t="s">
        <v>288</v>
      </c>
      <c r="E132" s="14">
        <v>1820000.0</v>
      </c>
      <c r="F132" s="9" t="str">
        <f t="shared" si="1"/>
        <v>1-5 m</v>
      </c>
      <c r="G132" s="14">
        <v>1.67E10</v>
      </c>
      <c r="H132" s="14">
        <f t="shared" si="2"/>
        <v>9176</v>
      </c>
      <c r="I132" s="9" t="str">
        <f t="shared" si="3"/>
        <v>Upper-middle</v>
      </c>
      <c r="J132" s="9" t="s">
        <v>90</v>
      </c>
      <c r="K132" s="19" t="s">
        <v>175</v>
      </c>
      <c r="L132" s="19" t="s">
        <v>176</v>
      </c>
      <c r="M132" s="9" t="s">
        <v>177</v>
      </c>
      <c r="N132" s="9" t="s">
        <v>108</v>
      </c>
      <c r="O132" s="19" t="s">
        <v>178</v>
      </c>
      <c r="P132" s="9" t="s">
        <v>178</v>
      </c>
      <c r="Q132" s="13" t="s">
        <v>187</v>
      </c>
      <c r="R132" s="13" t="s">
        <v>109</v>
      </c>
      <c r="S132" s="19"/>
      <c r="T132" s="21"/>
      <c r="U132" s="21"/>
      <c r="V132" s="21"/>
      <c r="W132" s="21"/>
      <c r="X132" s="21"/>
      <c r="Y132" s="21" t="str">
        <f t="shared" si="4"/>
        <v>Dev</v>
      </c>
      <c r="Z132" s="9"/>
      <c r="AA132" s="9"/>
      <c r="AB132" s="9">
        <f t="shared" si="5"/>
        <v>1</v>
      </c>
      <c r="AC132" s="9"/>
      <c r="AD132" s="22" t="str">
        <f>IF(COUNT(Z132,AA132,AC132)=0,"",ROUND(Z132*'Scoring Guide'!$B$5+AA132*'Scoring Guide'!$B$6+AB132*'Scoring Guide'!$B$7+AC132*'Scoring Guide'!$B$8,2))</f>
        <v/>
      </c>
      <c r="AE132" s="23" t="str">
        <f>IF(AD132="","Not scored",IF(AD132&gt;='Scoring Guide'!$B$11,"Tier 1 - Priority",IF(AD132&gt;='Scoring Guide'!$B$12,"Tier 2 - Develop",IF(AD132&gt;='Scoring Guide'!$B$13,"Tier 3 - Monitor","Tier 4 - Deprioritise"))))</f>
        <v>Not scored</v>
      </c>
    </row>
    <row r="133" ht="15.75" customHeight="1">
      <c r="A133" s="9">
        <v>132.0</v>
      </c>
      <c r="B133" s="11" t="s">
        <v>340</v>
      </c>
      <c r="C133" s="13" t="s">
        <v>100</v>
      </c>
      <c r="D133" s="13" t="s">
        <v>305</v>
      </c>
      <c r="E133" s="14">
        <v>5600000.0</v>
      </c>
      <c r="F133" s="9" t="str">
        <f t="shared" si="1"/>
        <v>5-25 m</v>
      </c>
      <c r="G133" s="14">
        <v>4.86E11</v>
      </c>
      <c r="H133" s="14">
        <f t="shared" si="2"/>
        <v>86786</v>
      </c>
      <c r="I133" s="9" t="str">
        <f t="shared" si="3"/>
        <v>High income</v>
      </c>
      <c r="J133" s="9" t="s">
        <v>108</v>
      </c>
      <c r="K133" s="19" t="s">
        <v>341</v>
      </c>
      <c r="L133" s="19" t="s">
        <v>342</v>
      </c>
      <c r="M133" s="9" t="s">
        <v>203</v>
      </c>
      <c r="N133" s="9" t="s">
        <v>90</v>
      </c>
      <c r="O133" s="19" t="s">
        <v>178</v>
      </c>
      <c r="P133" s="9" t="s">
        <v>178</v>
      </c>
      <c r="Q133" s="13" t="s">
        <v>320</v>
      </c>
      <c r="R133" s="13" t="s">
        <v>109</v>
      </c>
      <c r="S133" s="19"/>
      <c r="T133" s="21"/>
      <c r="U133" s="21"/>
      <c r="V133" s="21"/>
      <c r="W133" s="21"/>
      <c r="X133" s="21"/>
      <c r="Y133" s="21" t="str">
        <f t="shared" si="4"/>
        <v>Dev</v>
      </c>
      <c r="Z133" s="9"/>
      <c r="AA133" s="9"/>
      <c r="AB133" s="9">
        <f t="shared" si="5"/>
        <v>3</v>
      </c>
      <c r="AC133" s="9"/>
      <c r="AD133" s="22" t="str">
        <f>IF(COUNT(Z133,AA133,AC133)=0,"",ROUND(Z133*'Scoring Guide'!$B$5+AA133*'Scoring Guide'!$B$6+AB133*'Scoring Guide'!$B$7+AC133*'Scoring Guide'!$B$8,2))</f>
        <v/>
      </c>
      <c r="AE133" s="23" t="str">
        <f>IF(AD133="","Not scored",IF(AD133&gt;='Scoring Guide'!$B$11,"Tier 1 - Priority",IF(AD133&gt;='Scoring Guide'!$B$12,"Tier 2 - Develop",IF(AD133&gt;='Scoring Guide'!$B$13,"Tier 3 - Monitor","Tier 4 - Deprioritise"))))</f>
        <v>Not scored</v>
      </c>
    </row>
    <row r="134" ht="15.75" hidden="1" customHeight="1">
      <c r="A134" s="9">
        <v>133.0</v>
      </c>
      <c r="B134" s="13" t="s">
        <v>343</v>
      </c>
      <c r="C134" s="13" t="s">
        <v>100</v>
      </c>
      <c r="D134" s="13" t="s">
        <v>296</v>
      </c>
      <c r="E134" s="14">
        <v>3.81E7</v>
      </c>
      <c r="F134" s="9" t="str">
        <f t="shared" si="1"/>
        <v>25-100 m</v>
      </c>
      <c r="G134" s="14">
        <v>8.62E11</v>
      </c>
      <c r="H134" s="14">
        <f t="shared" si="2"/>
        <v>22625</v>
      </c>
      <c r="I134" s="9" t="str">
        <f t="shared" si="3"/>
        <v>High income</v>
      </c>
      <c r="J134" s="9" t="s">
        <v>90</v>
      </c>
      <c r="K134" s="19" t="s">
        <v>175</v>
      </c>
      <c r="L134" s="19" t="s">
        <v>176</v>
      </c>
      <c r="M134" s="9" t="s">
        <v>177</v>
      </c>
      <c r="N134" s="9" t="s">
        <v>90</v>
      </c>
      <c r="O134" s="19" t="s">
        <v>178</v>
      </c>
      <c r="P134" s="9" t="s">
        <v>178</v>
      </c>
      <c r="Q134" s="13" t="s">
        <v>206</v>
      </c>
      <c r="R134" s="13" t="s">
        <v>109</v>
      </c>
      <c r="S134" s="19"/>
      <c r="T134" s="21"/>
      <c r="U134" s="21"/>
      <c r="V134" s="21"/>
      <c r="W134" s="21"/>
      <c r="X134" s="21"/>
      <c r="Y134" s="21" t="str">
        <f t="shared" si="4"/>
        <v>Dev</v>
      </c>
      <c r="Z134" s="9"/>
      <c r="AA134" s="9"/>
      <c r="AB134" s="9">
        <f t="shared" si="5"/>
        <v>1</v>
      </c>
      <c r="AC134" s="9"/>
      <c r="AD134" s="22" t="str">
        <f>IF(COUNT(Z134,AA134,AC134)=0,"",ROUND(Z134*'Scoring Guide'!$B$5+AA134*'Scoring Guide'!$B$6+AB134*'Scoring Guide'!$B$7+AC134*'Scoring Guide'!$B$8,2))</f>
        <v/>
      </c>
      <c r="AE134" s="23" t="str">
        <f>IF(AD134="","Not scored",IF(AD134&gt;='Scoring Guide'!$B$11,"Tier 1 - Priority",IF(AD134&gt;='Scoring Guide'!$B$12,"Tier 2 - Develop",IF(AD134&gt;='Scoring Guide'!$B$13,"Tier 3 - Monitor","Tier 4 - Deprioritise"))))</f>
        <v>Not scored</v>
      </c>
    </row>
    <row r="135" ht="15.75" customHeight="1">
      <c r="A135" s="9">
        <v>134.0</v>
      </c>
      <c r="B135" s="11" t="s">
        <v>344</v>
      </c>
      <c r="C135" s="13" t="s">
        <v>100</v>
      </c>
      <c r="D135" s="13" t="s">
        <v>288</v>
      </c>
      <c r="E135" s="14">
        <v>1.04E7</v>
      </c>
      <c r="F135" s="9" t="str">
        <f t="shared" si="1"/>
        <v>5-25 m</v>
      </c>
      <c r="G135" s="14">
        <v>3.0E11</v>
      </c>
      <c r="H135" s="14">
        <f t="shared" si="2"/>
        <v>28846</v>
      </c>
      <c r="I135" s="9" t="str">
        <f t="shared" si="3"/>
        <v>High income</v>
      </c>
      <c r="J135" s="9" t="s">
        <v>108</v>
      </c>
      <c r="K135" s="19" t="s">
        <v>285</v>
      </c>
      <c r="L135" s="19" t="s">
        <v>345</v>
      </c>
      <c r="M135" s="9" t="s">
        <v>280</v>
      </c>
      <c r="N135" s="9" t="s">
        <v>90</v>
      </c>
      <c r="O135" s="19" t="s">
        <v>178</v>
      </c>
      <c r="P135" s="9" t="s">
        <v>178</v>
      </c>
      <c r="Q135" s="13" t="s">
        <v>206</v>
      </c>
      <c r="R135" s="13" t="s">
        <v>93</v>
      </c>
      <c r="S135" s="19"/>
      <c r="T135" s="21"/>
      <c r="U135" s="21"/>
      <c r="V135" s="21"/>
      <c r="W135" s="21"/>
      <c r="X135" s="21"/>
      <c r="Y135" s="21" t="str">
        <f t="shared" si="4"/>
        <v>Dev</v>
      </c>
      <c r="Z135" s="9"/>
      <c r="AA135" s="9"/>
      <c r="AB135" s="9">
        <f t="shared" si="5"/>
        <v>5</v>
      </c>
      <c r="AC135" s="9"/>
      <c r="AD135" s="22" t="str">
        <f>IF(COUNT(Z135,AA135,AC135)=0,"",ROUND(Z135*'Scoring Guide'!$B$5+AA135*'Scoring Guide'!$B$6+AB135*'Scoring Guide'!$B$7+AC135*'Scoring Guide'!$B$8,2))</f>
        <v/>
      </c>
      <c r="AE135" s="23" t="str">
        <f>IF(AD135="","Not scored",IF(AD135&gt;='Scoring Guide'!$B$11,"Tier 1 - Priority",IF(AD135&gt;='Scoring Guide'!$B$12,"Tier 2 - Develop",IF(AD135&gt;='Scoring Guide'!$B$13,"Tier 3 - Monitor","Tier 4 - Deprioritise"))))</f>
        <v>Not scored</v>
      </c>
    </row>
    <row r="136" ht="15.75" hidden="1" customHeight="1">
      <c r="A136" s="9">
        <v>135.0</v>
      </c>
      <c r="B136" s="13" t="s">
        <v>346</v>
      </c>
      <c r="C136" s="13" t="s">
        <v>100</v>
      </c>
      <c r="D136" s="13" t="s">
        <v>296</v>
      </c>
      <c r="E136" s="14">
        <v>1.9E7</v>
      </c>
      <c r="F136" s="9" t="str">
        <f t="shared" si="1"/>
        <v>5-25 m</v>
      </c>
      <c r="G136" s="14">
        <v>3.8E11</v>
      </c>
      <c r="H136" s="14">
        <f t="shared" si="2"/>
        <v>20000</v>
      </c>
      <c r="I136" s="9" t="str">
        <f t="shared" si="3"/>
        <v>High income</v>
      </c>
      <c r="J136" s="9" t="s">
        <v>90</v>
      </c>
      <c r="K136" s="19" t="s">
        <v>175</v>
      </c>
      <c r="L136" s="19" t="s">
        <v>176</v>
      </c>
      <c r="M136" s="9" t="s">
        <v>177</v>
      </c>
      <c r="N136" s="9" t="s">
        <v>90</v>
      </c>
      <c r="O136" s="19" t="s">
        <v>178</v>
      </c>
      <c r="P136" s="9" t="s">
        <v>178</v>
      </c>
      <c r="Q136" s="13" t="s">
        <v>206</v>
      </c>
      <c r="R136" s="13" t="s">
        <v>109</v>
      </c>
      <c r="S136" s="19"/>
      <c r="T136" s="21"/>
      <c r="U136" s="21"/>
      <c r="V136" s="21"/>
      <c r="W136" s="21"/>
      <c r="X136" s="21"/>
      <c r="Y136" s="21" t="str">
        <f t="shared" si="4"/>
        <v>Dev</v>
      </c>
      <c r="Z136" s="9"/>
      <c r="AA136" s="9"/>
      <c r="AB136" s="9">
        <f t="shared" si="5"/>
        <v>1</v>
      </c>
      <c r="AC136" s="9"/>
      <c r="AD136" s="22" t="str">
        <f>IF(COUNT(Z136,AA136,AC136)=0,"",ROUND(Z136*'Scoring Guide'!$B$5+AA136*'Scoring Guide'!$B$6+AB136*'Scoring Guide'!$B$7+AC136*'Scoring Guide'!$B$8,2))</f>
        <v/>
      </c>
      <c r="AE136" s="23" t="str">
        <f>IF(AD136="","Not scored",IF(AD136&gt;='Scoring Guide'!$B$11,"Tier 1 - Priority",IF(AD136&gt;='Scoring Guide'!$B$12,"Tier 2 - Develop",IF(AD136&gt;='Scoring Guide'!$B$13,"Tier 3 - Monitor","Tier 4 - Deprioritise"))))</f>
        <v>Not scored</v>
      </c>
    </row>
    <row r="137" ht="15.75" customHeight="1">
      <c r="A137" s="9">
        <v>136.0</v>
      </c>
      <c r="B137" s="11" t="s">
        <v>347</v>
      </c>
      <c r="C137" s="13" t="s">
        <v>100</v>
      </c>
      <c r="D137" s="13" t="s">
        <v>296</v>
      </c>
      <c r="E137" s="14">
        <v>1.439E8</v>
      </c>
      <c r="F137" s="9" t="str">
        <f t="shared" si="1"/>
        <v>Over 100 m</v>
      </c>
      <c r="G137" s="14">
        <v>2.2E12</v>
      </c>
      <c r="H137" s="14">
        <f t="shared" si="2"/>
        <v>15288</v>
      </c>
      <c r="I137" s="9" t="str">
        <f t="shared" si="3"/>
        <v>High income</v>
      </c>
      <c r="J137" s="9" t="s">
        <v>108</v>
      </c>
      <c r="K137" s="19" t="s">
        <v>190</v>
      </c>
      <c r="L137" s="19" t="s">
        <v>348</v>
      </c>
      <c r="M137" s="9" t="s">
        <v>177</v>
      </c>
      <c r="N137" s="9" t="s">
        <v>90</v>
      </c>
      <c r="O137" s="19" t="s">
        <v>178</v>
      </c>
      <c r="P137" s="9" t="s">
        <v>178</v>
      </c>
      <c r="Q137" s="13" t="s">
        <v>183</v>
      </c>
      <c r="R137" s="13" t="s">
        <v>184</v>
      </c>
      <c r="S137" s="19" t="s">
        <v>349</v>
      </c>
      <c r="T137" s="21"/>
      <c r="U137" s="21"/>
      <c r="V137" s="21"/>
      <c r="W137" s="21"/>
      <c r="X137" s="21"/>
      <c r="Y137" s="21" t="str">
        <f t="shared" si="4"/>
        <v>Dev</v>
      </c>
      <c r="Z137" s="9"/>
      <c r="AA137" s="9"/>
      <c r="AB137" s="9">
        <f t="shared" si="5"/>
        <v>1</v>
      </c>
      <c r="AC137" s="9"/>
      <c r="AD137" s="22" t="str">
        <f>IF(COUNT(Z137,AA137,AC137)=0,"",ROUND(Z137*'Scoring Guide'!$B$5+AA137*'Scoring Guide'!$B$6+AB137*'Scoring Guide'!$B$7+AC137*'Scoring Guide'!$B$8,2))</f>
        <v/>
      </c>
      <c r="AE137" s="23" t="str">
        <f>IF(AD137="","Not scored",IF(AD137&gt;='Scoring Guide'!$B$11,"Tier 1 - Priority",IF(AD137&gt;='Scoring Guide'!$B$12,"Tier 2 - Develop",IF(AD137&gt;='Scoring Guide'!$B$13,"Tier 3 - Monitor","Tier 4 - Deprioritise"))))</f>
        <v>Not scored</v>
      </c>
    </row>
    <row r="138" ht="15.75" hidden="1" customHeight="1">
      <c r="A138" s="9">
        <v>137.0</v>
      </c>
      <c r="B138" s="13" t="s">
        <v>350</v>
      </c>
      <c r="C138" s="13" t="s">
        <v>100</v>
      </c>
      <c r="D138" s="13" t="s">
        <v>288</v>
      </c>
      <c r="E138" s="14">
        <v>34000.0</v>
      </c>
      <c r="F138" s="9" t="str">
        <f t="shared" si="1"/>
        <v>Under 1 m</v>
      </c>
      <c r="G138" s="14">
        <v>2.0E9</v>
      </c>
      <c r="H138" s="14">
        <f t="shared" si="2"/>
        <v>58824</v>
      </c>
      <c r="I138" s="9" t="str">
        <f t="shared" si="3"/>
        <v>High income</v>
      </c>
      <c r="J138" s="9" t="s">
        <v>90</v>
      </c>
      <c r="K138" s="19" t="s">
        <v>175</v>
      </c>
      <c r="L138" s="19" t="s">
        <v>176</v>
      </c>
      <c r="M138" s="9" t="s">
        <v>177</v>
      </c>
      <c r="N138" s="9" t="s">
        <v>108</v>
      </c>
      <c r="O138" s="19" t="s">
        <v>178</v>
      </c>
      <c r="P138" s="9" t="s">
        <v>178</v>
      </c>
      <c r="Q138" s="13" t="s">
        <v>187</v>
      </c>
      <c r="R138" s="13" t="s">
        <v>326</v>
      </c>
      <c r="S138" s="19"/>
      <c r="T138" s="21"/>
      <c r="U138" s="21"/>
      <c r="V138" s="21"/>
      <c r="W138" s="21"/>
      <c r="X138" s="21"/>
      <c r="Y138" s="21" t="str">
        <f t="shared" si="4"/>
        <v>Dev</v>
      </c>
      <c r="Z138" s="9"/>
      <c r="AA138" s="9"/>
      <c r="AB138" s="9">
        <f t="shared" si="5"/>
        <v>1</v>
      </c>
      <c r="AC138" s="9"/>
      <c r="AD138" s="22" t="str">
        <f>IF(COUNT(Z138,AA138,AC138)=0,"",ROUND(Z138*'Scoring Guide'!$B$5+AA138*'Scoring Guide'!$B$6+AB138*'Scoring Guide'!$B$7+AC138*'Scoring Guide'!$B$8,2))</f>
        <v/>
      </c>
      <c r="AE138" s="23" t="str">
        <f>IF(AD138="","Not scored",IF(AD138&gt;='Scoring Guide'!$B$11,"Tier 1 - Priority",IF(AD138&gt;='Scoring Guide'!$B$12,"Tier 2 - Develop",IF(AD138&gt;='Scoring Guide'!$B$13,"Tier 3 - Monitor","Tier 4 - Deprioritise"))))</f>
        <v>Not scored</v>
      </c>
    </row>
    <row r="139" ht="15.75" hidden="1" customHeight="1">
      <c r="A139" s="9">
        <v>138.0</v>
      </c>
      <c r="B139" s="13" t="s">
        <v>351</v>
      </c>
      <c r="C139" s="13" t="s">
        <v>100</v>
      </c>
      <c r="D139" s="13" t="s">
        <v>288</v>
      </c>
      <c r="E139" s="14">
        <v>6600000.0</v>
      </c>
      <c r="F139" s="9" t="str">
        <f t="shared" si="1"/>
        <v>5-25 m</v>
      </c>
      <c r="G139" s="14">
        <v>8.25E10</v>
      </c>
      <c r="H139" s="14">
        <f t="shared" si="2"/>
        <v>12500</v>
      </c>
      <c r="I139" s="9" t="str">
        <f t="shared" si="3"/>
        <v>Upper-middle</v>
      </c>
      <c r="J139" s="9" t="s">
        <v>90</v>
      </c>
      <c r="K139" s="19" t="s">
        <v>175</v>
      </c>
      <c r="L139" s="19" t="s">
        <v>176</v>
      </c>
      <c r="M139" s="9" t="s">
        <v>177</v>
      </c>
      <c r="N139" s="9" t="s">
        <v>108</v>
      </c>
      <c r="O139" s="19" t="s">
        <v>178</v>
      </c>
      <c r="P139" s="9" t="s">
        <v>178</v>
      </c>
      <c r="Q139" s="13" t="s">
        <v>187</v>
      </c>
      <c r="R139" s="13" t="s">
        <v>109</v>
      </c>
      <c r="S139" s="19"/>
      <c r="T139" s="21"/>
      <c r="U139" s="21"/>
      <c r="V139" s="21"/>
      <c r="W139" s="21"/>
      <c r="X139" s="21"/>
      <c r="Y139" s="21" t="str">
        <f t="shared" si="4"/>
        <v>Dev</v>
      </c>
      <c r="Z139" s="9"/>
      <c r="AA139" s="9"/>
      <c r="AB139" s="9">
        <f t="shared" si="5"/>
        <v>1</v>
      </c>
      <c r="AC139" s="9"/>
      <c r="AD139" s="22" t="str">
        <f>IF(COUNT(Z139,AA139,AC139)=0,"",ROUND(Z139*'Scoring Guide'!$B$5+AA139*'Scoring Guide'!$B$6+AB139*'Scoring Guide'!$B$7+AC139*'Scoring Guide'!$B$8,2))</f>
        <v/>
      </c>
      <c r="AE139" s="23" t="str">
        <f>IF(AD139="","Not scored",IF(AD139&gt;='Scoring Guide'!$B$11,"Tier 1 - Priority",IF(AD139&gt;='Scoring Guide'!$B$12,"Tier 2 - Develop",IF(AD139&gt;='Scoring Guide'!$B$13,"Tier 3 - Monitor","Tier 4 - Deprioritise"))))</f>
        <v>Not scored</v>
      </c>
    </row>
    <row r="140" ht="15.75" hidden="1" customHeight="1">
      <c r="A140" s="9">
        <v>139.0</v>
      </c>
      <c r="B140" s="13" t="s">
        <v>352</v>
      </c>
      <c r="C140" s="13" t="s">
        <v>100</v>
      </c>
      <c r="D140" s="13" t="s">
        <v>296</v>
      </c>
      <c r="E140" s="14">
        <v>5400000.0</v>
      </c>
      <c r="F140" s="9" t="str">
        <f t="shared" si="1"/>
        <v>5-25 m</v>
      </c>
      <c r="G140" s="14">
        <v>1.41E11</v>
      </c>
      <c r="H140" s="14">
        <f t="shared" si="2"/>
        <v>26111</v>
      </c>
      <c r="I140" s="9" t="str">
        <f t="shared" si="3"/>
        <v>High income</v>
      </c>
      <c r="J140" s="9" t="s">
        <v>90</v>
      </c>
      <c r="K140" s="19" t="s">
        <v>175</v>
      </c>
      <c r="L140" s="19" t="s">
        <v>176</v>
      </c>
      <c r="M140" s="9" t="s">
        <v>177</v>
      </c>
      <c r="N140" s="9" t="s">
        <v>108</v>
      </c>
      <c r="O140" s="19" t="s">
        <v>178</v>
      </c>
      <c r="P140" s="9" t="s">
        <v>178</v>
      </c>
      <c r="Q140" s="13" t="s">
        <v>206</v>
      </c>
      <c r="R140" s="13" t="s">
        <v>109</v>
      </c>
      <c r="S140" s="19"/>
      <c r="T140" s="21"/>
      <c r="U140" s="21"/>
      <c r="V140" s="21"/>
      <c r="W140" s="21"/>
      <c r="X140" s="21"/>
      <c r="Y140" s="21" t="str">
        <f t="shared" si="4"/>
        <v>Dev</v>
      </c>
      <c r="Z140" s="9"/>
      <c r="AA140" s="9"/>
      <c r="AB140" s="9">
        <f t="shared" si="5"/>
        <v>1</v>
      </c>
      <c r="AC140" s="9"/>
      <c r="AD140" s="22" t="str">
        <f>IF(COUNT(Z140,AA140,AC140)=0,"",ROUND(Z140*'Scoring Guide'!$B$5+AA140*'Scoring Guide'!$B$6+AB140*'Scoring Guide'!$B$7+AC140*'Scoring Guide'!$B$8,2))</f>
        <v/>
      </c>
      <c r="AE140" s="23" t="str">
        <f>IF(AD140="","Not scored",IF(AD140&gt;='Scoring Guide'!$B$11,"Tier 1 - Priority",IF(AD140&gt;='Scoring Guide'!$B$12,"Tier 2 - Develop",IF(AD140&gt;='Scoring Guide'!$B$13,"Tier 3 - Monitor","Tier 4 - Deprioritise"))))</f>
        <v>Not scored</v>
      </c>
    </row>
    <row r="141" ht="15.75" hidden="1" customHeight="1">
      <c r="A141" s="9">
        <v>140.0</v>
      </c>
      <c r="B141" s="13" t="s">
        <v>353</v>
      </c>
      <c r="C141" s="13" t="s">
        <v>100</v>
      </c>
      <c r="D141" s="13" t="s">
        <v>288</v>
      </c>
      <c r="E141" s="14">
        <v>2120000.0</v>
      </c>
      <c r="F141" s="9" t="str">
        <f t="shared" si="1"/>
        <v>1-5 m</v>
      </c>
      <c r="G141" s="14">
        <v>7.6E10</v>
      </c>
      <c r="H141" s="14">
        <f t="shared" si="2"/>
        <v>35849</v>
      </c>
      <c r="I141" s="9" t="str">
        <f t="shared" si="3"/>
        <v>High income</v>
      </c>
      <c r="J141" s="9" t="s">
        <v>90</v>
      </c>
      <c r="K141" s="19" t="s">
        <v>175</v>
      </c>
      <c r="L141" s="19" t="s">
        <v>176</v>
      </c>
      <c r="M141" s="9" t="s">
        <v>177</v>
      </c>
      <c r="N141" s="9" t="s">
        <v>90</v>
      </c>
      <c r="O141" s="19" t="s">
        <v>178</v>
      </c>
      <c r="P141" s="9" t="s">
        <v>178</v>
      </c>
      <c r="Q141" s="13" t="s">
        <v>206</v>
      </c>
      <c r="R141" s="13" t="s">
        <v>109</v>
      </c>
      <c r="S141" s="19"/>
      <c r="T141" s="21"/>
      <c r="U141" s="21"/>
      <c r="V141" s="21"/>
      <c r="W141" s="21"/>
      <c r="X141" s="21"/>
      <c r="Y141" s="21" t="str">
        <f t="shared" si="4"/>
        <v>Dev</v>
      </c>
      <c r="Z141" s="9"/>
      <c r="AA141" s="9"/>
      <c r="AB141" s="9">
        <f t="shared" si="5"/>
        <v>1</v>
      </c>
      <c r="AC141" s="9"/>
      <c r="AD141" s="22" t="str">
        <f>IF(COUNT(Z141,AA141,AC141)=0,"",ROUND(Z141*'Scoring Guide'!$B$5+AA141*'Scoring Guide'!$B$6+AB141*'Scoring Guide'!$B$7+AC141*'Scoring Guide'!$B$8,2))</f>
        <v/>
      </c>
      <c r="AE141" s="23" t="str">
        <f>IF(AD141="","Not scored",IF(AD141&gt;='Scoring Guide'!$B$11,"Tier 1 - Priority",IF(AD141&gt;='Scoring Guide'!$B$12,"Tier 2 - Develop",IF(AD141&gt;='Scoring Guide'!$B$13,"Tier 3 - Monitor","Tier 4 - Deprioritise"))))</f>
        <v>Not scored</v>
      </c>
    </row>
    <row r="142" ht="15.75" customHeight="1">
      <c r="A142" s="9">
        <v>141.0</v>
      </c>
      <c r="B142" s="11" t="s">
        <v>354</v>
      </c>
      <c r="C142" s="13" t="s">
        <v>100</v>
      </c>
      <c r="D142" s="13" t="s">
        <v>288</v>
      </c>
      <c r="E142" s="14">
        <v>4.79E7</v>
      </c>
      <c r="F142" s="9" t="str">
        <f t="shared" si="1"/>
        <v>25-100 m</v>
      </c>
      <c r="G142" s="14">
        <v>1.73E12</v>
      </c>
      <c r="H142" s="14">
        <f t="shared" si="2"/>
        <v>36117</v>
      </c>
      <c r="I142" s="9" t="str">
        <f t="shared" si="3"/>
        <v>High income</v>
      </c>
      <c r="J142" s="9" t="s">
        <v>108</v>
      </c>
      <c r="K142" s="19" t="s">
        <v>355</v>
      </c>
      <c r="L142" s="19" t="s">
        <v>356</v>
      </c>
      <c r="M142" s="9" t="s">
        <v>280</v>
      </c>
      <c r="N142" s="9" t="s">
        <v>90</v>
      </c>
      <c r="O142" s="19" t="s">
        <v>178</v>
      </c>
      <c r="P142" s="9" t="s">
        <v>178</v>
      </c>
      <c r="Q142" s="13" t="s">
        <v>206</v>
      </c>
      <c r="R142" s="13" t="s">
        <v>168</v>
      </c>
      <c r="S142" s="19"/>
      <c r="T142" s="21"/>
      <c r="U142" s="21"/>
      <c r="V142" s="21"/>
      <c r="W142" s="21"/>
      <c r="X142" s="21"/>
      <c r="Y142" s="21" t="str">
        <f t="shared" si="4"/>
        <v>Dev</v>
      </c>
      <c r="Z142" s="9"/>
      <c r="AA142" s="9"/>
      <c r="AB142" s="9">
        <f t="shared" si="5"/>
        <v>5</v>
      </c>
      <c r="AC142" s="9"/>
      <c r="AD142" s="22" t="str">
        <f>IF(COUNT(Z142,AA142,AC142)=0,"",ROUND(Z142*'Scoring Guide'!$B$5+AA142*'Scoring Guide'!$B$6+AB142*'Scoring Guide'!$B$7+AC142*'Scoring Guide'!$B$8,2))</f>
        <v/>
      </c>
      <c r="AE142" s="23" t="str">
        <f>IF(AD142="","Not scored",IF(AD142&gt;='Scoring Guide'!$B$11,"Tier 1 - Priority",IF(AD142&gt;='Scoring Guide'!$B$12,"Tier 2 - Develop",IF(AD142&gt;='Scoring Guide'!$B$13,"Tier 3 - Monitor","Tier 4 - Deprioritise"))))</f>
        <v>Not scored</v>
      </c>
    </row>
    <row r="143" ht="15.75" customHeight="1">
      <c r="A143" s="9">
        <v>142.0</v>
      </c>
      <c r="B143" s="11" t="s">
        <v>357</v>
      </c>
      <c r="C143" s="13" t="s">
        <v>100</v>
      </c>
      <c r="D143" s="13" t="s">
        <v>305</v>
      </c>
      <c r="E143" s="14">
        <v>1.07E7</v>
      </c>
      <c r="F143" s="9" t="str">
        <f t="shared" si="1"/>
        <v>5-25 m</v>
      </c>
      <c r="G143" s="14">
        <v>6.09E11</v>
      </c>
      <c r="H143" s="14">
        <f t="shared" si="2"/>
        <v>56916</v>
      </c>
      <c r="I143" s="9" t="str">
        <f t="shared" si="3"/>
        <v>High income</v>
      </c>
      <c r="J143" s="9" t="s">
        <v>108</v>
      </c>
      <c r="K143" s="19" t="s">
        <v>219</v>
      </c>
      <c r="L143" s="19" t="s">
        <v>358</v>
      </c>
      <c r="M143" s="9" t="s">
        <v>203</v>
      </c>
      <c r="N143" s="9" t="s">
        <v>90</v>
      </c>
      <c r="O143" s="19" t="s">
        <v>178</v>
      </c>
      <c r="P143" s="9" t="s">
        <v>178</v>
      </c>
      <c r="Q143" s="13" t="s">
        <v>206</v>
      </c>
      <c r="R143" s="13" t="s">
        <v>109</v>
      </c>
      <c r="S143" s="19"/>
      <c r="T143" s="21"/>
      <c r="U143" s="21"/>
      <c r="V143" s="21"/>
      <c r="W143" s="21"/>
      <c r="X143" s="21"/>
      <c r="Y143" s="21" t="str">
        <f t="shared" si="4"/>
        <v>Dev</v>
      </c>
      <c r="Z143" s="9"/>
      <c r="AA143" s="9"/>
      <c r="AB143" s="9">
        <f t="shared" si="5"/>
        <v>3</v>
      </c>
      <c r="AC143" s="9"/>
      <c r="AD143" s="22" t="str">
        <f>IF(COUNT(Z143,AA143,AC143)=0,"",ROUND(Z143*'Scoring Guide'!$B$5+AA143*'Scoring Guide'!$B$6+AB143*'Scoring Guide'!$B$7+AC143*'Scoring Guide'!$B$8,2))</f>
        <v/>
      </c>
      <c r="AE143" s="23" t="str">
        <f>IF(AD143="","Not scored",IF(AD143&gt;='Scoring Guide'!$B$11,"Tier 1 - Priority",IF(AD143&gt;='Scoring Guide'!$B$12,"Tier 2 - Develop",IF(AD143&gt;='Scoring Guide'!$B$13,"Tier 3 - Monitor","Tier 4 - Deprioritise"))))</f>
        <v>Not scored</v>
      </c>
    </row>
    <row r="144" ht="15.75" customHeight="1">
      <c r="A144" s="9">
        <v>143.0</v>
      </c>
      <c r="B144" s="11" t="s">
        <v>359</v>
      </c>
      <c r="C144" s="13" t="s">
        <v>100</v>
      </c>
      <c r="D144" s="13" t="s">
        <v>291</v>
      </c>
      <c r="E144" s="14">
        <v>9000000.0</v>
      </c>
      <c r="F144" s="9" t="str">
        <f t="shared" si="1"/>
        <v>5-25 m</v>
      </c>
      <c r="G144" s="14">
        <v>9.42E11</v>
      </c>
      <c r="H144" s="14">
        <f t="shared" si="2"/>
        <v>104667</v>
      </c>
      <c r="I144" s="9" t="str">
        <f t="shared" si="3"/>
        <v>High income</v>
      </c>
      <c r="J144" s="9" t="s">
        <v>108</v>
      </c>
      <c r="K144" s="19" t="s">
        <v>216</v>
      </c>
      <c r="L144" s="19" t="s">
        <v>360</v>
      </c>
      <c r="M144" s="9" t="s">
        <v>203</v>
      </c>
      <c r="N144" s="9" t="s">
        <v>108</v>
      </c>
      <c r="O144" s="19" t="s">
        <v>178</v>
      </c>
      <c r="P144" s="9" t="s">
        <v>178</v>
      </c>
      <c r="Q144" s="13" t="s">
        <v>320</v>
      </c>
      <c r="R144" s="13" t="s">
        <v>361</v>
      </c>
      <c r="S144" s="19"/>
      <c r="T144" s="21"/>
      <c r="U144" s="21"/>
      <c r="V144" s="21"/>
      <c r="W144" s="21"/>
      <c r="X144" s="21"/>
      <c r="Y144" s="21" t="str">
        <f t="shared" si="4"/>
        <v>Dev</v>
      </c>
      <c r="Z144" s="9"/>
      <c r="AA144" s="9"/>
      <c r="AB144" s="9">
        <f t="shared" si="5"/>
        <v>3</v>
      </c>
      <c r="AC144" s="9"/>
      <c r="AD144" s="22" t="str">
        <f>IF(COUNT(Z144,AA144,AC144)=0,"",ROUND(Z144*'Scoring Guide'!$B$5+AA144*'Scoring Guide'!$B$6+AB144*'Scoring Guide'!$B$7+AC144*'Scoring Guide'!$B$8,2))</f>
        <v/>
      </c>
      <c r="AE144" s="23" t="str">
        <f>IF(AD144="","Not scored",IF(AD144&gt;='Scoring Guide'!$B$11,"Tier 1 - Priority",IF(AD144&gt;='Scoring Guide'!$B$12,"Tier 2 - Develop",IF(AD144&gt;='Scoring Guide'!$B$13,"Tier 3 - Monitor","Tier 4 - Deprioritise"))))</f>
        <v>Not scored</v>
      </c>
    </row>
    <row r="145" ht="15.75" hidden="1" customHeight="1">
      <c r="A145" s="9">
        <v>144.0</v>
      </c>
      <c r="B145" s="13" t="s">
        <v>362</v>
      </c>
      <c r="C145" s="13" t="s">
        <v>100</v>
      </c>
      <c r="D145" s="13" t="s">
        <v>296</v>
      </c>
      <c r="E145" s="14">
        <v>3.79E7</v>
      </c>
      <c r="F145" s="9" t="str">
        <f t="shared" si="1"/>
        <v>25-100 m</v>
      </c>
      <c r="G145" s="14">
        <v>1.9E11</v>
      </c>
      <c r="H145" s="14">
        <f t="shared" si="2"/>
        <v>5013</v>
      </c>
      <c r="I145" s="9" t="str">
        <f t="shared" si="3"/>
        <v>Upper-middle</v>
      </c>
      <c r="J145" s="9" t="s">
        <v>90</v>
      </c>
      <c r="K145" s="19" t="s">
        <v>175</v>
      </c>
      <c r="L145" s="19" t="s">
        <v>176</v>
      </c>
      <c r="M145" s="9" t="s">
        <v>177</v>
      </c>
      <c r="N145" s="9" t="s">
        <v>90</v>
      </c>
      <c r="O145" s="19" t="s">
        <v>178</v>
      </c>
      <c r="P145" s="9" t="s">
        <v>178</v>
      </c>
      <c r="Q145" s="13" t="s">
        <v>187</v>
      </c>
      <c r="R145" s="13" t="s">
        <v>184</v>
      </c>
      <c r="S145" s="19"/>
      <c r="T145" s="21"/>
      <c r="U145" s="21"/>
      <c r="V145" s="21"/>
      <c r="W145" s="21"/>
      <c r="X145" s="21"/>
      <c r="Y145" s="21" t="str">
        <f t="shared" si="4"/>
        <v>Dev</v>
      </c>
      <c r="Z145" s="9"/>
      <c r="AA145" s="9"/>
      <c r="AB145" s="9">
        <f t="shared" si="5"/>
        <v>1</v>
      </c>
      <c r="AC145" s="9"/>
      <c r="AD145" s="22" t="str">
        <f>IF(COUNT(Z145,AA145,AC145)=0,"",ROUND(Z145*'Scoring Guide'!$B$5+AA145*'Scoring Guide'!$B$6+AB145*'Scoring Guide'!$B$7+AC145*'Scoring Guide'!$B$8,2))</f>
        <v/>
      </c>
      <c r="AE145" s="23" t="str">
        <f>IF(AD145="","Not scored",IF(AD145&gt;='Scoring Guide'!$B$11,"Tier 1 - Priority",IF(AD145&gt;='Scoring Guide'!$B$12,"Tier 2 - Develop",IF(AD145&gt;='Scoring Guide'!$B$13,"Tier 3 - Monitor","Tier 4 - Deprioritise"))))</f>
        <v>Not scored</v>
      </c>
    </row>
    <row r="146" ht="15.75" customHeight="1">
      <c r="A146" s="9">
        <v>145.0</v>
      </c>
      <c r="B146" s="11" t="s">
        <v>67</v>
      </c>
      <c r="C146" s="13" t="s">
        <v>100</v>
      </c>
      <c r="D146" s="13" t="s">
        <v>305</v>
      </c>
      <c r="E146" s="14">
        <v>6.95E7</v>
      </c>
      <c r="F146" s="9" t="str">
        <f t="shared" si="1"/>
        <v>25-100 m</v>
      </c>
      <c r="G146" s="14">
        <v>3.59E12</v>
      </c>
      <c r="H146" s="14">
        <f t="shared" si="2"/>
        <v>51655</v>
      </c>
      <c r="I146" s="9" t="str">
        <f t="shared" si="3"/>
        <v>High income</v>
      </c>
      <c r="J146" s="9" t="s">
        <v>108</v>
      </c>
      <c r="K146" s="19" t="s">
        <v>363</v>
      </c>
      <c r="L146" s="19" t="s">
        <v>364</v>
      </c>
      <c r="M146" s="9" t="s">
        <v>280</v>
      </c>
      <c r="N146" s="9" t="s">
        <v>90</v>
      </c>
      <c r="O146" s="19" t="s">
        <v>178</v>
      </c>
      <c r="P146" s="9" t="s">
        <v>178</v>
      </c>
      <c r="Q146" s="13" t="s">
        <v>365</v>
      </c>
      <c r="R146" s="13" t="s">
        <v>109</v>
      </c>
      <c r="S146" s="19"/>
      <c r="T146" s="21"/>
      <c r="U146" s="21"/>
      <c r="V146" s="21"/>
      <c r="W146" s="21"/>
      <c r="X146" s="21"/>
      <c r="Y146" s="21" t="str">
        <f t="shared" si="4"/>
        <v>Dev</v>
      </c>
      <c r="Z146" s="9"/>
      <c r="AA146" s="9"/>
      <c r="AB146" s="9">
        <f t="shared" si="5"/>
        <v>5</v>
      </c>
      <c r="AC146" s="9"/>
      <c r="AD146" s="22" t="str">
        <f>IF(COUNT(Z146,AA146,AC146)=0,"",ROUND(Z146*'Scoring Guide'!$B$5+AA146*'Scoring Guide'!$B$6+AB146*'Scoring Guide'!$B$7+AC146*'Scoring Guide'!$B$8,2))</f>
        <v/>
      </c>
      <c r="AE146" s="23" t="str">
        <f>IF(AD146="","Not scored",IF(AD146&gt;='Scoring Guide'!$B$11,"Tier 1 - Priority",IF(AD146&gt;='Scoring Guide'!$B$12,"Tier 2 - Develop",IF(AD146&gt;='Scoring Guide'!$B$13,"Tier 3 - Monitor","Tier 4 - Deprioritise"))))</f>
        <v>Not scored</v>
      </c>
    </row>
    <row r="147" ht="15.75" hidden="1" customHeight="1">
      <c r="A147" s="9">
        <v>146.0</v>
      </c>
      <c r="B147" s="13" t="s">
        <v>366</v>
      </c>
      <c r="C147" s="13" t="s">
        <v>100</v>
      </c>
      <c r="D147" s="13" t="s">
        <v>288</v>
      </c>
      <c r="E147" s="14">
        <v>800.0</v>
      </c>
      <c r="F147" s="9" t="str">
        <f t="shared" si="1"/>
        <v>Under 1 m</v>
      </c>
      <c r="G147" s="14"/>
      <c r="H147" s="14" t="str">
        <f t="shared" si="2"/>
        <v/>
      </c>
      <c r="I147" s="9" t="str">
        <f t="shared" si="3"/>
        <v/>
      </c>
      <c r="J147" s="9" t="s">
        <v>90</v>
      </c>
      <c r="K147" s="19" t="s">
        <v>175</v>
      </c>
      <c r="L147" s="19" t="s">
        <v>176</v>
      </c>
      <c r="M147" s="9" t="s">
        <v>177</v>
      </c>
      <c r="N147" s="9" t="s">
        <v>108</v>
      </c>
      <c r="O147" s="19" t="s">
        <v>178</v>
      </c>
      <c r="P147" s="9" t="s">
        <v>178</v>
      </c>
      <c r="Q147" s="13" t="s">
        <v>187</v>
      </c>
      <c r="R147" s="13" t="s">
        <v>326</v>
      </c>
      <c r="S147" s="19" t="s">
        <v>255</v>
      </c>
      <c r="T147" s="21"/>
      <c r="U147" s="21"/>
      <c r="V147" s="21"/>
      <c r="W147" s="21"/>
      <c r="X147" s="21"/>
      <c r="Y147" s="21" t="str">
        <f t="shared" si="4"/>
        <v>Dev</v>
      </c>
      <c r="Z147" s="9"/>
      <c r="AA147" s="9"/>
      <c r="AB147" s="9">
        <f t="shared" si="5"/>
        <v>1</v>
      </c>
      <c r="AC147" s="9"/>
      <c r="AD147" s="22" t="str">
        <f>IF(COUNT(Z147,AA147,AC147)=0,"",ROUND(Z147*'Scoring Guide'!$B$5+AA147*'Scoring Guide'!$B$6+AB147*'Scoring Guide'!$B$7+AC147*'Scoring Guide'!$B$8,2))</f>
        <v/>
      </c>
      <c r="AE147" s="23" t="str">
        <f>IF(AD147="","Not scored",IF(AD147&gt;='Scoring Guide'!$B$11,"Tier 1 - Priority",IF(AD147&gt;='Scoring Guide'!$B$12,"Tier 2 - Develop",IF(AD147&gt;='Scoring Guide'!$B$13,"Tier 3 - Monitor","Tier 4 - Deprioritise"))))</f>
        <v>Not scored</v>
      </c>
    </row>
    <row r="148" ht="15.75" customHeight="1">
      <c r="A148" s="9">
        <v>147.0</v>
      </c>
      <c r="B148" s="11" t="s">
        <v>367</v>
      </c>
      <c r="C148" s="13" t="s">
        <v>106</v>
      </c>
      <c r="D148" s="13" t="s">
        <v>368</v>
      </c>
      <c r="E148" s="14">
        <v>94000.0</v>
      </c>
      <c r="F148" s="9" t="str">
        <f t="shared" si="1"/>
        <v>Under 1 m</v>
      </c>
      <c r="G148" s="14">
        <v>2.2E9</v>
      </c>
      <c r="H148" s="14">
        <f t="shared" si="2"/>
        <v>23404</v>
      </c>
      <c r="I148" s="9" t="str">
        <f t="shared" si="3"/>
        <v>High income</v>
      </c>
      <c r="J148" s="9" t="s">
        <v>108</v>
      </c>
      <c r="K148" s="19" t="s">
        <v>369</v>
      </c>
      <c r="L148" s="19" t="s">
        <v>370</v>
      </c>
      <c r="M148" s="9" t="s">
        <v>177</v>
      </c>
      <c r="N148" s="9" t="s">
        <v>90</v>
      </c>
      <c r="O148" s="19" t="s">
        <v>178</v>
      </c>
      <c r="P148" s="9" t="s">
        <v>178</v>
      </c>
      <c r="Q148" s="13" t="s">
        <v>371</v>
      </c>
      <c r="R148" s="13" t="s">
        <v>109</v>
      </c>
      <c r="S148" s="19"/>
      <c r="T148" s="21"/>
      <c r="U148" s="21"/>
      <c r="V148" s="21"/>
      <c r="W148" s="21"/>
      <c r="X148" s="21"/>
      <c r="Y148" s="21" t="str">
        <f t="shared" si="4"/>
        <v>Aditya</v>
      </c>
      <c r="Z148" s="9"/>
      <c r="AA148" s="9"/>
      <c r="AB148" s="9">
        <f t="shared" si="5"/>
        <v>1</v>
      </c>
      <c r="AC148" s="9"/>
      <c r="AD148" s="22" t="str">
        <f>IF(COUNT(Z148,AA148,AC148)=0,"",ROUND(Z148*'Scoring Guide'!$B$5+AA148*'Scoring Guide'!$B$6+AB148*'Scoring Guide'!$B$7+AC148*'Scoring Guide'!$B$8,2))</f>
        <v/>
      </c>
      <c r="AE148" s="23" t="str">
        <f>IF(AD148="","Not scored",IF(AD148&gt;='Scoring Guide'!$B$11,"Tier 1 - Priority",IF(AD148&gt;='Scoring Guide'!$B$12,"Tier 2 - Develop",IF(AD148&gt;='Scoring Guide'!$B$13,"Tier 3 - Monitor","Tier 4 - Deprioritise"))))</f>
        <v>Not scored</v>
      </c>
    </row>
    <row r="149" ht="15.75" customHeight="1">
      <c r="A149" s="9">
        <v>148.0</v>
      </c>
      <c r="B149" s="11" t="s">
        <v>372</v>
      </c>
      <c r="C149" s="13" t="s">
        <v>106</v>
      </c>
      <c r="D149" s="13" t="s">
        <v>368</v>
      </c>
      <c r="E149" s="14">
        <v>400000.0</v>
      </c>
      <c r="F149" s="9" t="str">
        <f t="shared" si="1"/>
        <v>Under 1 m</v>
      </c>
      <c r="G149" s="14">
        <v>1.5E10</v>
      </c>
      <c r="H149" s="14">
        <f t="shared" si="2"/>
        <v>37500</v>
      </c>
      <c r="I149" s="9" t="str">
        <f t="shared" si="3"/>
        <v>High income</v>
      </c>
      <c r="J149" s="9" t="s">
        <v>108</v>
      </c>
      <c r="K149" s="19" t="s">
        <v>373</v>
      </c>
      <c r="L149" s="19" t="s">
        <v>374</v>
      </c>
      <c r="M149" s="9" t="s">
        <v>177</v>
      </c>
      <c r="N149" s="9" t="s">
        <v>90</v>
      </c>
      <c r="O149" s="19" t="s">
        <v>178</v>
      </c>
      <c r="P149" s="9" t="s">
        <v>178</v>
      </c>
      <c r="Q149" s="13" t="s">
        <v>371</v>
      </c>
      <c r="R149" s="13" t="s">
        <v>109</v>
      </c>
      <c r="S149" s="19"/>
      <c r="T149" s="21"/>
      <c r="U149" s="21"/>
      <c r="V149" s="21"/>
      <c r="W149" s="21"/>
      <c r="X149" s="21"/>
      <c r="Y149" s="21" t="str">
        <f t="shared" si="4"/>
        <v>Aditya</v>
      </c>
      <c r="Z149" s="9"/>
      <c r="AA149" s="9"/>
      <c r="AB149" s="9">
        <f t="shared" si="5"/>
        <v>1</v>
      </c>
      <c r="AC149" s="9"/>
      <c r="AD149" s="22" t="str">
        <f>IF(COUNT(Z149,AA149,AC149)=0,"",ROUND(Z149*'Scoring Guide'!$B$5+AA149*'Scoring Guide'!$B$6+AB149*'Scoring Guide'!$B$7+AC149*'Scoring Guide'!$B$8,2))</f>
        <v/>
      </c>
      <c r="AE149" s="23" t="str">
        <f>IF(AD149="","Not scored",IF(AD149&gt;='Scoring Guide'!$B$11,"Tier 1 - Priority",IF(AD149&gt;='Scoring Guide'!$B$12,"Tier 2 - Develop",IF(AD149&gt;='Scoring Guide'!$B$13,"Tier 3 - Monitor","Tier 4 - Deprioritise"))))</f>
        <v>Not scored</v>
      </c>
    </row>
    <row r="150" ht="15.75" customHeight="1">
      <c r="A150" s="9">
        <v>149.0</v>
      </c>
      <c r="B150" s="11" t="s">
        <v>375</v>
      </c>
      <c r="C150" s="13" t="s">
        <v>106</v>
      </c>
      <c r="D150" s="13" t="s">
        <v>368</v>
      </c>
      <c r="E150" s="14">
        <v>282000.0</v>
      </c>
      <c r="F150" s="9" t="str">
        <f t="shared" si="1"/>
        <v>Under 1 m</v>
      </c>
      <c r="G150" s="14">
        <v>6.9E9</v>
      </c>
      <c r="H150" s="14">
        <f t="shared" si="2"/>
        <v>24468</v>
      </c>
      <c r="I150" s="9" t="str">
        <f t="shared" si="3"/>
        <v>High income</v>
      </c>
      <c r="J150" s="9" t="s">
        <v>108</v>
      </c>
      <c r="K150" s="19" t="s">
        <v>376</v>
      </c>
      <c r="L150" s="19" t="s">
        <v>377</v>
      </c>
      <c r="M150" s="9" t="s">
        <v>177</v>
      </c>
      <c r="N150" s="9" t="s">
        <v>90</v>
      </c>
      <c r="O150" s="19" t="s">
        <v>178</v>
      </c>
      <c r="P150" s="9" t="s">
        <v>178</v>
      </c>
      <c r="Q150" s="13" t="s">
        <v>371</v>
      </c>
      <c r="R150" s="13" t="s">
        <v>109</v>
      </c>
      <c r="S150" s="19"/>
      <c r="T150" s="21"/>
      <c r="U150" s="21"/>
      <c r="V150" s="21"/>
      <c r="W150" s="21"/>
      <c r="X150" s="21"/>
      <c r="Y150" s="21" t="str">
        <f t="shared" si="4"/>
        <v>Aditya</v>
      </c>
      <c r="Z150" s="9"/>
      <c r="AA150" s="9"/>
      <c r="AB150" s="9">
        <f t="shared" si="5"/>
        <v>1</v>
      </c>
      <c r="AC150" s="9"/>
      <c r="AD150" s="22" t="str">
        <f>IF(COUNT(Z150,AA150,AC150)=0,"",ROUND(Z150*'Scoring Guide'!$B$5+AA150*'Scoring Guide'!$B$6+AB150*'Scoring Guide'!$B$7+AC150*'Scoring Guide'!$B$8,2))</f>
        <v/>
      </c>
      <c r="AE150" s="23" t="str">
        <f>IF(AD150="","Not scored",IF(AD150&gt;='Scoring Guide'!$B$11,"Tier 1 - Priority",IF(AD150&gt;='Scoring Guide'!$B$12,"Tier 2 - Develop",IF(AD150&gt;='Scoring Guide'!$B$13,"Tier 3 - Monitor","Tier 4 - Deprioritise"))))</f>
        <v>Not scored</v>
      </c>
    </row>
    <row r="151" ht="15.75" customHeight="1">
      <c r="A151" s="9">
        <v>150.0</v>
      </c>
      <c r="B151" s="11" t="s">
        <v>378</v>
      </c>
      <c r="C151" s="13" t="s">
        <v>106</v>
      </c>
      <c r="D151" s="13" t="s">
        <v>379</v>
      </c>
      <c r="E151" s="14">
        <v>420000.0</v>
      </c>
      <c r="F151" s="9" t="str">
        <f t="shared" si="1"/>
        <v>Under 1 m</v>
      </c>
      <c r="G151" s="14">
        <v>3.4E9</v>
      </c>
      <c r="H151" s="14">
        <f t="shared" si="2"/>
        <v>8095</v>
      </c>
      <c r="I151" s="9" t="str">
        <f t="shared" si="3"/>
        <v>Upper-middle</v>
      </c>
      <c r="J151" s="9" t="s">
        <v>108</v>
      </c>
      <c r="K151" s="19" t="s">
        <v>380</v>
      </c>
      <c r="L151" s="19" t="s">
        <v>381</v>
      </c>
      <c r="M151" s="9" t="s">
        <v>177</v>
      </c>
      <c r="N151" s="9" t="s">
        <v>90</v>
      </c>
      <c r="O151" s="19" t="s">
        <v>178</v>
      </c>
      <c r="P151" s="9" t="s">
        <v>178</v>
      </c>
      <c r="Q151" s="13" t="s">
        <v>371</v>
      </c>
      <c r="R151" s="13" t="s">
        <v>109</v>
      </c>
      <c r="S151" s="19"/>
      <c r="T151" s="21"/>
      <c r="U151" s="21"/>
      <c r="V151" s="21"/>
      <c r="W151" s="21"/>
      <c r="X151" s="21"/>
      <c r="Y151" s="21" t="str">
        <f t="shared" si="4"/>
        <v>Aditya</v>
      </c>
      <c r="Z151" s="9"/>
      <c r="AA151" s="9"/>
      <c r="AB151" s="9">
        <f t="shared" si="5"/>
        <v>1</v>
      </c>
      <c r="AC151" s="9"/>
      <c r="AD151" s="22" t="str">
        <f>IF(COUNT(Z151,AA151,AC151)=0,"",ROUND(Z151*'Scoring Guide'!$B$5+AA151*'Scoring Guide'!$B$6+AB151*'Scoring Guide'!$B$7+AC151*'Scoring Guide'!$B$8,2))</f>
        <v/>
      </c>
      <c r="AE151" s="23" t="str">
        <f>IF(AD151="","Not scored",IF(AD151&gt;='Scoring Guide'!$B$11,"Tier 1 - Priority",IF(AD151&gt;='Scoring Guide'!$B$12,"Tier 2 - Develop",IF(AD151&gt;='Scoring Guide'!$B$13,"Tier 3 - Monitor","Tier 4 - Deprioritise"))))</f>
        <v>Not scored</v>
      </c>
    </row>
    <row r="152" ht="15.75" customHeight="1">
      <c r="A152" s="9">
        <v>151.0</v>
      </c>
      <c r="B152" s="11" t="s">
        <v>382</v>
      </c>
      <c r="C152" s="13" t="s">
        <v>106</v>
      </c>
      <c r="D152" s="13" t="s">
        <v>383</v>
      </c>
      <c r="E152" s="14">
        <v>4.01E7</v>
      </c>
      <c r="F152" s="9" t="str">
        <f t="shared" si="1"/>
        <v>25-100 m</v>
      </c>
      <c r="G152" s="14">
        <v>2.21E12</v>
      </c>
      <c r="H152" s="14">
        <f t="shared" si="2"/>
        <v>55112</v>
      </c>
      <c r="I152" s="9" t="str">
        <f t="shared" si="3"/>
        <v>High income</v>
      </c>
      <c r="J152" s="9" t="s">
        <v>108</v>
      </c>
      <c r="K152" s="19" t="s">
        <v>384</v>
      </c>
      <c r="L152" s="19" t="s">
        <v>385</v>
      </c>
      <c r="M152" s="9" t="s">
        <v>280</v>
      </c>
      <c r="N152" s="9" t="s">
        <v>90</v>
      </c>
      <c r="O152" s="19" t="s">
        <v>178</v>
      </c>
      <c r="P152" s="9" t="s">
        <v>178</v>
      </c>
      <c r="Q152" s="13" t="s">
        <v>386</v>
      </c>
      <c r="R152" s="13" t="s">
        <v>99</v>
      </c>
      <c r="S152" s="19"/>
      <c r="T152" s="21"/>
      <c r="U152" s="21"/>
      <c r="V152" s="21"/>
      <c r="W152" s="21"/>
      <c r="X152" s="21"/>
      <c r="Y152" s="21" t="str">
        <f t="shared" si="4"/>
        <v>Aditya</v>
      </c>
      <c r="Z152" s="9"/>
      <c r="AA152" s="9"/>
      <c r="AB152" s="9">
        <f t="shared" si="5"/>
        <v>5</v>
      </c>
      <c r="AC152" s="9"/>
      <c r="AD152" s="22" t="str">
        <f>IF(COUNT(Z152,AA152,AC152)=0,"",ROUND(Z152*'Scoring Guide'!$B$5+AA152*'Scoring Guide'!$B$6+AB152*'Scoring Guide'!$B$7+AC152*'Scoring Guide'!$B$8,2))</f>
        <v/>
      </c>
      <c r="AE152" s="23" t="str">
        <f>IF(AD152="","Not scored",IF(AD152&gt;='Scoring Guide'!$B$11,"Tier 1 - Priority",IF(AD152&gt;='Scoring Guide'!$B$12,"Tier 2 - Develop",IF(AD152&gt;='Scoring Guide'!$B$13,"Tier 3 - Monitor","Tier 4 - Deprioritise"))))</f>
        <v>Not scored</v>
      </c>
    </row>
    <row r="153" ht="15.75" customHeight="1">
      <c r="A153" s="9">
        <v>152.0</v>
      </c>
      <c r="B153" s="11" t="s">
        <v>387</v>
      </c>
      <c r="C153" s="13" t="s">
        <v>106</v>
      </c>
      <c r="D153" s="13" t="s">
        <v>379</v>
      </c>
      <c r="E153" s="14">
        <v>5150000.0</v>
      </c>
      <c r="F153" s="9" t="str">
        <f t="shared" si="1"/>
        <v>5-25 m</v>
      </c>
      <c r="G153" s="14">
        <v>9.5E10</v>
      </c>
      <c r="H153" s="14">
        <f t="shared" si="2"/>
        <v>18447</v>
      </c>
      <c r="I153" s="9" t="str">
        <f t="shared" si="3"/>
        <v>High income</v>
      </c>
      <c r="J153" s="9" t="s">
        <v>108</v>
      </c>
      <c r="K153" s="19" t="s">
        <v>388</v>
      </c>
      <c r="L153" s="19" t="s">
        <v>389</v>
      </c>
      <c r="M153" s="9" t="s">
        <v>177</v>
      </c>
      <c r="N153" s="9" t="s">
        <v>90</v>
      </c>
      <c r="O153" s="19" t="s">
        <v>178</v>
      </c>
      <c r="P153" s="9" t="s">
        <v>178</v>
      </c>
      <c r="Q153" s="13" t="s">
        <v>187</v>
      </c>
      <c r="R153" s="13" t="s">
        <v>168</v>
      </c>
      <c r="S153" s="19"/>
      <c r="T153" s="21"/>
      <c r="U153" s="21"/>
      <c r="V153" s="21"/>
      <c r="W153" s="21"/>
      <c r="X153" s="21"/>
      <c r="Y153" s="21" t="str">
        <f t="shared" si="4"/>
        <v>Aditya</v>
      </c>
      <c r="Z153" s="9"/>
      <c r="AA153" s="9"/>
      <c r="AB153" s="9">
        <f t="shared" si="5"/>
        <v>1</v>
      </c>
      <c r="AC153" s="9"/>
      <c r="AD153" s="22" t="str">
        <f>IF(COUNT(Z153,AA153,AC153)=0,"",ROUND(Z153*'Scoring Guide'!$B$5+AA153*'Scoring Guide'!$B$6+AB153*'Scoring Guide'!$B$7+AC153*'Scoring Guide'!$B$8,2))</f>
        <v/>
      </c>
      <c r="AE153" s="23" t="str">
        <f>IF(AD153="","Not scored",IF(AD153&gt;='Scoring Guide'!$B$11,"Tier 1 - Priority",IF(AD153&gt;='Scoring Guide'!$B$12,"Tier 2 - Develop",IF(AD153&gt;='Scoring Guide'!$B$13,"Tier 3 - Monitor","Tier 4 - Deprioritise"))))</f>
        <v>Not scored</v>
      </c>
    </row>
    <row r="154" ht="15.75" customHeight="1">
      <c r="A154" s="9">
        <v>153.0</v>
      </c>
      <c r="B154" s="11" t="s">
        <v>390</v>
      </c>
      <c r="C154" s="13" t="s">
        <v>106</v>
      </c>
      <c r="D154" s="13" t="s">
        <v>368</v>
      </c>
      <c r="E154" s="14">
        <v>1.09E7</v>
      </c>
      <c r="F154" s="9" t="str">
        <f t="shared" si="1"/>
        <v>5-25 m</v>
      </c>
      <c r="G154" s="14">
        <v>1.1E11</v>
      </c>
      <c r="H154" s="14">
        <f t="shared" si="2"/>
        <v>10092</v>
      </c>
      <c r="I154" s="9" t="str">
        <f t="shared" si="3"/>
        <v>Upper-middle</v>
      </c>
      <c r="J154" s="9" t="s">
        <v>108</v>
      </c>
      <c r="K154" s="19" t="s">
        <v>391</v>
      </c>
      <c r="L154" s="19" t="s">
        <v>392</v>
      </c>
      <c r="M154" s="9" t="s">
        <v>203</v>
      </c>
      <c r="N154" s="9" t="s">
        <v>90</v>
      </c>
      <c r="O154" s="19" t="s">
        <v>178</v>
      </c>
      <c r="P154" s="9" t="s">
        <v>178</v>
      </c>
      <c r="Q154" s="13" t="s">
        <v>187</v>
      </c>
      <c r="R154" s="13" t="s">
        <v>168</v>
      </c>
      <c r="S154" s="19"/>
      <c r="T154" s="21"/>
      <c r="U154" s="21"/>
      <c r="V154" s="21"/>
      <c r="W154" s="21"/>
      <c r="X154" s="21"/>
      <c r="Y154" s="21" t="str">
        <f t="shared" si="4"/>
        <v>Aditya</v>
      </c>
      <c r="Z154" s="9"/>
      <c r="AA154" s="9"/>
      <c r="AB154" s="9">
        <f t="shared" si="5"/>
        <v>3</v>
      </c>
      <c r="AC154" s="9"/>
      <c r="AD154" s="22" t="str">
        <f>IF(COUNT(Z154,AA154,AC154)=0,"",ROUND(Z154*'Scoring Guide'!$B$5+AA154*'Scoring Guide'!$B$6+AB154*'Scoring Guide'!$B$7+AC154*'Scoring Guide'!$B$8,2))</f>
        <v/>
      </c>
      <c r="AE154" s="23" t="str">
        <f>IF(AD154="","Not scored",IF(AD154&gt;='Scoring Guide'!$B$11,"Tier 1 - Priority",IF(AD154&gt;='Scoring Guide'!$B$12,"Tier 2 - Develop",IF(AD154&gt;='Scoring Guide'!$B$13,"Tier 3 - Monitor","Tier 4 - Deprioritise"))))</f>
        <v>Not scored</v>
      </c>
    </row>
    <row r="155" ht="15.75" customHeight="1">
      <c r="A155" s="9">
        <v>154.0</v>
      </c>
      <c r="B155" s="11" t="s">
        <v>393</v>
      </c>
      <c r="C155" s="13" t="s">
        <v>106</v>
      </c>
      <c r="D155" s="13" t="s">
        <v>368</v>
      </c>
      <c r="E155" s="14">
        <v>66000.0</v>
      </c>
      <c r="F155" s="9" t="str">
        <f t="shared" si="1"/>
        <v>Under 1 m</v>
      </c>
      <c r="G155" s="14">
        <v>7.0E8</v>
      </c>
      <c r="H155" s="14">
        <f t="shared" si="2"/>
        <v>10606</v>
      </c>
      <c r="I155" s="9" t="str">
        <f t="shared" si="3"/>
        <v>Upper-middle</v>
      </c>
      <c r="J155" s="9" t="s">
        <v>108</v>
      </c>
      <c r="K155" s="19" t="s">
        <v>394</v>
      </c>
      <c r="L155" s="19" t="s">
        <v>370</v>
      </c>
      <c r="M155" s="9" t="s">
        <v>177</v>
      </c>
      <c r="N155" s="9" t="s">
        <v>90</v>
      </c>
      <c r="O155" s="19" t="s">
        <v>178</v>
      </c>
      <c r="P155" s="9" t="s">
        <v>178</v>
      </c>
      <c r="Q155" s="13" t="s">
        <v>371</v>
      </c>
      <c r="R155" s="13" t="s">
        <v>109</v>
      </c>
      <c r="S155" s="19"/>
      <c r="T155" s="21"/>
      <c r="U155" s="21"/>
      <c r="V155" s="21"/>
      <c r="W155" s="21"/>
      <c r="X155" s="21"/>
      <c r="Y155" s="21" t="str">
        <f t="shared" si="4"/>
        <v>Aditya</v>
      </c>
      <c r="Z155" s="9"/>
      <c r="AA155" s="9"/>
      <c r="AB155" s="9">
        <f t="shared" si="5"/>
        <v>1</v>
      </c>
      <c r="AC155" s="9"/>
      <c r="AD155" s="22" t="str">
        <f>IF(COUNT(Z155,AA155,AC155)=0,"",ROUND(Z155*'Scoring Guide'!$B$5+AA155*'Scoring Guide'!$B$6+AB155*'Scoring Guide'!$B$7+AC155*'Scoring Guide'!$B$8,2))</f>
        <v/>
      </c>
      <c r="AE155" s="23" t="str">
        <f>IF(AD155="","Not scored",IF(AD155&gt;='Scoring Guide'!$B$11,"Tier 1 - Priority",IF(AD155&gt;='Scoring Guide'!$B$12,"Tier 2 - Develop",IF(AD155&gt;='Scoring Guide'!$B$13,"Tier 3 - Monitor","Tier 4 - Deprioritise"))))</f>
        <v>Not scored</v>
      </c>
    </row>
    <row r="156" ht="15.75" customHeight="1">
      <c r="A156" s="9">
        <v>155.0</v>
      </c>
      <c r="B156" s="11" t="s">
        <v>395</v>
      </c>
      <c r="C156" s="13" t="s">
        <v>106</v>
      </c>
      <c r="D156" s="13" t="s">
        <v>368</v>
      </c>
      <c r="E156" s="14">
        <v>1.15E7</v>
      </c>
      <c r="F156" s="9" t="str">
        <f t="shared" si="1"/>
        <v>5-25 m</v>
      </c>
      <c r="G156" s="14">
        <v>1.27E11</v>
      </c>
      <c r="H156" s="14">
        <f t="shared" si="2"/>
        <v>11043</v>
      </c>
      <c r="I156" s="9" t="str">
        <f t="shared" si="3"/>
        <v>Upper-middle</v>
      </c>
      <c r="J156" s="9" t="s">
        <v>108</v>
      </c>
      <c r="K156" s="19" t="s">
        <v>396</v>
      </c>
      <c r="L156" s="19" t="s">
        <v>397</v>
      </c>
      <c r="M156" s="9" t="s">
        <v>203</v>
      </c>
      <c r="N156" s="9" t="s">
        <v>90</v>
      </c>
      <c r="O156" s="19" t="s">
        <v>178</v>
      </c>
      <c r="P156" s="9" t="s">
        <v>178</v>
      </c>
      <c r="Q156" s="13" t="s">
        <v>187</v>
      </c>
      <c r="R156" s="13" t="s">
        <v>168</v>
      </c>
      <c r="S156" s="19"/>
      <c r="T156" s="21"/>
      <c r="U156" s="21"/>
      <c r="V156" s="21"/>
      <c r="W156" s="21"/>
      <c r="X156" s="21"/>
      <c r="Y156" s="21" t="str">
        <f t="shared" si="4"/>
        <v>Aditya</v>
      </c>
      <c r="Z156" s="9"/>
      <c r="AA156" s="9"/>
      <c r="AB156" s="9">
        <f t="shared" si="5"/>
        <v>3</v>
      </c>
      <c r="AC156" s="9"/>
      <c r="AD156" s="22" t="str">
        <f>IF(COUNT(Z156,AA156,AC156)=0,"",ROUND(Z156*'Scoring Guide'!$B$5+AA156*'Scoring Guide'!$B$6+AB156*'Scoring Guide'!$B$7+AC156*'Scoring Guide'!$B$8,2))</f>
        <v/>
      </c>
      <c r="AE156" s="23" t="str">
        <f>IF(AD156="","Not scored",IF(AD156&gt;='Scoring Guide'!$B$11,"Tier 1 - Priority",IF(AD156&gt;='Scoring Guide'!$B$12,"Tier 2 - Develop",IF(AD156&gt;='Scoring Guide'!$B$13,"Tier 3 - Monitor","Tier 4 - Deprioritise"))))</f>
        <v>Not scored</v>
      </c>
    </row>
    <row r="157" ht="15.75" customHeight="1">
      <c r="A157" s="9">
        <v>156.0</v>
      </c>
      <c r="B157" s="11" t="s">
        <v>398</v>
      </c>
      <c r="C157" s="13" t="s">
        <v>106</v>
      </c>
      <c r="D157" s="13" t="s">
        <v>379</v>
      </c>
      <c r="E157" s="14">
        <v>6300000.0</v>
      </c>
      <c r="F157" s="9" t="str">
        <f t="shared" si="1"/>
        <v>5-25 m</v>
      </c>
      <c r="G157" s="14">
        <v>3.6E10</v>
      </c>
      <c r="H157" s="14">
        <f t="shared" si="2"/>
        <v>5714</v>
      </c>
      <c r="I157" s="9" t="str">
        <f t="shared" si="3"/>
        <v>Upper-middle</v>
      </c>
      <c r="J157" s="9" t="s">
        <v>108</v>
      </c>
      <c r="K157" s="19" t="s">
        <v>399</v>
      </c>
      <c r="L157" s="19" t="s">
        <v>400</v>
      </c>
      <c r="M157" s="9" t="s">
        <v>177</v>
      </c>
      <c r="N157" s="9" t="s">
        <v>90</v>
      </c>
      <c r="O157" s="19" t="s">
        <v>178</v>
      </c>
      <c r="P157" s="9" t="s">
        <v>178</v>
      </c>
      <c r="Q157" s="13" t="s">
        <v>187</v>
      </c>
      <c r="R157" s="13" t="s">
        <v>168</v>
      </c>
      <c r="S157" s="19"/>
      <c r="T157" s="21"/>
      <c r="U157" s="21"/>
      <c r="V157" s="21"/>
      <c r="W157" s="21"/>
      <c r="X157" s="21"/>
      <c r="Y157" s="21" t="str">
        <f t="shared" si="4"/>
        <v>Aditya</v>
      </c>
      <c r="Z157" s="9"/>
      <c r="AA157" s="9"/>
      <c r="AB157" s="9">
        <f t="shared" si="5"/>
        <v>1</v>
      </c>
      <c r="AC157" s="9"/>
      <c r="AD157" s="22" t="str">
        <f>IF(COUNT(Z157,AA157,AC157)=0,"",ROUND(Z157*'Scoring Guide'!$B$5+AA157*'Scoring Guide'!$B$6+AB157*'Scoring Guide'!$B$7+AC157*'Scoring Guide'!$B$8,2))</f>
        <v/>
      </c>
      <c r="AE157" s="23" t="str">
        <f>IF(AD157="","Not scored",IF(AD157&gt;='Scoring Guide'!$B$11,"Tier 1 - Priority",IF(AD157&gt;='Scoring Guide'!$B$12,"Tier 2 - Develop",IF(AD157&gt;='Scoring Guide'!$B$13,"Tier 3 - Monitor","Tier 4 - Deprioritise"))))</f>
        <v>Not scored</v>
      </c>
    </row>
    <row r="158" ht="15.75" customHeight="1">
      <c r="A158" s="9">
        <v>157.0</v>
      </c>
      <c r="B158" s="11" t="s">
        <v>401</v>
      </c>
      <c r="C158" s="13" t="s">
        <v>106</v>
      </c>
      <c r="D158" s="13" t="s">
        <v>368</v>
      </c>
      <c r="E158" s="14">
        <v>118000.0</v>
      </c>
      <c r="F158" s="9" t="str">
        <f t="shared" si="1"/>
        <v>Under 1 m</v>
      </c>
      <c r="G158" s="14">
        <v>1.4E9</v>
      </c>
      <c r="H158" s="14">
        <f t="shared" si="2"/>
        <v>11864</v>
      </c>
      <c r="I158" s="9" t="str">
        <f t="shared" si="3"/>
        <v>Upper-middle</v>
      </c>
      <c r="J158" s="9" t="s">
        <v>108</v>
      </c>
      <c r="K158" s="19" t="s">
        <v>402</v>
      </c>
      <c r="L158" s="19" t="s">
        <v>370</v>
      </c>
      <c r="M158" s="9" t="s">
        <v>177</v>
      </c>
      <c r="N158" s="9" t="s">
        <v>90</v>
      </c>
      <c r="O158" s="19" t="s">
        <v>178</v>
      </c>
      <c r="P158" s="9" t="s">
        <v>178</v>
      </c>
      <c r="Q158" s="13" t="s">
        <v>371</v>
      </c>
      <c r="R158" s="13" t="s">
        <v>109</v>
      </c>
      <c r="S158" s="19"/>
      <c r="T158" s="21"/>
      <c r="U158" s="21"/>
      <c r="V158" s="21"/>
      <c r="W158" s="21"/>
      <c r="X158" s="21"/>
      <c r="Y158" s="21" t="str">
        <f t="shared" si="4"/>
        <v>Aditya</v>
      </c>
      <c r="Z158" s="9"/>
      <c r="AA158" s="9"/>
      <c r="AB158" s="9">
        <f t="shared" si="5"/>
        <v>1</v>
      </c>
      <c r="AC158" s="9"/>
      <c r="AD158" s="22" t="str">
        <f>IF(COUNT(Z158,AA158,AC158)=0,"",ROUND(Z158*'Scoring Guide'!$B$5+AA158*'Scoring Guide'!$B$6+AB158*'Scoring Guide'!$B$7+AC158*'Scoring Guide'!$B$8,2))</f>
        <v/>
      </c>
      <c r="AE158" s="23" t="str">
        <f>IF(AD158="","Not scored",IF(AD158&gt;='Scoring Guide'!$B$11,"Tier 1 - Priority",IF(AD158&gt;='Scoring Guide'!$B$12,"Tier 2 - Develop",IF(AD158&gt;='Scoring Guide'!$B$13,"Tier 3 - Monitor","Tier 4 - Deprioritise"))))</f>
        <v>Not scored</v>
      </c>
    </row>
    <row r="159" ht="15.75" customHeight="1">
      <c r="A159" s="9">
        <v>158.0</v>
      </c>
      <c r="B159" s="11" t="s">
        <v>403</v>
      </c>
      <c r="C159" s="13" t="s">
        <v>106</v>
      </c>
      <c r="D159" s="13" t="s">
        <v>379</v>
      </c>
      <c r="E159" s="14">
        <v>1.87E7</v>
      </c>
      <c r="F159" s="9" t="str">
        <f t="shared" si="1"/>
        <v>5-25 m</v>
      </c>
      <c r="G159" s="14">
        <v>1.12E11</v>
      </c>
      <c r="H159" s="14">
        <f t="shared" si="2"/>
        <v>5989</v>
      </c>
      <c r="I159" s="9" t="str">
        <f t="shared" si="3"/>
        <v>Upper-middle</v>
      </c>
      <c r="J159" s="9" t="s">
        <v>108</v>
      </c>
      <c r="K159" s="19" t="s">
        <v>404</v>
      </c>
      <c r="L159" s="19" t="s">
        <v>405</v>
      </c>
      <c r="M159" s="9" t="s">
        <v>177</v>
      </c>
      <c r="N159" s="9" t="s">
        <v>90</v>
      </c>
      <c r="O159" s="19" t="s">
        <v>178</v>
      </c>
      <c r="P159" s="9" t="s">
        <v>178</v>
      </c>
      <c r="Q159" s="13" t="s">
        <v>187</v>
      </c>
      <c r="R159" s="13" t="s">
        <v>168</v>
      </c>
      <c r="S159" s="19"/>
      <c r="T159" s="21"/>
      <c r="U159" s="21"/>
      <c r="V159" s="21"/>
      <c r="W159" s="21"/>
      <c r="X159" s="21"/>
      <c r="Y159" s="21" t="str">
        <f t="shared" si="4"/>
        <v>Aditya</v>
      </c>
      <c r="Z159" s="9"/>
      <c r="AA159" s="9"/>
      <c r="AB159" s="9">
        <f t="shared" si="5"/>
        <v>1</v>
      </c>
      <c r="AC159" s="9"/>
      <c r="AD159" s="22" t="str">
        <f>IF(COUNT(Z159,AA159,AC159)=0,"",ROUND(Z159*'Scoring Guide'!$B$5+AA159*'Scoring Guide'!$B$6+AB159*'Scoring Guide'!$B$7+AC159*'Scoring Guide'!$B$8,2))</f>
        <v/>
      </c>
      <c r="AE159" s="23" t="str">
        <f>IF(AD159="","Not scored",IF(AD159&gt;='Scoring Guide'!$B$11,"Tier 1 - Priority",IF(AD159&gt;='Scoring Guide'!$B$12,"Tier 2 - Develop",IF(AD159&gt;='Scoring Guide'!$B$13,"Tier 3 - Monitor","Tier 4 - Deprioritise"))))</f>
        <v>Not scored</v>
      </c>
    </row>
    <row r="160" ht="15.75" customHeight="1">
      <c r="A160" s="9">
        <v>159.0</v>
      </c>
      <c r="B160" s="11" t="s">
        <v>406</v>
      </c>
      <c r="C160" s="13" t="s">
        <v>106</v>
      </c>
      <c r="D160" s="13" t="s">
        <v>368</v>
      </c>
      <c r="E160" s="14">
        <v>1.19E7</v>
      </c>
      <c r="F160" s="9" t="str">
        <f t="shared" si="1"/>
        <v>5-25 m</v>
      </c>
      <c r="G160" s="14">
        <v>2.0E10</v>
      </c>
      <c r="H160" s="14">
        <f t="shared" si="2"/>
        <v>1681</v>
      </c>
      <c r="I160" s="9" t="str">
        <f t="shared" si="3"/>
        <v>Lower-middle</v>
      </c>
      <c r="J160" s="9" t="s">
        <v>108</v>
      </c>
      <c r="K160" s="19" t="s">
        <v>407</v>
      </c>
      <c r="L160" s="19" t="s">
        <v>408</v>
      </c>
      <c r="M160" s="9" t="s">
        <v>203</v>
      </c>
      <c r="N160" s="9" t="s">
        <v>90</v>
      </c>
      <c r="O160" s="19" t="s">
        <v>178</v>
      </c>
      <c r="P160" s="9" t="s">
        <v>178</v>
      </c>
      <c r="Q160" s="13" t="s">
        <v>371</v>
      </c>
      <c r="R160" s="13" t="s">
        <v>105</v>
      </c>
      <c r="S160" s="19"/>
      <c r="T160" s="21"/>
      <c r="U160" s="21"/>
      <c r="V160" s="21"/>
      <c r="W160" s="21"/>
      <c r="X160" s="21"/>
      <c r="Y160" s="21" t="str">
        <f t="shared" si="4"/>
        <v>Aditya</v>
      </c>
      <c r="Z160" s="9"/>
      <c r="AA160" s="9"/>
      <c r="AB160" s="9">
        <f t="shared" si="5"/>
        <v>3</v>
      </c>
      <c r="AC160" s="9"/>
      <c r="AD160" s="22" t="str">
        <f>IF(COUNT(Z160,AA160,AC160)=0,"",ROUND(Z160*'Scoring Guide'!$B$5+AA160*'Scoring Guide'!$B$6+AB160*'Scoring Guide'!$B$7+AC160*'Scoring Guide'!$B$8,2))</f>
        <v/>
      </c>
      <c r="AE160" s="23" t="str">
        <f>IF(AD160="","Not scored",IF(AD160&gt;='Scoring Guide'!$B$11,"Tier 1 - Priority",IF(AD160&gt;='Scoring Guide'!$B$12,"Tier 2 - Develop",IF(AD160&gt;='Scoring Guide'!$B$13,"Tier 3 - Monitor","Tier 4 - Deprioritise"))))</f>
        <v>Not scored</v>
      </c>
    </row>
    <row r="161" ht="15.75" customHeight="1">
      <c r="A161" s="9">
        <v>160.0</v>
      </c>
      <c r="B161" s="11" t="s">
        <v>409</v>
      </c>
      <c r="C161" s="13" t="s">
        <v>106</v>
      </c>
      <c r="D161" s="13" t="s">
        <v>379</v>
      </c>
      <c r="E161" s="14">
        <v>1.09E7</v>
      </c>
      <c r="F161" s="9" t="str">
        <f t="shared" si="1"/>
        <v>5-25 m</v>
      </c>
      <c r="G161" s="14">
        <v>3.6E10</v>
      </c>
      <c r="H161" s="14">
        <f t="shared" si="2"/>
        <v>3303</v>
      </c>
      <c r="I161" s="9" t="str">
        <f t="shared" si="3"/>
        <v>Lower-middle</v>
      </c>
      <c r="J161" s="9" t="s">
        <v>108</v>
      </c>
      <c r="K161" s="19" t="s">
        <v>410</v>
      </c>
      <c r="L161" s="19" t="s">
        <v>411</v>
      </c>
      <c r="M161" s="9" t="s">
        <v>177</v>
      </c>
      <c r="N161" s="9" t="s">
        <v>90</v>
      </c>
      <c r="O161" s="19" t="s">
        <v>178</v>
      </c>
      <c r="P161" s="9" t="s">
        <v>178</v>
      </c>
      <c r="Q161" s="13" t="s">
        <v>187</v>
      </c>
      <c r="R161" s="13" t="s">
        <v>168</v>
      </c>
      <c r="S161" s="19"/>
      <c r="T161" s="21"/>
      <c r="U161" s="21"/>
      <c r="V161" s="21"/>
      <c r="W161" s="21"/>
      <c r="X161" s="21"/>
      <c r="Y161" s="21" t="str">
        <f t="shared" si="4"/>
        <v>Aditya</v>
      </c>
      <c r="Z161" s="9"/>
      <c r="AA161" s="9"/>
      <c r="AB161" s="9">
        <f t="shared" si="5"/>
        <v>1</v>
      </c>
      <c r="AC161" s="9"/>
      <c r="AD161" s="22" t="str">
        <f>IF(COUNT(Z161,AA161,AC161)=0,"",ROUND(Z161*'Scoring Guide'!$B$5+AA161*'Scoring Guide'!$B$6+AB161*'Scoring Guide'!$B$7+AC161*'Scoring Guide'!$B$8,2))</f>
        <v/>
      </c>
      <c r="AE161" s="23" t="str">
        <f>IF(AD161="","Not scored",IF(AD161&gt;='Scoring Guide'!$B$11,"Tier 1 - Priority",IF(AD161&gt;='Scoring Guide'!$B$12,"Tier 2 - Develop",IF(AD161&gt;='Scoring Guide'!$B$13,"Tier 3 - Monitor","Tier 4 - Deprioritise"))))</f>
        <v>Not scored</v>
      </c>
    </row>
    <row r="162" ht="15.75" customHeight="1">
      <c r="A162" s="9">
        <v>161.0</v>
      </c>
      <c r="B162" s="11" t="s">
        <v>412</v>
      </c>
      <c r="C162" s="13" t="s">
        <v>106</v>
      </c>
      <c r="D162" s="13" t="s">
        <v>368</v>
      </c>
      <c r="E162" s="14">
        <v>2830000.0</v>
      </c>
      <c r="F162" s="9" t="str">
        <f t="shared" si="1"/>
        <v>1-5 m</v>
      </c>
      <c r="G162" s="14">
        <v>2.0E10</v>
      </c>
      <c r="H162" s="14">
        <f t="shared" si="2"/>
        <v>7067</v>
      </c>
      <c r="I162" s="9" t="str">
        <f t="shared" si="3"/>
        <v>Upper-middle</v>
      </c>
      <c r="J162" s="9" t="s">
        <v>108</v>
      </c>
      <c r="K162" s="19" t="s">
        <v>363</v>
      </c>
      <c r="L162" s="19" t="s">
        <v>413</v>
      </c>
      <c r="M162" s="9" t="s">
        <v>203</v>
      </c>
      <c r="N162" s="9" t="s">
        <v>90</v>
      </c>
      <c r="O162" s="19" t="s">
        <v>178</v>
      </c>
      <c r="P162" s="9" t="s">
        <v>178</v>
      </c>
      <c r="Q162" s="13" t="s">
        <v>371</v>
      </c>
      <c r="R162" s="13" t="s">
        <v>109</v>
      </c>
      <c r="S162" s="19"/>
      <c r="T162" s="21"/>
      <c r="U162" s="21"/>
      <c r="V162" s="21"/>
      <c r="W162" s="21"/>
      <c r="X162" s="21"/>
      <c r="Y162" s="21" t="str">
        <f t="shared" si="4"/>
        <v>Aditya</v>
      </c>
      <c r="Z162" s="9"/>
      <c r="AA162" s="9"/>
      <c r="AB162" s="9">
        <f t="shared" si="5"/>
        <v>3</v>
      </c>
      <c r="AC162" s="9"/>
      <c r="AD162" s="22" t="str">
        <f>IF(COUNT(Z162,AA162,AC162)=0,"",ROUND(Z162*'Scoring Guide'!$B$5+AA162*'Scoring Guide'!$B$6+AB162*'Scoring Guide'!$B$7+AC162*'Scoring Guide'!$B$8,2))</f>
        <v/>
      </c>
      <c r="AE162" s="23" t="str">
        <f>IF(AD162="","Not scored",IF(AD162&gt;='Scoring Guide'!$B$11,"Tier 1 - Priority",IF(AD162&gt;='Scoring Guide'!$B$12,"Tier 2 - Develop",IF(AD162&gt;='Scoring Guide'!$B$13,"Tier 3 - Monitor","Tier 4 - Deprioritise"))))</f>
        <v>Not scored</v>
      </c>
    </row>
    <row r="163" ht="15.75" customHeight="1">
      <c r="A163" s="9">
        <v>162.0</v>
      </c>
      <c r="B163" s="11" t="s">
        <v>414</v>
      </c>
      <c r="C163" s="13" t="s">
        <v>106</v>
      </c>
      <c r="D163" s="13" t="s">
        <v>379</v>
      </c>
      <c r="E163" s="14">
        <v>1.319E8</v>
      </c>
      <c r="F163" s="9" t="str">
        <f t="shared" si="1"/>
        <v>Over 100 m</v>
      </c>
      <c r="G163" s="14">
        <v>1.85E12</v>
      </c>
      <c r="H163" s="14">
        <f t="shared" si="2"/>
        <v>14026</v>
      </c>
      <c r="I163" s="9" t="str">
        <f t="shared" si="3"/>
        <v>High income</v>
      </c>
      <c r="J163" s="9" t="s">
        <v>108</v>
      </c>
      <c r="K163" s="19" t="s">
        <v>415</v>
      </c>
      <c r="L163" s="19" t="s">
        <v>416</v>
      </c>
      <c r="M163" s="9" t="s">
        <v>177</v>
      </c>
      <c r="N163" s="9" t="s">
        <v>90</v>
      </c>
      <c r="O163" s="19" t="s">
        <v>178</v>
      </c>
      <c r="P163" s="9" t="s">
        <v>178</v>
      </c>
      <c r="Q163" s="13" t="s">
        <v>386</v>
      </c>
      <c r="R163" s="13" t="s">
        <v>168</v>
      </c>
      <c r="S163" s="19" t="s">
        <v>417</v>
      </c>
      <c r="T163" s="21"/>
      <c r="U163" s="21"/>
      <c r="V163" s="21"/>
      <c r="W163" s="21"/>
      <c r="X163" s="21"/>
      <c r="Y163" s="21" t="str">
        <f t="shared" si="4"/>
        <v>Aditya</v>
      </c>
      <c r="Z163" s="9"/>
      <c r="AA163" s="9"/>
      <c r="AB163" s="9">
        <f t="shared" si="5"/>
        <v>1</v>
      </c>
      <c r="AC163" s="9"/>
      <c r="AD163" s="22" t="str">
        <f>IF(COUNT(Z163,AA163,AC163)=0,"",ROUND(Z163*'Scoring Guide'!$B$5+AA163*'Scoring Guide'!$B$6+AB163*'Scoring Guide'!$B$7+AC163*'Scoring Guide'!$B$8,2))</f>
        <v/>
      </c>
      <c r="AE163" s="23" t="str">
        <f>IF(AD163="","Not scored",IF(AD163&gt;='Scoring Guide'!$B$11,"Tier 1 - Priority",IF(AD163&gt;='Scoring Guide'!$B$12,"Tier 2 - Develop",IF(AD163&gt;='Scoring Guide'!$B$13,"Tier 3 - Monitor","Tier 4 - Deprioritise"))))</f>
        <v>Not scored</v>
      </c>
    </row>
    <row r="164" ht="15.75" customHeight="1">
      <c r="A164" s="9">
        <v>163.0</v>
      </c>
      <c r="B164" s="11" t="s">
        <v>418</v>
      </c>
      <c r="C164" s="13" t="s">
        <v>106</v>
      </c>
      <c r="D164" s="13" t="s">
        <v>379</v>
      </c>
      <c r="E164" s="14">
        <v>7000000.0</v>
      </c>
      <c r="F164" s="9" t="str">
        <f t="shared" si="1"/>
        <v>5-25 m</v>
      </c>
      <c r="G164" s="14">
        <v>1.9E10</v>
      </c>
      <c r="H164" s="14">
        <f t="shared" si="2"/>
        <v>2714</v>
      </c>
      <c r="I164" s="9" t="str">
        <f t="shared" si="3"/>
        <v>Lower-middle</v>
      </c>
      <c r="J164" s="9" t="s">
        <v>108</v>
      </c>
      <c r="K164" s="19" t="s">
        <v>419</v>
      </c>
      <c r="L164" s="19" t="s">
        <v>420</v>
      </c>
      <c r="M164" s="9" t="s">
        <v>177</v>
      </c>
      <c r="N164" s="9" t="s">
        <v>90</v>
      </c>
      <c r="O164" s="19" t="s">
        <v>178</v>
      </c>
      <c r="P164" s="9" t="s">
        <v>178</v>
      </c>
      <c r="Q164" s="13" t="s">
        <v>187</v>
      </c>
      <c r="R164" s="13" t="s">
        <v>168</v>
      </c>
      <c r="S164" s="19"/>
      <c r="T164" s="21"/>
      <c r="U164" s="21"/>
      <c r="V164" s="21"/>
      <c r="W164" s="21"/>
      <c r="X164" s="21"/>
      <c r="Y164" s="21" t="str">
        <f t="shared" si="4"/>
        <v>Aditya</v>
      </c>
      <c r="Z164" s="9"/>
      <c r="AA164" s="9"/>
      <c r="AB164" s="9">
        <f t="shared" si="5"/>
        <v>1</v>
      </c>
      <c r="AC164" s="9"/>
      <c r="AD164" s="22" t="str">
        <f>IF(COUNT(Z164,AA164,AC164)=0,"",ROUND(Z164*'Scoring Guide'!$B$5+AA164*'Scoring Guide'!$B$6+AB164*'Scoring Guide'!$B$7+AC164*'Scoring Guide'!$B$8,2))</f>
        <v/>
      </c>
      <c r="AE164" s="23" t="str">
        <f>IF(AD164="","Not scored",IF(AD164&gt;='Scoring Guide'!$B$11,"Tier 1 - Priority",IF(AD164&gt;='Scoring Guide'!$B$12,"Tier 2 - Develop",IF(AD164&gt;='Scoring Guide'!$B$13,"Tier 3 - Monitor","Tier 4 - Deprioritise"))))</f>
        <v>Not scored</v>
      </c>
    </row>
    <row r="165" ht="15.75" customHeight="1">
      <c r="A165" s="9">
        <v>164.0</v>
      </c>
      <c r="B165" s="30" t="s">
        <v>421</v>
      </c>
      <c r="C165" s="13" t="s">
        <v>106</v>
      </c>
      <c r="D165" s="13" t="s">
        <v>379</v>
      </c>
      <c r="E165" s="14">
        <v>4600000.0</v>
      </c>
      <c r="F165" s="9" t="str">
        <f t="shared" si="1"/>
        <v>1-5 m</v>
      </c>
      <c r="G165" s="14">
        <v>8.7E10</v>
      </c>
      <c r="H165" s="14">
        <f t="shared" si="2"/>
        <v>18913</v>
      </c>
      <c r="I165" s="9" t="str">
        <f t="shared" si="3"/>
        <v>High income</v>
      </c>
      <c r="J165" s="9" t="s">
        <v>108</v>
      </c>
      <c r="K165" s="19" t="s">
        <v>422</v>
      </c>
      <c r="L165" s="19" t="s">
        <v>423</v>
      </c>
      <c r="M165" s="9" t="s">
        <v>203</v>
      </c>
      <c r="N165" s="9" t="s">
        <v>90</v>
      </c>
      <c r="O165" s="19" t="s">
        <v>178</v>
      </c>
      <c r="P165" s="9" t="s">
        <v>178</v>
      </c>
      <c r="Q165" s="13" t="s">
        <v>187</v>
      </c>
      <c r="R165" s="13" t="s">
        <v>168</v>
      </c>
      <c r="S165" s="19" t="s">
        <v>424</v>
      </c>
      <c r="T165" s="21"/>
      <c r="U165" s="21"/>
      <c r="V165" s="21"/>
      <c r="W165" s="21"/>
      <c r="X165" s="21"/>
      <c r="Y165" s="21" t="str">
        <f t="shared" si="4"/>
        <v>Aditya</v>
      </c>
      <c r="Z165" s="9"/>
      <c r="AA165" s="9"/>
      <c r="AB165" s="9">
        <f t="shared" si="5"/>
        <v>3</v>
      </c>
      <c r="AC165" s="9"/>
      <c r="AD165" s="22" t="str">
        <f>IF(COUNT(Z165,AA165,AC165)=0,"",ROUND(Z165*'Scoring Guide'!$B$5+AA165*'Scoring Guide'!$B$6+AB165*'Scoring Guide'!$B$7+AC165*'Scoring Guide'!$B$8,2))</f>
        <v/>
      </c>
      <c r="AE165" s="23" t="str">
        <f>IF(AD165="","Not scored",IF(AD165&gt;='Scoring Guide'!$B$11,"Tier 1 - Priority",IF(AD165&gt;='Scoring Guide'!$B$12,"Tier 2 - Develop",IF(AD165&gt;='Scoring Guide'!$B$13,"Tier 3 - Monitor","Tier 4 - Deprioritise"))))</f>
        <v>Not scored</v>
      </c>
    </row>
    <row r="166" ht="15.75" customHeight="1">
      <c r="A166" s="9">
        <v>165.0</v>
      </c>
      <c r="B166" s="11" t="s">
        <v>425</v>
      </c>
      <c r="C166" s="13" t="s">
        <v>106</v>
      </c>
      <c r="D166" s="13" t="s">
        <v>368</v>
      </c>
      <c r="E166" s="14">
        <v>47000.0</v>
      </c>
      <c r="F166" s="9" t="str">
        <f t="shared" si="1"/>
        <v>Under 1 m</v>
      </c>
      <c r="G166" s="14">
        <v>1.1E9</v>
      </c>
      <c r="H166" s="14">
        <f t="shared" si="2"/>
        <v>23404</v>
      </c>
      <c r="I166" s="9" t="str">
        <f t="shared" si="3"/>
        <v>High income</v>
      </c>
      <c r="J166" s="9" t="s">
        <v>108</v>
      </c>
      <c r="K166" s="19" t="s">
        <v>426</v>
      </c>
      <c r="L166" s="19" t="s">
        <v>370</v>
      </c>
      <c r="M166" s="9" t="s">
        <v>177</v>
      </c>
      <c r="N166" s="9" t="s">
        <v>90</v>
      </c>
      <c r="O166" s="19" t="s">
        <v>178</v>
      </c>
      <c r="P166" s="9" t="s">
        <v>178</v>
      </c>
      <c r="Q166" s="13" t="s">
        <v>371</v>
      </c>
      <c r="R166" s="13" t="s">
        <v>109</v>
      </c>
      <c r="S166" s="19"/>
      <c r="T166" s="21"/>
      <c r="U166" s="21"/>
      <c r="V166" s="21"/>
      <c r="W166" s="21"/>
      <c r="X166" s="21"/>
      <c r="Y166" s="21" t="str">
        <f t="shared" si="4"/>
        <v>Aditya</v>
      </c>
      <c r="Z166" s="9"/>
      <c r="AA166" s="9"/>
      <c r="AB166" s="9">
        <f t="shared" si="5"/>
        <v>1</v>
      </c>
      <c r="AC166" s="9"/>
      <c r="AD166" s="22" t="str">
        <f>IF(COUNT(Z166,AA166,AC166)=0,"",ROUND(Z166*'Scoring Guide'!$B$5+AA166*'Scoring Guide'!$B$6+AB166*'Scoring Guide'!$B$7+AC166*'Scoring Guide'!$B$8,2))</f>
        <v/>
      </c>
      <c r="AE166" s="23" t="str">
        <f>IF(AD166="","Not scored",IF(AD166&gt;='Scoring Guide'!$B$11,"Tier 1 - Priority",IF(AD166&gt;='Scoring Guide'!$B$12,"Tier 2 - Develop",IF(AD166&gt;='Scoring Guide'!$B$13,"Tier 3 - Monitor","Tier 4 - Deprioritise"))))</f>
        <v>Not scored</v>
      </c>
    </row>
    <row r="167" ht="15.75" customHeight="1">
      <c r="A167" s="9">
        <v>166.0</v>
      </c>
      <c r="B167" s="11" t="s">
        <v>427</v>
      </c>
      <c r="C167" s="13" t="s">
        <v>106</v>
      </c>
      <c r="D167" s="13" t="s">
        <v>368</v>
      </c>
      <c r="E167" s="14">
        <v>180000.0</v>
      </c>
      <c r="F167" s="9" t="str">
        <f t="shared" si="1"/>
        <v>Under 1 m</v>
      </c>
      <c r="G167" s="14">
        <v>2.6E9</v>
      </c>
      <c r="H167" s="14">
        <f t="shared" si="2"/>
        <v>14444</v>
      </c>
      <c r="I167" s="9" t="str">
        <f t="shared" si="3"/>
        <v>High income</v>
      </c>
      <c r="J167" s="9" t="s">
        <v>108</v>
      </c>
      <c r="K167" s="19" t="s">
        <v>388</v>
      </c>
      <c r="L167" s="19" t="s">
        <v>408</v>
      </c>
      <c r="M167" s="9" t="s">
        <v>177</v>
      </c>
      <c r="N167" s="9" t="s">
        <v>90</v>
      </c>
      <c r="O167" s="19" t="s">
        <v>178</v>
      </c>
      <c r="P167" s="9" t="s">
        <v>178</v>
      </c>
      <c r="Q167" s="13" t="s">
        <v>371</v>
      </c>
      <c r="R167" s="13" t="s">
        <v>109</v>
      </c>
      <c r="S167" s="19"/>
      <c r="T167" s="21"/>
      <c r="U167" s="21"/>
      <c r="V167" s="21"/>
      <c r="W167" s="21"/>
      <c r="X167" s="21"/>
      <c r="Y167" s="21" t="str">
        <f t="shared" si="4"/>
        <v>Aditya</v>
      </c>
      <c r="Z167" s="9"/>
      <c r="AA167" s="9"/>
      <c r="AB167" s="9">
        <f t="shared" si="5"/>
        <v>1</v>
      </c>
      <c r="AC167" s="9"/>
      <c r="AD167" s="22" t="str">
        <f>IF(COUNT(Z167,AA167,AC167)=0,"",ROUND(Z167*'Scoring Guide'!$B$5+AA167*'Scoring Guide'!$B$6+AB167*'Scoring Guide'!$B$7+AC167*'Scoring Guide'!$B$8,2))</f>
        <v/>
      </c>
      <c r="AE167" s="23" t="str">
        <f>IF(AD167="","Not scored",IF(AD167&gt;='Scoring Guide'!$B$11,"Tier 1 - Priority",IF(AD167&gt;='Scoring Guide'!$B$12,"Tier 2 - Develop",IF(AD167&gt;='Scoring Guide'!$B$13,"Tier 3 - Monitor","Tier 4 - Deprioritise"))))</f>
        <v>Not scored</v>
      </c>
    </row>
    <row r="168" ht="15.75" customHeight="1">
      <c r="A168" s="9">
        <v>167.0</v>
      </c>
      <c r="B168" s="11" t="s">
        <v>428</v>
      </c>
      <c r="C168" s="13" t="s">
        <v>106</v>
      </c>
      <c r="D168" s="13" t="s">
        <v>368</v>
      </c>
      <c r="E168" s="14">
        <v>100000.0</v>
      </c>
      <c r="F168" s="9" t="str">
        <f t="shared" si="1"/>
        <v>Under 1 m</v>
      </c>
      <c r="G168" s="14">
        <v>1.1E9</v>
      </c>
      <c r="H168" s="14">
        <f t="shared" si="2"/>
        <v>11000</v>
      </c>
      <c r="I168" s="9" t="str">
        <f t="shared" si="3"/>
        <v>Upper-middle</v>
      </c>
      <c r="J168" s="9" t="s">
        <v>108</v>
      </c>
      <c r="K168" s="19" t="s">
        <v>402</v>
      </c>
      <c r="L168" s="19" t="s">
        <v>370</v>
      </c>
      <c r="M168" s="9" t="s">
        <v>177</v>
      </c>
      <c r="N168" s="9" t="s">
        <v>90</v>
      </c>
      <c r="O168" s="19" t="s">
        <v>178</v>
      </c>
      <c r="P168" s="9" t="s">
        <v>178</v>
      </c>
      <c r="Q168" s="13" t="s">
        <v>371</v>
      </c>
      <c r="R168" s="13" t="s">
        <v>109</v>
      </c>
      <c r="S168" s="19"/>
      <c r="T168" s="21"/>
      <c r="U168" s="21"/>
      <c r="V168" s="21"/>
      <c r="W168" s="21"/>
      <c r="X168" s="21"/>
      <c r="Y168" s="21" t="str">
        <f t="shared" si="4"/>
        <v>Aditya</v>
      </c>
      <c r="Z168" s="9"/>
      <c r="AA168" s="9"/>
      <c r="AB168" s="9">
        <f t="shared" si="5"/>
        <v>1</v>
      </c>
      <c r="AC168" s="9"/>
      <c r="AD168" s="22" t="str">
        <f>IF(COUNT(Z168,AA168,AC168)=0,"",ROUND(Z168*'Scoring Guide'!$B$5+AA168*'Scoring Guide'!$B$6+AB168*'Scoring Guide'!$B$7+AC168*'Scoring Guide'!$B$8,2))</f>
        <v/>
      </c>
      <c r="AE168" s="23" t="str">
        <f>IF(AD168="","Not scored",IF(AD168&gt;='Scoring Guide'!$B$11,"Tier 1 - Priority",IF(AD168&gt;='Scoring Guide'!$B$12,"Tier 2 - Develop",IF(AD168&gt;='Scoring Guide'!$B$13,"Tier 3 - Monitor","Tier 4 - Deprioritise"))))</f>
        <v>Not scored</v>
      </c>
    </row>
    <row r="169" ht="15.75" customHeight="1">
      <c r="A169" s="9">
        <v>168.0</v>
      </c>
      <c r="B169" s="11" t="s">
        <v>429</v>
      </c>
      <c r="C169" s="13" t="s">
        <v>106</v>
      </c>
      <c r="D169" s="13" t="s">
        <v>368</v>
      </c>
      <c r="E169" s="14">
        <v>1510000.0</v>
      </c>
      <c r="F169" s="9" t="str">
        <f t="shared" si="1"/>
        <v>1-5 m</v>
      </c>
      <c r="G169" s="14">
        <v>2.8E10</v>
      </c>
      <c r="H169" s="14">
        <f t="shared" si="2"/>
        <v>18543</v>
      </c>
      <c r="I169" s="9" t="str">
        <f t="shared" si="3"/>
        <v>High income</v>
      </c>
      <c r="J169" s="9" t="s">
        <v>108</v>
      </c>
      <c r="K169" s="19" t="s">
        <v>430</v>
      </c>
      <c r="L169" s="19" t="s">
        <v>431</v>
      </c>
      <c r="M169" s="9" t="s">
        <v>203</v>
      </c>
      <c r="N169" s="9" t="s">
        <v>90</v>
      </c>
      <c r="O169" s="19" t="s">
        <v>178</v>
      </c>
      <c r="P169" s="9" t="s">
        <v>178</v>
      </c>
      <c r="Q169" s="13" t="s">
        <v>371</v>
      </c>
      <c r="R169" s="13" t="s">
        <v>109</v>
      </c>
      <c r="S169" s="19" t="s">
        <v>432</v>
      </c>
      <c r="T169" s="21"/>
      <c r="U169" s="21"/>
      <c r="V169" s="21"/>
      <c r="W169" s="21"/>
      <c r="X169" s="21"/>
      <c r="Y169" s="21" t="str">
        <f t="shared" si="4"/>
        <v>Aditya</v>
      </c>
      <c r="Z169" s="9"/>
      <c r="AA169" s="9"/>
      <c r="AB169" s="9">
        <f t="shared" si="5"/>
        <v>3</v>
      </c>
      <c r="AC169" s="9"/>
      <c r="AD169" s="22" t="str">
        <f>IF(COUNT(Z169,AA169,AC169)=0,"",ROUND(Z169*'Scoring Guide'!$B$5+AA169*'Scoring Guide'!$B$6+AB169*'Scoring Guide'!$B$7+AC169*'Scoring Guide'!$B$8,2))</f>
        <v/>
      </c>
      <c r="AE169" s="23" t="str">
        <f>IF(AD169="","Not scored",IF(AD169&gt;='Scoring Guide'!$B$11,"Tier 1 - Priority",IF(AD169&gt;='Scoring Guide'!$B$12,"Tier 2 - Develop",IF(AD169&gt;='Scoring Guide'!$B$13,"Tier 3 - Monitor","Tier 4 - Deprioritise"))))</f>
        <v>Not scored</v>
      </c>
    </row>
    <row r="170" ht="15.75" customHeight="1">
      <c r="A170" s="9">
        <v>169.0</v>
      </c>
      <c r="B170" s="11" t="s">
        <v>433</v>
      </c>
      <c r="C170" s="13" t="s">
        <v>106</v>
      </c>
      <c r="D170" s="13" t="s">
        <v>383</v>
      </c>
      <c r="E170" s="14">
        <v>3.473E8</v>
      </c>
      <c r="F170" s="9" t="str">
        <f t="shared" si="1"/>
        <v>Over 100 m</v>
      </c>
      <c r="G170" s="14">
        <v>2.918E13</v>
      </c>
      <c r="H170" s="14">
        <f t="shared" si="2"/>
        <v>84020</v>
      </c>
      <c r="I170" s="9" t="str">
        <f t="shared" si="3"/>
        <v>High income</v>
      </c>
      <c r="J170" s="9" t="s">
        <v>108</v>
      </c>
      <c r="K170" s="19" t="s">
        <v>434</v>
      </c>
      <c r="L170" s="19" t="s">
        <v>435</v>
      </c>
      <c r="M170" s="9" t="s">
        <v>280</v>
      </c>
      <c r="N170" s="9" t="s">
        <v>90</v>
      </c>
      <c r="O170" s="19" t="s">
        <v>178</v>
      </c>
      <c r="P170" s="9" t="s">
        <v>178</v>
      </c>
      <c r="Q170" s="13" t="s">
        <v>386</v>
      </c>
      <c r="R170" s="13" t="s">
        <v>109</v>
      </c>
      <c r="S170" s="19"/>
      <c r="T170" s="21"/>
      <c r="U170" s="21"/>
      <c r="V170" s="21"/>
      <c r="W170" s="21"/>
      <c r="X170" s="21"/>
      <c r="Y170" s="21" t="str">
        <f t="shared" si="4"/>
        <v>Aditya</v>
      </c>
      <c r="Z170" s="9"/>
      <c r="AA170" s="9"/>
      <c r="AB170" s="9">
        <f t="shared" si="5"/>
        <v>5</v>
      </c>
      <c r="AC170" s="9"/>
      <c r="AD170" s="22" t="str">
        <f>IF(COUNT(Z170,AA170,AC170)=0,"",ROUND(Z170*'Scoring Guide'!$B$5+AA170*'Scoring Guide'!$B$6+AB170*'Scoring Guide'!$B$7+AC170*'Scoring Guide'!$B$8,2))</f>
        <v/>
      </c>
      <c r="AE170" s="23" t="str">
        <f>IF(AD170="","Not scored",IF(AD170&gt;='Scoring Guide'!$B$11,"Tier 1 - Priority",IF(AD170&gt;='Scoring Guide'!$B$12,"Tier 2 - Develop",IF(AD170&gt;='Scoring Guide'!$B$13,"Tier 3 - Monitor","Tier 4 - Deprioritise"))))</f>
        <v>Not scored</v>
      </c>
    </row>
    <row r="171" ht="15.75" customHeight="1">
      <c r="A171" s="9">
        <v>170.0</v>
      </c>
      <c r="B171" s="11" t="s">
        <v>436</v>
      </c>
      <c r="C171" s="13" t="s">
        <v>110</v>
      </c>
      <c r="D171" s="13" t="s">
        <v>110</v>
      </c>
      <c r="E171" s="14">
        <v>4.59E7</v>
      </c>
      <c r="F171" s="9" t="str">
        <f t="shared" si="1"/>
        <v>25-100 m</v>
      </c>
      <c r="G171" s="14">
        <v>6.33E11</v>
      </c>
      <c r="H171" s="14">
        <f t="shared" si="2"/>
        <v>13791</v>
      </c>
      <c r="I171" s="9" t="str">
        <f t="shared" si="3"/>
        <v>Upper-middle</v>
      </c>
      <c r="J171" s="9" t="s">
        <v>108</v>
      </c>
      <c r="K171" s="19" t="s">
        <v>258</v>
      </c>
      <c r="L171" s="19" t="s">
        <v>437</v>
      </c>
      <c r="M171" s="9" t="s">
        <v>177</v>
      </c>
      <c r="N171" s="9" t="s">
        <v>90</v>
      </c>
      <c r="O171" s="19" t="s">
        <v>178</v>
      </c>
      <c r="P171" s="9" t="s">
        <v>178</v>
      </c>
      <c r="Q171" s="13" t="s">
        <v>438</v>
      </c>
      <c r="R171" s="13" t="s">
        <v>168</v>
      </c>
      <c r="S171" s="19"/>
      <c r="T171" s="21"/>
      <c r="U171" s="21"/>
      <c r="V171" s="21"/>
      <c r="W171" s="21"/>
      <c r="X171" s="21"/>
      <c r="Y171" s="21" t="str">
        <f t="shared" si="4"/>
        <v>Dev</v>
      </c>
      <c r="Z171" s="9"/>
      <c r="AA171" s="9"/>
      <c r="AB171" s="9">
        <f t="shared" si="5"/>
        <v>1</v>
      </c>
      <c r="AC171" s="9"/>
      <c r="AD171" s="22" t="str">
        <f>IF(COUNT(Z171,AA171,AC171)=0,"",ROUND(Z171*'Scoring Guide'!$B$5+AA171*'Scoring Guide'!$B$6+AB171*'Scoring Guide'!$B$7+AC171*'Scoring Guide'!$B$8,2))</f>
        <v/>
      </c>
      <c r="AE171" s="23" t="str">
        <f>IF(AD171="","Not scored",IF(AD171&gt;='Scoring Guide'!$B$11,"Tier 1 - Priority",IF(AD171&gt;='Scoring Guide'!$B$12,"Tier 2 - Develop",IF(AD171&gt;='Scoring Guide'!$B$13,"Tier 3 - Monitor","Tier 4 - Deprioritise"))))</f>
        <v>Not scored</v>
      </c>
    </row>
    <row r="172" ht="15.75" customHeight="1">
      <c r="A172" s="9">
        <v>171.0</v>
      </c>
      <c r="B172" s="11" t="s">
        <v>439</v>
      </c>
      <c r="C172" s="13" t="s">
        <v>110</v>
      </c>
      <c r="D172" s="13" t="s">
        <v>110</v>
      </c>
      <c r="E172" s="14">
        <v>1.26E7</v>
      </c>
      <c r="F172" s="9" t="str">
        <f t="shared" si="1"/>
        <v>5-25 m</v>
      </c>
      <c r="G172" s="14">
        <v>4.7E10</v>
      </c>
      <c r="H172" s="14">
        <f t="shared" si="2"/>
        <v>3730</v>
      </c>
      <c r="I172" s="9" t="str">
        <f t="shared" si="3"/>
        <v>Lower-middle</v>
      </c>
      <c r="J172" s="9" t="s">
        <v>108</v>
      </c>
      <c r="K172" s="19" t="s">
        <v>440</v>
      </c>
      <c r="L172" s="19" t="s">
        <v>441</v>
      </c>
      <c r="M172" s="9" t="s">
        <v>177</v>
      </c>
      <c r="N172" s="9" t="s">
        <v>108</v>
      </c>
      <c r="O172" s="19" t="s">
        <v>178</v>
      </c>
      <c r="P172" s="9" t="s">
        <v>178</v>
      </c>
      <c r="Q172" s="13" t="s">
        <v>438</v>
      </c>
      <c r="R172" s="13" t="s">
        <v>168</v>
      </c>
      <c r="S172" s="19"/>
      <c r="T172" s="21"/>
      <c r="U172" s="21"/>
      <c r="V172" s="21"/>
      <c r="W172" s="21"/>
      <c r="X172" s="21"/>
      <c r="Y172" s="21" t="str">
        <f t="shared" si="4"/>
        <v>Dev</v>
      </c>
      <c r="Z172" s="9"/>
      <c r="AA172" s="9"/>
      <c r="AB172" s="9">
        <f t="shared" si="5"/>
        <v>1</v>
      </c>
      <c r="AC172" s="9"/>
      <c r="AD172" s="22" t="str">
        <f>IF(COUNT(Z172,AA172,AC172)=0,"",ROUND(Z172*'Scoring Guide'!$B$5+AA172*'Scoring Guide'!$B$6+AB172*'Scoring Guide'!$B$7+AC172*'Scoring Guide'!$B$8,2))</f>
        <v/>
      </c>
      <c r="AE172" s="23" t="str">
        <f>IF(AD172="","Not scored",IF(AD172&gt;='Scoring Guide'!$B$11,"Tier 1 - Priority",IF(AD172&gt;='Scoring Guide'!$B$12,"Tier 2 - Develop",IF(AD172&gt;='Scoring Guide'!$B$13,"Tier 3 - Monitor","Tier 4 - Deprioritise"))))</f>
        <v>Not scored</v>
      </c>
    </row>
    <row r="173" ht="15.75" customHeight="1">
      <c r="A173" s="9">
        <v>172.0</v>
      </c>
      <c r="B173" s="11" t="s">
        <v>442</v>
      </c>
      <c r="C173" s="13" t="s">
        <v>110</v>
      </c>
      <c r="D173" s="13" t="s">
        <v>110</v>
      </c>
      <c r="E173" s="14">
        <v>2.128E8</v>
      </c>
      <c r="F173" s="9" t="str">
        <f t="shared" si="1"/>
        <v>Over 100 m</v>
      </c>
      <c r="G173" s="14">
        <v>2.18E12</v>
      </c>
      <c r="H173" s="14">
        <f t="shared" si="2"/>
        <v>10244</v>
      </c>
      <c r="I173" s="9" t="str">
        <f t="shared" si="3"/>
        <v>Upper-middle</v>
      </c>
      <c r="J173" s="9" t="s">
        <v>108</v>
      </c>
      <c r="K173" s="19" t="s">
        <v>443</v>
      </c>
      <c r="L173" s="19" t="s">
        <v>444</v>
      </c>
      <c r="M173" s="9" t="s">
        <v>203</v>
      </c>
      <c r="N173" s="9" t="s">
        <v>90</v>
      </c>
      <c r="O173" s="19" t="s">
        <v>178</v>
      </c>
      <c r="P173" s="9" t="s">
        <v>178</v>
      </c>
      <c r="Q173" s="13" t="s">
        <v>438</v>
      </c>
      <c r="R173" s="13" t="s">
        <v>93</v>
      </c>
      <c r="S173" s="19"/>
      <c r="T173" s="21"/>
      <c r="U173" s="21"/>
      <c r="V173" s="21"/>
      <c r="W173" s="21"/>
      <c r="X173" s="21"/>
      <c r="Y173" s="21" t="str">
        <f t="shared" si="4"/>
        <v>Dev</v>
      </c>
      <c r="Z173" s="9"/>
      <c r="AA173" s="9"/>
      <c r="AB173" s="9">
        <f t="shared" si="5"/>
        <v>3</v>
      </c>
      <c r="AC173" s="9"/>
      <c r="AD173" s="22" t="str">
        <f>IF(COUNT(Z173,AA173,AC173)=0,"",ROUND(Z173*'Scoring Guide'!$B$5+AA173*'Scoring Guide'!$B$6+AB173*'Scoring Guide'!$B$7+AC173*'Scoring Guide'!$B$8,2))</f>
        <v/>
      </c>
      <c r="AE173" s="23" t="str">
        <f>IF(AD173="","Not scored",IF(AD173&gt;='Scoring Guide'!$B$11,"Tier 1 - Priority",IF(AD173&gt;='Scoring Guide'!$B$12,"Tier 2 - Develop",IF(AD173&gt;='Scoring Guide'!$B$13,"Tier 3 - Monitor","Tier 4 - Deprioritise"))))</f>
        <v>Not scored</v>
      </c>
    </row>
    <row r="174" ht="15.75" customHeight="1">
      <c r="A174" s="9">
        <v>173.0</v>
      </c>
      <c r="B174" s="11" t="s">
        <v>445</v>
      </c>
      <c r="C174" s="13" t="s">
        <v>110</v>
      </c>
      <c r="D174" s="13" t="s">
        <v>110</v>
      </c>
      <c r="E174" s="14">
        <v>1.98E7</v>
      </c>
      <c r="F174" s="9" t="str">
        <f t="shared" si="1"/>
        <v>5-25 m</v>
      </c>
      <c r="G174" s="14">
        <v>3.35E11</v>
      </c>
      <c r="H174" s="14">
        <f t="shared" si="2"/>
        <v>16919</v>
      </c>
      <c r="I174" s="9" t="str">
        <f t="shared" si="3"/>
        <v>High income</v>
      </c>
      <c r="J174" s="9" t="s">
        <v>108</v>
      </c>
      <c r="K174" s="19" t="s">
        <v>226</v>
      </c>
      <c r="L174" s="19" t="s">
        <v>446</v>
      </c>
      <c r="M174" s="9" t="s">
        <v>177</v>
      </c>
      <c r="N174" s="9" t="s">
        <v>90</v>
      </c>
      <c r="O174" s="19" t="s">
        <v>178</v>
      </c>
      <c r="P174" s="9" t="s">
        <v>178</v>
      </c>
      <c r="Q174" s="13" t="s">
        <v>187</v>
      </c>
      <c r="R174" s="13" t="s">
        <v>168</v>
      </c>
      <c r="S174" s="19"/>
      <c r="T174" s="21"/>
      <c r="U174" s="21"/>
      <c r="V174" s="21"/>
      <c r="W174" s="21"/>
      <c r="X174" s="21"/>
      <c r="Y174" s="21" t="str">
        <f t="shared" si="4"/>
        <v>Dev</v>
      </c>
      <c r="Z174" s="9"/>
      <c r="AA174" s="9"/>
      <c r="AB174" s="9">
        <f t="shared" si="5"/>
        <v>1</v>
      </c>
      <c r="AC174" s="9"/>
      <c r="AD174" s="22" t="str">
        <f>IF(COUNT(Z174,AA174,AC174)=0,"",ROUND(Z174*'Scoring Guide'!$B$5+AA174*'Scoring Guide'!$B$6+AB174*'Scoring Guide'!$B$7+AC174*'Scoring Guide'!$B$8,2))</f>
        <v/>
      </c>
      <c r="AE174" s="23" t="str">
        <f>IF(AD174="","Not scored",IF(AD174&gt;='Scoring Guide'!$B$11,"Tier 1 - Priority",IF(AD174&gt;='Scoring Guide'!$B$12,"Tier 2 - Develop",IF(AD174&gt;='Scoring Guide'!$B$13,"Tier 3 - Monitor","Tier 4 - Deprioritise"))))</f>
        <v>Not scored</v>
      </c>
    </row>
    <row r="175" ht="15.75" customHeight="1">
      <c r="A175" s="9">
        <v>174.0</v>
      </c>
      <c r="B175" s="11" t="s">
        <v>447</v>
      </c>
      <c r="C175" s="13" t="s">
        <v>110</v>
      </c>
      <c r="D175" s="13" t="s">
        <v>110</v>
      </c>
      <c r="E175" s="14">
        <v>5.34E7</v>
      </c>
      <c r="F175" s="9" t="str">
        <f t="shared" si="1"/>
        <v>25-100 m</v>
      </c>
      <c r="G175" s="14">
        <v>4.18E11</v>
      </c>
      <c r="H175" s="14">
        <f t="shared" si="2"/>
        <v>7828</v>
      </c>
      <c r="I175" s="9" t="str">
        <f t="shared" si="3"/>
        <v>Upper-middle</v>
      </c>
      <c r="J175" s="9" t="s">
        <v>108</v>
      </c>
      <c r="K175" s="19" t="s">
        <v>448</v>
      </c>
      <c r="L175" s="19" t="s">
        <v>449</v>
      </c>
      <c r="M175" s="9" t="s">
        <v>203</v>
      </c>
      <c r="N175" s="9" t="s">
        <v>90</v>
      </c>
      <c r="O175" s="19" t="s">
        <v>178</v>
      </c>
      <c r="P175" s="9" t="s">
        <v>178</v>
      </c>
      <c r="Q175" s="13" t="s">
        <v>187</v>
      </c>
      <c r="R175" s="13" t="s">
        <v>168</v>
      </c>
      <c r="S175" s="19"/>
      <c r="T175" s="21"/>
      <c r="U175" s="21"/>
      <c r="V175" s="21"/>
      <c r="W175" s="21"/>
      <c r="X175" s="21"/>
      <c r="Y175" s="21" t="str">
        <f t="shared" si="4"/>
        <v>Dev</v>
      </c>
      <c r="Z175" s="9"/>
      <c r="AA175" s="9"/>
      <c r="AB175" s="9">
        <f t="shared" si="5"/>
        <v>3</v>
      </c>
      <c r="AC175" s="9"/>
      <c r="AD175" s="22" t="str">
        <f>IF(COUNT(Z175,AA175,AC175)=0,"",ROUND(Z175*'Scoring Guide'!$B$5+AA175*'Scoring Guide'!$B$6+AB175*'Scoring Guide'!$B$7+AC175*'Scoring Guide'!$B$8,2))</f>
        <v/>
      </c>
      <c r="AE175" s="23" t="str">
        <f>IF(AD175="","Not scored",IF(AD175&gt;='Scoring Guide'!$B$11,"Tier 1 - Priority",IF(AD175&gt;='Scoring Guide'!$B$12,"Tier 2 - Develop",IF(AD175&gt;='Scoring Guide'!$B$13,"Tier 3 - Monitor","Tier 4 - Deprioritise"))))</f>
        <v>Not scored</v>
      </c>
    </row>
    <row r="176" ht="15.75" customHeight="1">
      <c r="A176" s="9">
        <v>175.0</v>
      </c>
      <c r="B176" s="11" t="s">
        <v>450</v>
      </c>
      <c r="C176" s="13" t="s">
        <v>110</v>
      </c>
      <c r="D176" s="13" t="s">
        <v>110</v>
      </c>
      <c r="E176" s="14">
        <v>1.85E7</v>
      </c>
      <c r="F176" s="9" t="str">
        <f t="shared" si="1"/>
        <v>5-25 m</v>
      </c>
      <c r="G176" s="14">
        <v>1.22E11</v>
      </c>
      <c r="H176" s="14">
        <f t="shared" si="2"/>
        <v>6595</v>
      </c>
      <c r="I176" s="9" t="str">
        <f t="shared" si="3"/>
        <v>Upper-middle</v>
      </c>
      <c r="J176" s="9" t="s">
        <v>108</v>
      </c>
      <c r="K176" s="19" t="s">
        <v>451</v>
      </c>
      <c r="L176" s="19" t="s">
        <v>452</v>
      </c>
      <c r="M176" s="9" t="s">
        <v>177</v>
      </c>
      <c r="N176" s="9" t="s">
        <v>90</v>
      </c>
      <c r="O176" s="19" t="s">
        <v>178</v>
      </c>
      <c r="P176" s="9" t="s">
        <v>178</v>
      </c>
      <c r="Q176" s="13" t="s">
        <v>187</v>
      </c>
      <c r="R176" s="13" t="s">
        <v>168</v>
      </c>
      <c r="S176" s="19"/>
      <c r="T176" s="21"/>
      <c r="U176" s="21"/>
      <c r="V176" s="21"/>
      <c r="W176" s="21"/>
      <c r="X176" s="21"/>
      <c r="Y176" s="21" t="str">
        <f t="shared" si="4"/>
        <v>Dev</v>
      </c>
      <c r="Z176" s="9"/>
      <c r="AA176" s="9"/>
      <c r="AB176" s="9">
        <f t="shared" si="5"/>
        <v>1</v>
      </c>
      <c r="AC176" s="9"/>
      <c r="AD176" s="22" t="str">
        <f>IF(COUNT(Z176,AA176,AC176)=0,"",ROUND(Z176*'Scoring Guide'!$B$5+AA176*'Scoring Guide'!$B$6+AB176*'Scoring Guide'!$B$7+AC176*'Scoring Guide'!$B$8,2))</f>
        <v/>
      </c>
      <c r="AE176" s="23" t="str">
        <f>IF(AD176="","Not scored",IF(AD176&gt;='Scoring Guide'!$B$11,"Tier 1 - Priority",IF(AD176&gt;='Scoring Guide'!$B$12,"Tier 2 - Develop",IF(AD176&gt;='Scoring Guide'!$B$13,"Tier 3 - Monitor","Tier 4 - Deprioritise"))))</f>
        <v>Not scored</v>
      </c>
    </row>
    <row r="177" ht="15.75" customHeight="1">
      <c r="A177" s="9">
        <v>176.0</v>
      </c>
      <c r="B177" s="11" t="s">
        <v>453</v>
      </c>
      <c r="C177" s="13" t="s">
        <v>110</v>
      </c>
      <c r="D177" s="13" t="s">
        <v>110</v>
      </c>
      <c r="E177" s="14">
        <v>840000.0</v>
      </c>
      <c r="F177" s="9" t="str">
        <f t="shared" si="1"/>
        <v>Under 1 m</v>
      </c>
      <c r="G177" s="14">
        <v>2.5E10</v>
      </c>
      <c r="H177" s="14">
        <f t="shared" si="2"/>
        <v>29762</v>
      </c>
      <c r="I177" s="9" t="str">
        <f t="shared" si="3"/>
        <v>High income</v>
      </c>
      <c r="J177" s="9" t="s">
        <v>108</v>
      </c>
      <c r="K177" s="19" t="s">
        <v>454</v>
      </c>
      <c r="L177" s="19" t="s">
        <v>455</v>
      </c>
      <c r="M177" s="9" t="s">
        <v>203</v>
      </c>
      <c r="N177" s="9" t="s">
        <v>90</v>
      </c>
      <c r="O177" s="19" t="s">
        <v>178</v>
      </c>
      <c r="P177" s="9" t="s">
        <v>178</v>
      </c>
      <c r="Q177" s="13" t="s">
        <v>371</v>
      </c>
      <c r="R177" s="13" t="s">
        <v>109</v>
      </c>
      <c r="S177" s="19"/>
      <c r="T177" s="21"/>
      <c r="U177" s="21"/>
      <c r="V177" s="21"/>
      <c r="W177" s="21"/>
      <c r="X177" s="21"/>
      <c r="Y177" s="21" t="str">
        <f t="shared" si="4"/>
        <v>Dev</v>
      </c>
      <c r="Z177" s="9"/>
      <c r="AA177" s="9"/>
      <c r="AB177" s="9">
        <f t="shared" si="5"/>
        <v>3</v>
      </c>
      <c r="AC177" s="9"/>
      <c r="AD177" s="22" t="str">
        <f>IF(COUNT(Z177,AA177,AC177)=0,"",ROUND(Z177*'Scoring Guide'!$B$5+AA177*'Scoring Guide'!$B$6+AB177*'Scoring Guide'!$B$7+AC177*'Scoring Guide'!$B$8,2))</f>
        <v/>
      </c>
      <c r="AE177" s="23" t="str">
        <f>IF(AD177="","Not scored",IF(AD177&gt;='Scoring Guide'!$B$11,"Tier 1 - Priority",IF(AD177&gt;='Scoring Guide'!$B$12,"Tier 2 - Develop",IF(AD177&gt;='Scoring Guide'!$B$13,"Tier 3 - Monitor","Tier 4 - Deprioritise"))))</f>
        <v>Not scored</v>
      </c>
    </row>
    <row r="178" ht="15.75" customHeight="1">
      <c r="A178" s="9">
        <v>177.0</v>
      </c>
      <c r="B178" s="11" t="s">
        <v>456</v>
      </c>
      <c r="C178" s="13" t="s">
        <v>110</v>
      </c>
      <c r="D178" s="13" t="s">
        <v>110</v>
      </c>
      <c r="E178" s="14">
        <v>7000000.0</v>
      </c>
      <c r="F178" s="9" t="str">
        <f t="shared" si="1"/>
        <v>5-25 m</v>
      </c>
      <c r="G178" s="14">
        <v>4.5E10</v>
      </c>
      <c r="H178" s="14">
        <f t="shared" si="2"/>
        <v>6429</v>
      </c>
      <c r="I178" s="9" t="str">
        <f t="shared" si="3"/>
        <v>Upper-middle</v>
      </c>
      <c r="J178" s="9" t="s">
        <v>108</v>
      </c>
      <c r="K178" s="19" t="s">
        <v>404</v>
      </c>
      <c r="L178" s="19" t="s">
        <v>457</v>
      </c>
      <c r="M178" s="9" t="s">
        <v>177</v>
      </c>
      <c r="N178" s="9" t="s">
        <v>108</v>
      </c>
      <c r="O178" s="19" t="s">
        <v>178</v>
      </c>
      <c r="P178" s="9" t="s">
        <v>178</v>
      </c>
      <c r="Q178" s="13" t="s">
        <v>438</v>
      </c>
      <c r="R178" s="13" t="s">
        <v>168</v>
      </c>
      <c r="S178" s="19"/>
      <c r="T178" s="21"/>
      <c r="U178" s="21"/>
      <c r="V178" s="21"/>
      <c r="W178" s="21"/>
      <c r="X178" s="21"/>
      <c r="Y178" s="21" t="str">
        <f t="shared" si="4"/>
        <v>Dev</v>
      </c>
      <c r="Z178" s="9"/>
      <c r="AA178" s="9"/>
      <c r="AB178" s="9">
        <f t="shared" si="5"/>
        <v>1</v>
      </c>
      <c r="AC178" s="9"/>
      <c r="AD178" s="22" t="str">
        <f>IF(COUNT(Z178,AA178,AC178)=0,"",ROUND(Z178*'Scoring Guide'!$B$5+AA178*'Scoring Guide'!$B$6+AB178*'Scoring Guide'!$B$7+AC178*'Scoring Guide'!$B$8,2))</f>
        <v/>
      </c>
      <c r="AE178" s="23" t="str">
        <f>IF(AD178="","Not scored",IF(AD178&gt;='Scoring Guide'!$B$11,"Tier 1 - Priority",IF(AD178&gt;='Scoring Guide'!$B$12,"Tier 2 - Develop",IF(AD178&gt;='Scoring Guide'!$B$13,"Tier 3 - Monitor","Tier 4 - Deprioritise"))))</f>
        <v>Not scored</v>
      </c>
    </row>
    <row r="179" ht="15.75" customHeight="1">
      <c r="A179" s="9">
        <v>178.0</v>
      </c>
      <c r="B179" s="11" t="s">
        <v>458</v>
      </c>
      <c r="C179" s="13" t="s">
        <v>110</v>
      </c>
      <c r="D179" s="13" t="s">
        <v>110</v>
      </c>
      <c r="E179" s="14">
        <v>3.46E7</v>
      </c>
      <c r="F179" s="9" t="str">
        <f t="shared" si="1"/>
        <v>25-100 m</v>
      </c>
      <c r="G179" s="14">
        <v>2.83E11</v>
      </c>
      <c r="H179" s="14">
        <f t="shared" si="2"/>
        <v>8179</v>
      </c>
      <c r="I179" s="9" t="str">
        <f t="shared" si="3"/>
        <v>Upper-middle</v>
      </c>
      <c r="J179" s="9" t="s">
        <v>108</v>
      </c>
      <c r="K179" s="19" t="s">
        <v>459</v>
      </c>
      <c r="L179" s="19" t="s">
        <v>460</v>
      </c>
      <c r="M179" s="9" t="s">
        <v>177</v>
      </c>
      <c r="N179" s="9" t="s">
        <v>90</v>
      </c>
      <c r="O179" s="19" t="s">
        <v>178</v>
      </c>
      <c r="P179" s="9" t="s">
        <v>178</v>
      </c>
      <c r="Q179" s="13" t="s">
        <v>187</v>
      </c>
      <c r="R179" s="13" t="s">
        <v>168</v>
      </c>
      <c r="S179" s="19"/>
      <c r="T179" s="21"/>
      <c r="U179" s="21"/>
      <c r="V179" s="21"/>
      <c r="W179" s="21"/>
      <c r="X179" s="21"/>
      <c r="Y179" s="21" t="str">
        <f t="shared" si="4"/>
        <v>Dev</v>
      </c>
      <c r="Z179" s="9"/>
      <c r="AA179" s="9"/>
      <c r="AB179" s="9">
        <f t="shared" si="5"/>
        <v>1</v>
      </c>
      <c r="AC179" s="9"/>
      <c r="AD179" s="22" t="str">
        <f>IF(COUNT(Z179,AA179,AC179)=0,"",ROUND(Z179*'Scoring Guide'!$B$5+AA179*'Scoring Guide'!$B$6+AB179*'Scoring Guide'!$B$7+AC179*'Scoring Guide'!$B$8,2))</f>
        <v/>
      </c>
      <c r="AE179" s="23" t="str">
        <f>IF(AD179="","Not scored",IF(AD179&gt;='Scoring Guide'!$B$11,"Tier 1 - Priority",IF(AD179&gt;='Scoring Guide'!$B$12,"Tier 2 - Develop",IF(AD179&gt;='Scoring Guide'!$B$13,"Tier 3 - Monitor","Tier 4 - Deprioritise"))))</f>
        <v>Not scored</v>
      </c>
    </row>
    <row r="180" ht="15.75" customHeight="1">
      <c r="A180" s="9">
        <v>179.0</v>
      </c>
      <c r="B180" s="11" t="s">
        <v>461</v>
      </c>
      <c r="C180" s="13" t="s">
        <v>110</v>
      </c>
      <c r="D180" s="13" t="s">
        <v>110</v>
      </c>
      <c r="E180" s="14">
        <v>640000.0</v>
      </c>
      <c r="F180" s="9" t="str">
        <f t="shared" si="1"/>
        <v>Under 1 m</v>
      </c>
      <c r="G180" s="14">
        <v>4.4E9</v>
      </c>
      <c r="H180" s="14">
        <f t="shared" si="2"/>
        <v>6875</v>
      </c>
      <c r="I180" s="9" t="str">
        <f t="shared" si="3"/>
        <v>Upper-middle</v>
      </c>
      <c r="J180" s="9" t="s">
        <v>108</v>
      </c>
      <c r="K180" s="19" t="s">
        <v>462</v>
      </c>
      <c r="L180" s="19" t="s">
        <v>463</v>
      </c>
      <c r="M180" s="9" t="s">
        <v>203</v>
      </c>
      <c r="N180" s="9" t="s">
        <v>90</v>
      </c>
      <c r="O180" s="19" t="s">
        <v>178</v>
      </c>
      <c r="P180" s="9" t="s">
        <v>178</v>
      </c>
      <c r="Q180" s="13" t="s">
        <v>371</v>
      </c>
      <c r="R180" s="13" t="s">
        <v>299</v>
      </c>
      <c r="S180" s="19"/>
      <c r="T180" s="21"/>
      <c r="U180" s="21"/>
      <c r="V180" s="21"/>
      <c r="W180" s="21"/>
      <c r="X180" s="21"/>
      <c r="Y180" s="21" t="str">
        <f t="shared" si="4"/>
        <v>Dev</v>
      </c>
      <c r="Z180" s="9"/>
      <c r="AA180" s="9"/>
      <c r="AB180" s="9">
        <f t="shared" si="5"/>
        <v>3</v>
      </c>
      <c r="AC180" s="9"/>
      <c r="AD180" s="22" t="str">
        <f>IF(COUNT(Z180,AA180,AC180)=0,"",ROUND(Z180*'Scoring Guide'!$B$5+AA180*'Scoring Guide'!$B$6+AB180*'Scoring Guide'!$B$7+AC180*'Scoring Guide'!$B$8,2))</f>
        <v/>
      </c>
      <c r="AE180" s="23" t="str">
        <f>IF(AD180="","Not scored",IF(AD180&gt;='Scoring Guide'!$B$11,"Tier 1 - Priority",IF(AD180&gt;='Scoring Guide'!$B$12,"Tier 2 - Develop",IF(AD180&gt;='Scoring Guide'!$B$13,"Tier 3 - Monitor","Tier 4 - Deprioritise"))))</f>
        <v>Not scored</v>
      </c>
    </row>
    <row r="181" ht="15.75" customHeight="1">
      <c r="A181" s="9">
        <v>180.0</v>
      </c>
      <c r="B181" s="11" t="s">
        <v>464</v>
      </c>
      <c r="C181" s="13" t="s">
        <v>110</v>
      </c>
      <c r="D181" s="13" t="s">
        <v>110</v>
      </c>
      <c r="E181" s="14">
        <v>3400000.0</v>
      </c>
      <c r="F181" s="9" t="str">
        <f t="shared" si="1"/>
        <v>1-5 m</v>
      </c>
      <c r="G181" s="14">
        <v>8.2E10</v>
      </c>
      <c r="H181" s="14">
        <f t="shared" si="2"/>
        <v>24118</v>
      </c>
      <c r="I181" s="9" t="str">
        <f t="shared" si="3"/>
        <v>High income</v>
      </c>
      <c r="J181" s="9" t="s">
        <v>108</v>
      </c>
      <c r="K181" s="19" t="s">
        <v>465</v>
      </c>
      <c r="L181" s="19" t="s">
        <v>466</v>
      </c>
      <c r="M181" s="9" t="s">
        <v>177</v>
      </c>
      <c r="N181" s="9" t="s">
        <v>90</v>
      </c>
      <c r="O181" s="19" t="s">
        <v>178</v>
      </c>
      <c r="P181" s="9" t="s">
        <v>178</v>
      </c>
      <c r="Q181" s="13" t="s">
        <v>438</v>
      </c>
      <c r="R181" s="13" t="s">
        <v>168</v>
      </c>
      <c r="S181" s="19"/>
      <c r="T181" s="21"/>
      <c r="U181" s="21"/>
      <c r="V181" s="21"/>
      <c r="W181" s="21"/>
      <c r="X181" s="21"/>
      <c r="Y181" s="21" t="str">
        <f t="shared" si="4"/>
        <v>Dev</v>
      </c>
      <c r="Z181" s="9"/>
      <c r="AA181" s="9"/>
      <c r="AB181" s="9">
        <f t="shared" si="5"/>
        <v>1</v>
      </c>
      <c r="AC181" s="9"/>
      <c r="AD181" s="22" t="str">
        <f>IF(COUNT(Z181,AA181,AC181)=0,"",ROUND(Z181*'Scoring Guide'!$B$5+AA181*'Scoring Guide'!$B$6+AB181*'Scoring Guide'!$B$7+AC181*'Scoring Guide'!$B$8,2))</f>
        <v/>
      </c>
      <c r="AE181" s="23" t="str">
        <f>IF(AD181="","Not scored",IF(AD181&gt;='Scoring Guide'!$B$11,"Tier 1 - Priority",IF(AD181&gt;='Scoring Guide'!$B$12,"Tier 2 - Develop",IF(AD181&gt;='Scoring Guide'!$B$13,"Tier 3 - Monitor","Tier 4 - Deprioritise"))))</f>
        <v>Not scored</v>
      </c>
    </row>
    <row r="182" ht="15.75" customHeight="1">
      <c r="A182" s="9">
        <v>181.0</v>
      </c>
      <c r="B182" s="11" t="s">
        <v>467</v>
      </c>
      <c r="C182" s="13" t="s">
        <v>110</v>
      </c>
      <c r="D182" s="13" t="s">
        <v>110</v>
      </c>
      <c r="E182" s="14">
        <v>2.85E7</v>
      </c>
      <c r="F182" s="9" t="str">
        <f t="shared" si="1"/>
        <v>25-100 m</v>
      </c>
      <c r="G182" s="14">
        <v>1.06E11</v>
      </c>
      <c r="H182" s="14">
        <f t="shared" si="2"/>
        <v>3719</v>
      </c>
      <c r="I182" s="9" t="str">
        <f t="shared" si="3"/>
        <v>Lower-middle</v>
      </c>
      <c r="J182" s="9" t="s">
        <v>108</v>
      </c>
      <c r="K182" s="19" t="s">
        <v>468</v>
      </c>
      <c r="L182" s="19" t="s">
        <v>469</v>
      </c>
      <c r="M182" s="9" t="s">
        <v>203</v>
      </c>
      <c r="N182" s="9" t="s">
        <v>90</v>
      </c>
      <c r="O182" s="19" t="s">
        <v>178</v>
      </c>
      <c r="P182" s="9" t="s">
        <v>178</v>
      </c>
      <c r="Q182" s="13" t="s">
        <v>187</v>
      </c>
      <c r="R182" s="13" t="s">
        <v>168</v>
      </c>
      <c r="S182" s="19"/>
      <c r="T182" s="21"/>
      <c r="U182" s="21"/>
      <c r="V182" s="21"/>
      <c r="W182" s="21"/>
      <c r="X182" s="21"/>
      <c r="Y182" s="21" t="str">
        <f t="shared" si="4"/>
        <v>Dev</v>
      </c>
      <c r="Z182" s="9"/>
      <c r="AA182" s="9"/>
      <c r="AB182" s="9">
        <f t="shared" si="5"/>
        <v>3</v>
      </c>
      <c r="AC182" s="9"/>
      <c r="AD182" s="22" t="str">
        <f>IF(COUNT(Z182,AA182,AC182)=0,"",ROUND(Z182*'Scoring Guide'!$B$5+AA182*'Scoring Guide'!$B$6+AB182*'Scoring Guide'!$B$7+AC182*'Scoring Guide'!$B$8,2))</f>
        <v/>
      </c>
      <c r="AE182" s="23" t="str">
        <f>IF(AD182="","Not scored",IF(AD182&gt;='Scoring Guide'!$B$11,"Tier 1 - Priority",IF(AD182&gt;='Scoring Guide'!$B$12,"Tier 2 - Develop",IF(AD182&gt;='Scoring Guide'!$B$13,"Tier 3 - Monitor","Tier 4 - Deprioritise"))))</f>
        <v>Not scored</v>
      </c>
    </row>
    <row r="183" ht="15.75" customHeight="1">
      <c r="A183" s="9">
        <v>182.0</v>
      </c>
      <c r="B183" s="11" t="s">
        <v>470</v>
      </c>
      <c r="C183" s="13" t="s">
        <v>116</v>
      </c>
      <c r="D183" s="13" t="s">
        <v>471</v>
      </c>
      <c r="E183" s="14">
        <v>2.7E7</v>
      </c>
      <c r="F183" s="9" t="str">
        <f t="shared" si="1"/>
        <v>25-100 m</v>
      </c>
      <c r="G183" s="14">
        <v>1.8E12</v>
      </c>
      <c r="H183" s="14">
        <f t="shared" si="2"/>
        <v>66667</v>
      </c>
      <c r="I183" s="9" t="str">
        <f t="shared" si="3"/>
        <v>High income</v>
      </c>
      <c r="J183" s="9" t="s">
        <v>108</v>
      </c>
      <c r="K183" s="19" t="s">
        <v>472</v>
      </c>
      <c r="L183" s="19" t="s">
        <v>473</v>
      </c>
      <c r="M183" s="9" t="s">
        <v>203</v>
      </c>
      <c r="N183" s="9" t="s">
        <v>90</v>
      </c>
      <c r="O183" s="19" t="s">
        <v>178</v>
      </c>
      <c r="P183" s="9" t="s">
        <v>178</v>
      </c>
      <c r="Q183" s="13" t="s">
        <v>187</v>
      </c>
      <c r="R183" s="13" t="s">
        <v>109</v>
      </c>
      <c r="S183" s="19"/>
      <c r="T183" s="21"/>
      <c r="U183" s="21"/>
      <c r="V183" s="21"/>
      <c r="W183" s="21"/>
      <c r="X183" s="21"/>
      <c r="Y183" s="21" t="str">
        <f t="shared" si="4"/>
        <v>Dev</v>
      </c>
      <c r="Z183" s="9"/>
      <c r="AA183" s="9"/>
      <c r="AB183" s="9">
        <f t="shared" si="5"/>
        <v>3</v>
      </c>
      <c r="AC183" s="9"/>
      <c r="AD183" s="22" t="str">
        <f>IF(COUNT(Z183,AA183,AC183)=0,"",ROUND(Z183*'Scoring Guide'!$B$5+AA183*'Scoring Guide'!$B$6+AB183*'Scoring Guide'!$B$7+AC183*'Scoring Guide'!$B$8,2))</f>
        <v/>
      </c>
      <c r="AE183" s="23" t="str">
        <f>IF(AD183="","Not scored",IF(AD183&gt;='Scoring Guide'!$B$11,"Tier 1 - Priority",IF(AD183&gt;='Scoring Guide'!$B$12,"Tier 2 - Develop",IF(AD183&gt;='Scoring Guide'!$B$13,"Tier 3 - Monitor","Tier 4 - Deprioritise"))))</f>
        <v>Not scored</v>
      </c>
    </row>
    <row r="184" ht="15.75" hidden="1" customHeight="1">
      <c r="A184" s="9">
        <v>183.0</v>
      </c>
      <c r="B184" s="13" t="s">
        <v>474</v>
      </c>
      <c r="C184" s="13" t="s">
        <v>116</v>
      </c>
      <c r="D184" s="13" t="s">
        <v>475</v>
      </c>
      <c r="E184" s="14">
        <v>930000.0</v>
      </c>
      <c r="F184" s="9" t="str">
        <f t="shared" si="1"/>
        <v>Under 1 m</v>
      </c>
      <c r="G184" s="14">
        <v>5.7E9</v>
      </c>
      <c r="H184" s="14">
        <f t="shared" si="2"/>
        <v>6129</v>
      </c>
      <c r="I184" s="9" t="str">
        <f t="shared" si="3"/>
        <v>Upper-middle</v>
      </c>
      <c r="J184" s="9" t="s">
        <v>90</v>
      </c>
      <c r="K184" s="19" t="s">
        <v>175</v>
      </c>
      <c r="L184" s="19" t="s">
        <v>176</v>
      </c>
      <c r="M184" s="9" t="s">
        <v>177</v>
      </c>
      <c r="N184" s="9" t="s">
        <v>90</v>
      </c>
      <c r="O184" s="19" t="s">
        <v>178</v>
      </c>
      <c r="P184" s="9" t="s">
        <v>178</v>
      </c>
      <c r="Q184" s="13" t="s">
        <v>187</v>
      </c>
      <c r="R184" s="13" t="s">
        <v>109</v>
      </c>
      <c r="S184" s="19"/>
      <c r="T184" s="21"/>
      <c r="U184" s="21"/>
      <c r="V184" s="21"/>
      <c r="W184" s="21"/>
      <c r="X184" s="21"/>
      <c r="Y184" s="21" t="str">
        <f t="shared" si="4"/>
        <v>Dev</v>
      </c>
      <c r="Z184" s="9"/>
      <c r="AA184" s="9"/>
      <c r="AB184" s="9">
        <f t="shared" si="5"/>
        <v>1</v>
      </c>
      <c r="AC184" s="9"/>
      <c r="AD184" s="22" t="str">
        <f>IF(COUNT(Z184,AA184,AC184)=0,"",ROUND(Z184*'Scoring Guide'!$B$5+AA184*'Scoring Guide'!$B$6+AB184*'Scoring Guide'!$B$7+AC184*'Scoring Guide'!$B$8,2))</f>
        <v/>
      </c>
      <c r="AE184" s="23" t="str">
        <f>IF(AD184="","Not scored",IF(AD184&gt;='Scoring Guide'!$B$11,"Tier 1 - Priority",IF(AD184&gt;='Scoring Guide'!$B$12,"Tier 2 - Develop",IF(AD184&gt;='Scoring Guide'!$B$13,"Tier 3 - Monitor","Tier 4 - Deprioritise"))))</f>
        <v>Not scored</v>
      </c>
    </row>
    <row r="185" ht="15.75" hidden="1" customHeight="1">
      <c r="A185" s="9">
        <v>184.0</v>
      </c>
      <c r="B185" s="13" t="s">
        <v>476</v>
      </c>
      <c r="C185" s="13" t="s">
        <v>116</v>
      </c>
      <c r="D185" s="13" t="s">
        <v>477</v>
      </c>
      <c r="E185" s="14">
        <v>135000.0</v>
      </c>
      <c r="F185" s="9" t="str">
        <f t="shared" si="1"/>
        <v>Under 1 m</v>
      </c>
      <c r="G185" s="14">
        <v>3.0E8</v>
      </c>
      <c r="H185" s="14">
        <f t="shared" si="2"/>
        <v>2222</v>
      </c>
      <c r="I185" s="9" t="str">
        <f t="shared" si="3"/>
        <v>Lower-middle</v>
      </c>
      <c r="J185" s="9" t="s">
        <v>90</v>
      </c>
      <c r="K185" s="19" t="s">
        <v>175</v>
      </c>
      <c r="L185" s="19" t="s">
        <v>176</v>
      </c>
      <c r="M185" s="9" t="s">
        <v>177</v>
      </c>
      <c r="N185" s="9" t="s">
        <v>90</v>
      </c>
      <c r="O185" s="19" t="s">
        <v>178</v>
      </c>
      <c r="P185" s="9" t="s">
        <v>178</v>
      </c>
      <c r="Q185" s="13" t="s">
        <v>187</v>
      </c>
      <c r="R185" s="13" t="s">
        <v>109</v>
      </c>
      <c r="S185" s="19"/>
      <c r="T185" s="21"/>
      <c r="U185" s="21"/>
      <c r="V185" s="21"/>
      <c r="W185" s="21"/>
      <c r="X185" s="21"/>
      <c r="Y185" s="21" t="str">
        <f t="shared" si="4"/>
        <v>Dev</v>
      </c>
      <c r="Z185" s="9"/>
      <c r="AA185" s="9"/>
      <c r="AB185" s="9">
        <f t="shared" si="5"/>
        <v>1</v>
      </c>
      <c r="AC185" s="9"/>
      <c r="AD185" s="22" t="str">
        <f>IF(COUNT(Z185,AA185,AC185)=0,"",ROUND(Z185*'Scoring Guide'!$B$5+AA185*'Scoring Guide'!$B$6+AB185*'Scoring Guide'!$B$7+AC185*'Scoring Guide'!$B$8,2))</f>
        <v/>
      </c>
      <c r="AE185" s="23" t="str">
        <f>IF(AD185="","Not scored",IF(AD185&gt;='Scoring Guide'!$B$11,"Tier 1 - Priority",IF(AD185&gt;='Scoring Guide'!$B$12,"Tier 2 - Develop",IF(AD185&gt;='Scoring Guide'!$B$13,"Tier 3 - Monitor","Tier 4 - Deprioritise"))))</f>
        <v>Not scored</v>
      </c>
    </row>
    <row r="186" ht="15.75" hidden="1" customHeight="1">
      <c r="A186" s="9">
        <v>185.0</v>
      </c>
      <c r="B186" s="13" t="s">
        <v>478</v>
      </c>
      <c r="C186" s="13" t="s">
        <v>116</v>
      </c>
      <c r="D186" s="13" t="s">
        <v>477</v>
      </c>
      <c r="E186" s="14">
        <v>38000.0</v>
      </c>
      <c r="F186" s="9" t="str">
        <f t="shared" si="1"/>
        <v>Under 1 m</v>
      </c>
      <c r="G186" s="14">
        <v>3.0E8</v>
      </c>
      <c r="H186" s="14">
        <f t="shared" si="2"/>
        <v>7895</v>
      </c>
      <c r="I186" s="9" t="str">
        <f t="shared" si="3"/>
        <v>Upper-middle</v>
      </c>
      <c r="J186" s="9" t="s">
        <v>90</v>
      </c>
      <c r="K186" s="19" t="s">
        <v>175</v>
      </c>
      <c r="L186" s="19" t="s">
        <v>176</v>
      </c>
      <c r="M186" s="9" t="s">
        <v>177</v>
      </c>
      <c r="N186" s="9" t="s">
        <v>90</v>
      </c>
      <c r="O186" s="19" t="s">
        <v>178</v>
      </c>
      <c r="P186" s="9" t="s">
        <v>178</v>
      </c>
      <c r="Q186" s="13" t="s">
        <v>187</v>
      </c>
      <c r="R186" s="13" t="s">
        <v>109</v>
      </c>
      <c r="S186" s="19"/>
      <c r="T186" s="21"/>
      <c r="U186" s="21"/>
      <c r="V186" s="21"/>
      <c r="W186" s="21"/>
      <c r="X186" s="21"/>
      <c r="Y186" s="21" t="str">
        <f t="shared" si="4"/>
        <v>Dev</v>
      </c>
      <c r="Z186" s="9"/>
      <c r="AA186" s="9"/>
      <c r="AB186" s="9">
        <f t="shared" si="5"/>
        <v>1</v>
      </c>
      <c r="AC186" s="9"/>
      <c r="AD186" s="22" t="str">
        <f>IF(COUNT(Z186,AA186,AC186)=0,"",ROUND(Z186*'Scoring Guide'!$B$5+AA186*'Scoring Guide'!$B$6+AB186*'Scoring Guide'!$B$7+AC186*'Scoring Guide'!$B$8,2))</f>
        <v/>
      </c>
      <c r="AE186" s="23" t="str">
        <f>IF(AD186="","Not scored",IF(AD186&gt;='Scoring Guide'!$B$11,"Tier 1 - Priority",IF(AD186&gt;='Scoring Guide'!$B$12,"Tier 2 - Develop",IF(AD186&gt;='Scoring Guide'!$B$13,"Tier 3 - Monitor","Tier 4 - Deprioritise"))))</f>
        <v>Not scored</v>
      </c>
    </row>
    <row r="187" ht="15.75" hidden="1" customHeight="1">
      <c r="A187" s="9">
        <v>186.0</v>
      </c>
      <c r="B187" s="13" t="s">
        <v>479</v>
      </c>
      <c r="C187" s="13" t="s">
        <v>116</v>
      </c>
      <c r="D187" s="13" t="s">
        <v>477</v>
      </c>
      <c r="E187" s="14">
        <v>115000.0</v>
      </c>
      <c r="F187" s="9" t="str">
        <f t="shared" si="1"/>
        <v>Under 1 m</v>
      </c>
      <c r="G187" s="14">
        <v>4.6E8</v>
      </c>
      <c r="H187" s="14">
        <f t="shared" si="2"/>
        <v>4000</v>
      </c>
      <c r="I187" s="9" t="str">
        <f t="shared" si="3"/>
        <v>Lower-middle</v>
      </c>
      <c r="J187" s="9" t="s">
        <v>90</v>
      </c>
      <c r="K187" s="19" t="s">
        <v>175</v>
      </c>
      <c r="L187" s="19" t="s">
        <v>176</v>
      </c>
      <c r="M187" s="9" t="s">
        <v>177</v>
      </c>
      <c r="N187" s="9" t="s">
        <v>90</v>
      </c>
      <c r="O187" s="19" t="s">
        <v>178</v>
      </c>
      <c r="P187" s="9" t="s">
        <v>178</v>
      </c>
      <c r="Q187" s="13" t="s">
        <v>187</v>
      </c>
      <c r="R187" s="13" t="s">
        <v>109</v>
      </c>
      <c r="S187" s="19"/>
      <c r="T187" s="21"/>
      <c r="U187" s="21"/>
      <c r="V187" s="21"/>
      <c r="W187" s="21"/>
      <c r="X187" s="21"/>
      <c r="Y187" s="21" t="str">
        <f t="shared" si="4"/>
        <v>Dev</v>
      </c>
      <c r="Z187" s="9"/>
      <c r="AA187" s="9"/>
      <c r="AB187" s="9">
        <f t="shared" si="5"/>
        <v>1</v>
      </c>
      <c r="AC187" s="9"/>
      <c r="AD187" s="22" t="str">
        <f>IF(COUNT(Z187,AA187,AC187)=0,"",ROUND(Z187*'Scoring Guide'!$B$5+AA187*'Scoring Guide'!$B$6+AB187*'Scoring Guide'!$B$7+AC187*'Scoring Guide'!$B$8,2))</f>
        <v/>
      </c>
      <c r="AE187" s="23" t="str">
        <f>IF(AD187="","Not scored",IF(AD187&gt;='Scoring Guide'!$B$11,"Tier 1 - Priority",IF(AD187&gt;='Scoring Guide'!$B$12,"Tier 2 - Develop",IF(AD187&gt;='Scoring Guide'!$B$13,"Tier 3 - Monitor","Tier 4 - Deprioritise"))))</f>
        <v>Not scored</v>
      </c>
    </row>
    <row r="188" ht="15.75" hidden="1" customHeight="1">
      <c r="A188" s="9">
        <v>187.0</v>
      </c>
      <c r="B188" s="13" t="s">
        <v>480</v>
      </c>
      <c r="C188" s="13" t="s">
        <v>116</v>
      </c>
      <c r="D188" s="13" t="s">
        <v>477</v>
      </c>
      <c r="E188" s="14">
        <v>12000.0</v>
      </c>
      <c r="F188" s="9" t="str">
        <f t="shared" si="1"/>
        <v>Under 1 m</v>
      </c>
      <c r="G188" s="14">
        <v>1.6E8</v>
      </c>
      <c r="H188" s="14">
        <f t="shared" si="2"/>
        <v>13333</v>
      </c>
      <c r="I188" s="9" t="str">
        <f t="shared" si="3"/>
        <v>Upper-middle</v>
      </c>
      <c r="J188" s="9" t="s">
        <v>90</v>
      </c>
      <c r="K188" s="19" t="s">
        <v>175</v>
      </c>
      <c r="L188" s="19" t="s">
        <v>176</v>
      </c>
      <c r="M188" s="9" t="s">
        <v>177</v>
      </c>
      <c r="N188" s="9" t="s">
        <v>90</v>
      </c>
      <c r="O188" s="19" t="s">
        <v>178</v>
      </c>
      <c r="P188" s="9" t="s">
        <v>178</v>
      </c>
      <c r="Q188" s="13" t="s">
        <v>187</v>
      </c>
      <c r="R188" s="13" t="s">
        <v>109</v>
      </c>
      <c r="S188" s="19"/>
      <c r="T188" s="21"/>
      <c r="U188" s="21"/>
      <c r="V188" s="21"/>
      <c r="W188" s="21"/>
      <c r="X188" s="21"/>
      <c r="Y188" s="21" t="str">
        <f t="shared" si="4"/>
        <v>Dev</v>
      </c>
      <c r="Z188" s="9"/>
      <c r="AA188" s="9"/>
      <c r="AB188" s="9">
        <f t="shared" si="5"/>
        <v>1</v>
      </c>
      <c r="AC188" s="9"/>
      <c r="AD188" s="22" t="str">
        <f>IF(COUNT(Z188,AA188,AC188)=0,"",ROUND(Z188*'Scoring Guide'!$B$5+AA188*'Scoring Guide'!$B$6+AB188*'Scoring Guide'!$B$7+AC188*'Scoring Guide'!$B$8,2))</f>
        <v/>
      </c>
      <c r="AE188" s="23" t="str">
        <f>IF(AD188="","Not scored",IF(AD188&gt;='Scoring Guide'!$B$11,"Tier 1 - Priority",IF(AD188&gt;='Scoring Guide'!$B$12,"Tier 2 - Develop",IF(AD188&gt;='Scoring Guide'!$B$13,"Tier 3 - Monitor","Tier 4 - Deprioritise"))))</f>
        <v>Not scored</v>
      </c>
    </row>
    <row r="189" ht="15.75" customHeight="1">
      <c r="A189" s="9">
        <v>188.0</v>
      </c>
      <c r="B189" s="11" t="s">
        <v>481</v>
      </c>
      <c r="C189" s="13" t="s">
        <v>116</v>
      </c>
      <c r="D189" s="13" t="s">
        <v>471</v>
      </c>
      <c r="E189" s="14">
        <v>5300000.0</v>
      </c>
      <c r="F189" s="9" t="str">
        <f t="shared" si="1"/>
        <v>5-25 m</v>
      </c>
      <c r="G189" s="14">
        <v>2.53E11</v>
      </c>
      <c r="H189" s="14">
        <f t="shared" si="2"/>
        <v>47736</v>
      </c>
      <c r="I189" s="9" t="str">
        <f t="shared" si="3"/>
        <v>High income</v>
      </c>
      <c r="J189" s="9" t="s">
        <v>108</v>
      </c>
      <c r="K189" s="19" t="s">
        <v>241</v>
      </c>
      <c r="L189" s="19" t="s">
        <v>317</v>
      </c>
      <c r="M189" s="9" t="s">
        <v>177</v>
      </c>
      <c r="N189" s="9" t="s">
        <v>90</v>
      </c>
      <c r="O189" s="19" t="s">
        <v>178</v>
      </c>
      <c r="P189" s="9" t="s">
        <v>178</v>
      </c>
      <c r="Q189" s="13" t="s">
        <v>187</v>
      </c>
      <c r="R189" s="13" t="s">
        <v>109</v>
      </c>
      <c r="S189" s="19"/>
      <c r="T189" s="21"/>
      <c r="U189" s="21"/>
      <c r="V189" s="21"/>
      <c r="W189" s="21"/>
      <c r="X189" s="21"/>
      <c r="Y189" s="21" t="str">
        <f t="shared" si="4"/>
        <v>Dev</v>
      </c>
      <c r="Z189" s="9"/>
      <c r="AA189" s="9"/>
      <c r="AB189" s="9">
        <f t="shared" si="5"/>
        <v>1</v>
      </c>
      <c r="AC189" s="9"/>
      <c r="AD189" s="22" t="str">
        <f>IF(COUNT(Z189,AA189,AC189)=0,"",ROUND(Z189*'Scoring Guide'!$B$5+AA189*'Scoring Guide'!$B$6+AB189*'Scoring Guide'!$B$7+AC189*'Scoring Guide'!$B$8,2))</f>
        <v/>
      </c>
      <c r="AE189" s="23" t="str">
        <f>IF(AD189="","Not scored",IF(AD189&gt;='Scoring Guide'!$B$11,"Tier 1 - Priority",IF(AD189&gt;='Scoring Guide'!$B$12,"Tier 2 - Develop",IF(AD189&gt;='Scoring Guide'!$B$13,"Tier 3 - Monitor","Tier 4 - Deprioritise"))))</f>
        <v>Not scored</v>
      </c>
    </row>
    <row r="190" ht="15.75" hidden="1" customHeight="1">
      <c r="A190" s="9">
        <v>189.0</v>
      </c>
      <c r="B190" s="13" t="s">
        <v>482</v>
      </c>
      <c r="C190" s="13" t="s">
        <v>116</v>
      </c>
      <c r="D190" s="13" t="s">
        <v>477</v>
      </c>
      <c r="E190" s="14">
        <v>18000.0</v>
      </c>
      <c r="F190" s="9" t="str">
        <f t="shared" si="1"/>
        <v>Under 1 m</v>
      </c>
      <c r="G190" s="14">
        <v>3.1E8</v>
      </c>
      <c r="H190" s="14">
        <f t="shared" si="2"/>
        <v>17222</v>
      </c>
      <c r="I190" s="9" t="str">
        <f t="shared" si="3"/>
        <v>High income</v>
      </c>
      <c r="J190" s="9" t="s">
        <v>90</v>
      </c>
      <c r="K190" s="19" t="s">
        <v>175</v>
      </c>
      <c r="L190" s="19" t="s">
        <v>176</v>
      </c>
      <c r="M190" s="9" t="s">
        <v>177</v>
      </c>
      <c r="N190" s="9" t="s">
        <v>90</v>
      </c>
      <c r="O190" s="19" t="s">
        <v>178</v>
      </c>
      <c r="P190" s="9" t="s">
        <v>178</v>
      </c>
      <c r="Q190" s="13" t="s">
        <v>187</v>
      </c>
      <c r="R190" s="13" t="s">
        <v>109</v>
      </c>
      <c r="S190" s="19"/>
      <c r="T190" s="21"/>
      <c r="U190" s="21"/>
      <c r="V190" s="21"/>
      <c r="W190" s="21"/>
      <c r="X190" s="21"/>
      <c r="Y190" s="21" t="str">
        <f t="shared" si="4"/>
        <v>Dev</v>
      </c>
      <c r="Z190" s="9"/>
      <c r="AA190" s="9"/>
      <c r="AB190" s="9">
        <f t="shared" si="5"/>
        <v>1</v>
      </c>
      <c r="AC190" s="9"/>
      <c r="AD190" s="22" t="str">
        <f>IF(COUNT(Z190,AA190,AC190)=0,"",ROUND(Z190*'Scoring Guide'!$B$5+AA190*'Scoring Guide'!$B$6+AB190*'Scoring Guide'!$B$7+AC190*'Scoring Guide'!$B$8,2))</f>
        <v/>
      </c>
      <c r="AE190" s="23" t="str">
        <f>IF(AD190="","Not scored",IF(AD190&gt;='Scoring Guide'!$B$11,"Tier 1 - Priority",IF(AD190&gt;='Scoring Guide'!$B$12,"Tier 2 - Develop",IF(AD190&gt;='Scoring Guide'!$B$13,"Tier 3 - Monitor","Tier 4 - Deprioritise"))))</f>
        <v>Not scored</v>
      </c>
    </row>
    <row r="191" ht="15.75" hidden="1" customHeight="1">
      <c r="A191" s="9">
        <v>190.0</v>
      </c>
      <c r="B191" s="13" t="s">
        <v>483</v>
      </c>
      <c r="C191" s="13" t="s">
        <v>116</v>
      </c>
      <c r="D191" s="13" t="s">
        <v>475</v>
      </c>
      <c r="E191" s="14">
        <v>1.09E7</v>
      </c>
      <c r="F191" s="9" t="str">
        <f t="shared" si="1"/>
        <v>5-25 m</v>
      </c>
      <c r="G191" s="14">
        <v>3.4E10</v>
      </c>
      <c r="H191" s="14">
        <f t="shared" si="2"/>
        <v>3119</v>
      </c>
      <c r="I191" s="9" t="str">
        <f t="shared" si="3"/>
        <v>Lower-middle</v>
      </c>
      <c r="J191" s="9" t="s">
        <v>90</v>
      </c>
      <c r="K191" s="19" t="s">
        <v>175</v>
      </c>
      <c r="L191" s="19" t="s">
        <v>176</v>
      </c>
      <c r="M191" s="9" t="s">
        <v>177</v>
      </c>
      <c r="N191" s="9" t="s">
        <v>90</v>
      </c>
      <c r="O191" s="19" t="s">
        <v>178</v>
      </c>
      <c r="P191" s="9" t="s">
        <v>178</v>
      </c>
      <c r="Q191" s="13" t="s">
        <v>187</v>
      </c>
      <c r="R191" s="13" t="s">
        <v>109</v>
      </c>
      <c r="S191" s="19"/>
      <c r="T191" s="21"/>
      <c r="U191" s="21"/>
      <c r="V191" s="21"/>
      <c r="W191" s="21"/>
      <c r="X191" s="21"/>
      <c r="Y191" s="21" t="str">
        <f t="shared" si="4"/>
        <v>Dev</v>
      </c>
      <c r="Z191" s="9"/>
      <c r="AA191" s="9"/>
      <c r="AB191" s="9">
        <f t="shared" si="5"/>
        <v>1</v>
      </c>
      <c r="AC191" s="9"/>
      <c r="AD191" s="22" t="str">
        <f>IF(COUNT(Z191,AA191,AC191)=0,"",ROUND(Z191*'Scoring Guide'!$B$5+AA191*'Scoring Guide'!$B$6+AB191*'Scoring Guide'!$B$7+AC191*'Scoring Guide'!$B$8,2))</f>
        <v/>
      </c>
      <c r="AE191" s="23" t="str">
        <f>IF(AD191="","Not scored",IF(AD191&gt;='Scoring Guide'!$B$11,"Tier 1 - Priority",IF(AD191&gt;='Scoring Guide'!$B$12,"Tier 2 - Develop",IF(AD191&gt;='Scoring Guide'!$B$13,"Tier 3 - Monitor","Tier 4 - Deprioritise"))))</f>
        <v>Not scored</v>
      </c>
    </row>
    <row r="192" ht="15.75" hidden="1" customHeight="1">
      <c r="A192" s="9">
        <v>191.0</v>
      </c>
      <c r="B192" s="13" t="s">
        <v>484</v>
      </c>
      <c r="C192" s="13" t="s">
        <v>116</v>
      </c>
      <c r="D192" s="13" t="s">
        <v>485</v>
      </c>
      <c r="E192" s="14">
        <v>220000.0</v>
      </c>
      <c r="F192" s="9" t="str">
        <f t="shared" si="1"/>
        <v>Under 1 m</v>
      </c>
      <c r="G192" s="14">
        <v>1.0E9</v>
      </c>
      <c r="H192" s="14">
        <f t="shared" si="2"/>
        <v>4545</v>
      </c>
      <c r="I192" s="9" t="str">
        <f t="shared" si="3"/>
        <v>Upper-middle</v>
      </c>
      <c r="J192" s="9" t="s">
        <v>90</v>
      </c>
      <c r="K192" s="19" t="s">
        <v>175</v>
      </c>
      <c r="L192" s="19" t="s">
        <v>176</v>
      </c>
      <c r="M192" s="9" t="s">
        <v>177</v>
      </c>
      <c r="N192" s="9" t="s">
        <v>90</v>
      </c>
      <c r="O192" s="19" t="s">
        <v>178</v>
      </c>
      <c r="P192" s="9" t="s">
        <v>178</v>
      </c>
      <c r="Q192" s="13" t="s">
        <v>187</v>
      </c>
      <c r="R192" s="13" t="s">
        <v>109</v>
      </c>
      <c r="S192" s="19"/>
      <c r="T192" s="21"/>
      <c r="U192" s="21"/>
      <c r="V192" s="21"/>
      <c r="W192" s="21"/>
      <c r="X192" s="21"/>
      <c r="Y192" s="21" t="str">
        <f t="shared" si="4"/>
        <v>Dev</v>
      </c>
      <c r="Z192" s="9"/>
      <c r="AA192" s="9"/>
      <c r="AB192" s="9">
        <f t="shared" si="5"/>
        <v>1</v>
      </c>
      <c r="AC192" s="9"/>
      <c r="AD192" s="22" t="str">
        <f>IF(COUNT(Z192,AA192,AC192)=0,"",ROUND(Z192*'Scoring Guide'!$B$5+AA192*'Scoring Guide'!$B$6+AB192*'Scoring Guide'!$B$7+AC192*'Scoring Guide'!$B$8,2))</f>
        <v/>
      </c>
      <c r="AE192" s="23" t="str">
        <f>IF(AD192="","Not scored",IF(AD192&gt;='Scoring Guide'!$B$11,"Tier 1 - Priority",IF(AD192&gt;='Scoring Guide'!$B$12,"Tier 2 - Develop",IF(AD192&gt;='Scoring Guide'!$B$13,"Tier 3 - Monitor","Tier 4 - Deprioritise"))))</f>
        <v>Not scored</v>
      </c>
    </row>
    <row r="193" ht="15.75" hidden="1" customHeight="1">
      <c r="A193" s="9">
        <v>192.0</v>
      </c>
      <c r="B193" s="13" t="s">
        <v>486</v>
      </c>
      <c r="C193" s="13" t="s">
        <v>116</v>
      </c>
      <c r="D193" s="13" t="s">
        <v>475</v>
      </c>
      <c r="E193" s="14">
        <v>830000.0</v>
      </c>
      <c r="F193" s="9" t="str">
        <f t="shared" si="1"/>
        <v>Under 1 m</v>
      </c>
      <c r="G193" s="14">
        <v>1.7E9</v>
      </c>
      <c r="H193" s="14">
        <f t="shared" si="2"/>
        <v>2048</v>
      </c>
      <c r="I193" s="9" t="str">
        <f t="shared" si="3"/>
        <v>Lower-middle</v>
      </c>
      <c r="J193" s="9" t="s">
        <v>90</v>
      </c>
      <c r="K193" s="19" t="s">
        <v>175</v>
      </c>
      <c r="L193" s="19" t="s">
        <v>176</v>
      </c>
      <c r="M193" s="9" t="s">
        <v>177</v>
      </c>
      <c r="N193" s="9" t="s">
        <v>90</v>
      </c>
      <c r="O193" s="19" t="s">
        <v>178</v>
      </c>
      <c r="P193" s="9" t="s">
        <v>178</v>
      </c>
      <c r="Q193" s="13" t="s">
        <v>187</v>
      </c>
      <c r="R193" s="13" t="s">
        <v>109</v>
      </c>
      <c r="S193" s="19"/>
      <c r="T193" s="21"/>
      <c r="U193" s="21"/>
      <c r="V193" s="21"/>
      <c r="W193" s="21"/>
      <c r="X193" s="21"/>
      <c r="Y193" s="21" t="str">
        <f t="shared" si="4"/>
        <v>Dev</v>
      </c>
      <c r="Z193" s="9"/>
      <c r="AA193" s="9"/>
      <c r="AB193" s="9">
        <f t="shared" si="5"/>
        <v>1</v>
      </c>
      <c r="AC193" s="9"/>
      <c r="AD193" s="22" t="str">
        <f>IF(COUNT(Z193,AA193,AC193)=0,"",ROUND(Z193*'Scoring Guide'!$B$5+AA193*'Scoring Guide'!$B$6+AB193*'Scoring Guide'!$B$7+AC193*'Scoring Guide'!$B$8,2))</f>
        <v/>
      </c>
      <c r="AE193" s="23" t="str">
        <f>IF(AD193="","Not scored",IF(AD193&gt;='Scoring Guide'!$B$11,"Tier 1 - Priority",IF(AD193&gt;='Scoring Guide'!$B$12,"Tier 2 - Develop",IF(AD193&gt;='Scoring Guide'!$B$13,"Tier 3 - Monitor","Tier 4 - Deprioritise"))))</f>
        <v>Not scored</v>
      </c>
    </row>
    <row r="194" ht="15.75" hidden="1" customHeight="1">
      <c r="A194" s="9">
        <v>193.0</v>
      </c>
      <c r="B194" s="13" t="s">
        <v>487</v>
      </c>
      <c r="C194" s="13" t="s">
        <v>116</v>
      </c>
      <c r="D194" s="13" t="s">
        <v>485</v>
      </c>
      <c r="E194" s="14">
        <v>105000.0</v>
      </c>
      <c r="F194" s="9" t="str">
        <f t="shared" si="1"/>
        <v>Under 1 m</v>
      </c>
      <c r="G194" s="14">
        <v>5.5E8</v>
      </c>
      <c r="H194" s="14">
        <f t="shared" si="2"/>
        <v>5238</v>
      </c>
      <c r="I194" s="9" t="str">
        <f t="shared" si="3"/>
        <v>Upper-middle</v>
      </c>
      <c r="J194" s="9" t="s">
        <v>90</v>
      </c>
      <c r="K194" s="19" t="s">
        <v>175</v>
      </c>
      <c r="L194" s="19" t="s">
        <v>176</v>
      </c>
      <c r="M194" s="9" t="s">
        <v>177</v>
      </c>
      <c r="N194" s="9" t="s">
        <v>90</v>
      </c>
      <c r="O194" s="19" t="s">
        <v>178</v>
      </c>
      <c r="P194" s="9" t="s">
        <v>178</v>
      </c>
      <c r="Q194" s="13" t="s">
        <v>187</v>
      </c>
      <c r="R194" s="13" t="s">
        <v>109</v>
      </c>
      <c r="S194" s="19"/>
      <c r="T194" s="21"/>
      <c r="U194" s="21"/>
      <c r="V194" s="21"/>
      <c r="W194" s="21"/>
      <c r="X194" s="21"/>
      <c r="Y194" s="21" t="str">
        <f t="shared" si="4"/>
        <v>Dev</v>
      </c>
      <c r="Z194" s="9"/>
      <c r="AA194" s="9"/>
      <c r="AB194" s="9">
        <f t="shared" si="5"/>
        <v>1</v>
      </c>
      <c r="AC194" s="9"/>
      <c r="AD194" s="22" t="str">
        <f>IF(COUNT(Z194,AA194,AC194)=0,"",ROUND(Z194*'Scoring Guide'!$B$5+AA194*'Scoring Guide'!$B$6+AB194*'Scoring Guide'!$B$7+AC194*'Scoring Guide'!$B$8,2))</f>
        <v/>
      </c>
      <c r="AE194" s="23" t="str">
        <f>IF(AD194="","Not scored",IF(AD194&gt;='Scoring Guide'!$B$11,"Tier 1 - Priority",IF(AD194&gt;='Scoring Guide'!$B$12,"Tier 2 - Develop",IF(AD194&gt;='Scoring Guide'!$B$13,"Tier 3 - Monitor","Tier 4 - Deprioritise"))))</f>
        <v>Not scored</v>
      </c>
    </row>
    <row r="195" ht="15.75" hidden="1" customHeight="1">
      <c r="A195" s="9">
        <v>194.0</v>
      </c>
      <c r="B195" s="13" t="s">
        <v>488</v>
      </c>
      <c r="C195" s="13" t="s">
        <v>116</v>
      </c>
      <c r="D195" s="13" t="s">
        <v>485</v>
      </c>
      <c r="E195" s="14">
        <v>11000.0</v>
      </c>
      <c r="F195" s="9" t="str">
        <f t="shared" si="1"/>
        <v>Under 1 m</v>
      </c>
      <c r="G195" s="14">
        <v>7.0E7</v>
      </c>
      <c r="H195" s="14">
        <f t="shared" si="2"/>
        <v>6364</v>
      </c>
      <c r="I195" s="9" t="str">
        <f t="shared" si="3"/>
        <v>Upper-middle</v>
      </c>
      <c r="J195" s="9" t="s">
        <v>90</v>
      </c>
      <c r="K195" s="19" t="s">
        <v>175</v>
      </c>
      <c r="L195" s="19" t="s">
        <v>176</v>
      </c>
      <c r="M195" s="9" t="s">
        <v>177</v>
      </c>
      <c r="N195" s="9" t="s">
        <v>90</v>
      </c>
      <c r="O195" s="19" t="s">
        <v>178</v>
      </c>
      <c r="P195" s="9" t="s">
        <v>178</v>
      </c>
      <c r="Q195" s="13" t="s">
        <v>187</v>
      </c>
      <c r="R195" s="13" t="s">
        <v>109</v>
      </c>
      <c r="S195" s="19"/>
      <c r="T195" s="21"/>
      <c r="U195" s="21"/>
      <c r="V195" s="21"/>
      <c r="W195" s="21"/>
      <c r="X195" s="21"/>
      <c r="Y195" s="21" t="str">
        <f t="shared" si="4"/>
        <v>Dev</v>
      </c>
      <c r="Z195" s="9"/>
      <c r="AA195" s="9"/>
      <c r="AB195" s="9">
        <f t="shared" si="5"/>
        <v>1</v>
      </c>
      <c r="AC195" s="9"/>
      <c r="AD195" s="22" t="str">
        <f>IF(COUNT(Z195,AA195,AC195)=0,"",ROUND(Z195*'Scoring Guide'!$B$5+AA195*'Scoring Guide'!$B$6+AB195*'Scoring Guide'!$B$7+AC195*'Scoring Guide'!$B$8,2))</f>
        <v/>
      </c>
      <c r="AE195" s="23" t="str">
        <f>IF(AD195="","Not scored",IF(AD195&gt;='Scoring Guide'!$B$11,"Tier 1 - Priority",IF(AD195&gt;='Scoring Guide'!$B$12,"Tier 2 - Develop",IF(AD195&gt;='Scoring Guide'!$B$13,"Tier 3 - Monitor","Tier 4 - Deprioritise"))))</f>
        <v>Not scored</v>
      </c>
    </row>
    <row r="196" ht="15.75" hidden="1" customHeight="1">
      <c r="A196" s="9">
        <v>195.0</v>
      </c>
      <c r="B196" s="13" t="s">
        <v>489</v>
      </c>
      <c r="C196" s="13" t="s">
        <v>116</v>
      </c>
      <c r="D196" s="13" t="s">
        <v>475</v>
      </c>
      <c r="E196" s="14">
        <v>340000.0</v>
      </c>
      <c r="F196" s="9" t="str">
        <f t="shared" si="1"/>
        <v>Under 1 m</v>
      </c>
      <c r="G196" s="14">
        <v>1.1E9</v>
      </c>
      <c r="H196" s="14">
        <f t="shared" si="2"/>
        <v>3235</v>
      </c>
      <c r="I196" s="9" t="str">
        <f t="shared" si="3"/>
        <v>Lower-middle</v>
      </c>
      <c r="J196" s="9" t="s">
        <v>90</v>
      </c>
      <c r="K196" s="19" t="s">
        <v>175</v>
      </c>
      <c r="L196" s="19" t="s">
        <v>176</v>
      </c>
      <c r="M196" s="9" t="s">
        <v>177</v>
      </c>
      <c r="N196" s="9" t="s">
        <v>90</v>
      </c>
      <c r="O196" s="19" t="s">
        <v>178</v>
      </c>
      <c r="P196" s="9" t="s">
        <v>178</v>
      </c>
      <c r="Q196" s="13" t="s">
        <v>187</v>
      </c>
      <c r="R196" s="13" t="s">
        <v>99</v>
      </c>
      <c r="S196" s="19"/>
      <c r="T196" s="21"/>
      <c r="U196" s="21"/>
      <c r="V196" s="21"/>
      <c r="W196" s="21"/>
      <c r="X196" s="21"/>
      <c r="Y196" s="21" t="str">
        <f t="shared" si="4"/>
        <v>Dev</v>
      </c>
      <c r="Z196" s="9"/>
      <c r="AA196" s="9"/>
      <c r="AB196" s="9">
        <f t="shared" si="5"/>
        <v>1</v>
      </c>
      <c r="AC196" s="9"/>
      <c r="AD196" s="22" t="str">
        <f>IF(COUNT(Z196,AA196,AC196)=0,"",ROUND(Z196*'Scoring Guide'!$B$5+AA196*'Scoring Guide'!$B$6+AB196*'Scoring Guide'!$B$7+AC196*'Scoring Guide'!$B$8,2))</f>
        <v/>
      </c>
      <c r="AE196" s="23" t="str">
        <f>IF(AD196="","Not scored",IF(AD196&gt;='Scoring Guide'!$B$11,"Tier 1 - Priority",IF(AD196&gt;='Scoring Guide'!$B$12,"Tier 2 - Develop",IF(AD196&gt;='Scoring Guide'!$B$13,"Tier 3 - Monitor","Tier 4 - Deprioritise"))))</f>
        <v>Not scored</v>
      </c>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E$196">
    <filterColumn colId="9">
      <filters>
        <filter val="Yes"/>
        <filter val="Home"/>
      </filters>
    </filterColumn>
    <sortState ref="A1:AE196">
      <sortCondition descending="1" ref="F1:F196"/>
    </sortState>
  </autoFilter>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0"/>
    <col customWidth="1" min="2" max="2" width="95.0"/>
    <col customWidth="1" min="3" max="26" width="8.71"/>
  </cols>
  <sheetData>
    <row r="1">
      <c r="A1" s="1" t="s">
        <v>0</v>
      </c>
    </row>
    <row r="3">
      <c r="A3" s="3" t="s">
        <v>2</v>
      </c>
    </row>
    <row r="4">
      <c r="A4" s="3" t="s">
        <v>6</v>
      </c>
      <c r="B4" s="3" t="s">
        <v>10</v>
      </c>
    </row>
    <row r="5">
      <c r="A5" s="4" t="s">
        <v>12</v>
      </c>
      <c r="B5" s="5">
        <v>0.3</v>
      </c>
    </row>
    <row r="6">
      <c r="A6" s="4" t="s">
        <v>24</v>
      </c>
      <c r="B6" s="5">
        <v>0.25</v>
      </c>
    </row>
    <row r="7">
      <c r="A7" s="4" t="s">
        <v>28</v>
      </c>
      <c r="B7" s="5">
        <v>0.2</v>
      </c>
    </row>
    <row r="8">
      <c r="A8" s="4" t="s">
        <v>32</v>
      </c>
      <c r="B8" s="5">
        <v>0.25</v>
      </c>
    </row>
    <row r="9">
      <c r="A9" s="3" t="s">
        <v>34</v>
      </c>
      <c r="B9" s="10">
        <f>SUM(B5:B8)</f>
        <v>1</v>
      </c>
    </row>
    <row r="10">
      <c r="A10" s="3" t="s">
        <v>51</v>
      </c>
    </row>
    <row r="11">
      <c r="A11" s="4" t="s">
        <v>52</v>
      </c>
      <c r="B11" s="12">
        <v>4.0</v>
      </c>
    </row>
    <row r="12">
      <c r="A12" s="4" t="s">
        <v>53</v>
      </c>
      <c r="B12" s="12">
        <v>3.0</v>
      </c>
    </row>
    <row r="13">
      <c r="A13" s="4" t="s">
        <v>55</v>
      </c>
      <c r="B13" s="12">
        <v>2.0</v>
      </c>
    </row>
    <row r="16">
      <c r="A16" s="15" t="s">
        <v>56</v>
      </c>
    </row>
    <row r="17">
      <c r="A17" s="16" t="s">
        <v>57</v>
      </c>
    </row>
    <row r="18">
      <c r="A18" s="16" t="s">
        <v>58</v>
      </c>
    </row>
    <row r="19">
      <c r="A19" s="16" t="s">
        <v>59</v>
      </c>
    </row>
    <row r="20">
      <c r="A20" s="16" t="s">
        <v>60</v>
      </c>
    </row>
    <row r="21" ht="15.75" customHeight="1"/>
    <row r="22" ht="15.75" customHeight="1">
      <c r="A22" s="16" t="s">
        <v>61</v>
      </c>
    </row>
    <row r="23" ht="15.75" customHeight="1">
      <c r="A23" s="16" t="s">
        <v>12</v>
      </c>
      <c r="B23" s="16" t="s">
        <v>62</v>
      </c>
    </row>
    <row r="24" ht="15.75" customHeight="1">
      <c r="A24" s="16" t="s">
        <v>24</v>
      </c>
      <c r="B24" s="16" t="s">
        <v>63</v>
      </c>
    </row>
    <row r="25" ht="15.75" customHeight="1">
      <c r="A25" s="16" t="s">
        <v>28</v>
      </c>
      <c r="B25" s="16" t="s">
        <v>64</v>
      </c>
    </row>
    <row r="26" ht="15.75" customHeight="1">
      <c r="A26" s="16" t="s">
        <v>32</v>
      </c>
      <c r="B26" s="16" t="s">
        <v>65</v>
      </c>
    </row>
    <row r="27" ht="15.75" customHeight="1"/>
    <row r="28" ht="15.75" customHeight="1">
      <c r="A28" s="16" t="s">
        <v>66</v>
      </c>
    </row>
    <row r="29" ht="15.75" customHeight="1">
      <c r="A29" s="16" t="s">
        <v>4</v>
      </c>
      <c r="B29" s="16" t="s">
        <v>67</v>
      </c>
    </row>
    <row r="30" ht="15.75" customHeight="1">
      <c r="A30" s="16" t="s">
        <v>33</v>
      </c>
      <c r="B30" s="16" t="s">
        <v>68</v>
      </c>
    </row>
    <row r="31" ht="15.75" customHeight="1">
      <c r="A31" s="16" t="s">
        <v>36</v>
      </c>
      <c r="B31" s="16" t="s">
        <v>69</v>
      </c>
    </row>
    <row r="32" ht="15.75" customHeight="1">
      <c r="A32" s="16" t="s">
        <v>38</v>
      </c>
      <c r="B32" s="16" t="s">
        <v>70</v>
      </c>
    </row>
    <row r="33" ht="15.75" customHeight="1">
      <c r="A33" s="16" t="s">
        <v>39</v>
      </c>
      <c r="B33" s="16" t="s">
        <v>71</v>
      </c>
    </row>
    <row r="34" ht="15.75" customHeight="1">
      <c r="A34" s="16" t="s">
        <v>41</v>
      </c>
      <c r="B34" s="16" t="s">
        <v>72</v>
      </c>
    </row>
    <row r="35" ht="15.75" customHeight="1">
      <c r="A35" s="16" t="s">
        <v>73</v>
      </c>
      <c r="B35" s="16" t="s">
        <v>74</v>
      </c>
    </row>
    <row r="36" ht="15.75" customHeight="1">
      <c r="A36" s="16" t="s">
        <v>75</v>
      </c>
      <c r="B36" s="16" t="s">
        <v>76</v>
      </c>
    </row>
    <row r="37" ht="15.75" customHeight="1">
      <c r="A37" s="16" t="s">
        <v>77</v>
      </c>
      <c r="B37" s="16" t="s">
        <v>78</v>
      </c>
    </row>
    <row r="38" ht="15.75" customHeight="1"/>
    <row r="39" ht="15.75" customHeight="1">
      <c r="A39" s="15" t="s">
        <v>79</v>
      </c>
    </row>
    <row r="40" ht="15.75" customHeight="1">
      <c r="A40" s="16" t="s">
        <v>80</v>
      </c>
    </row>
    <row r="41" ht="15.75" customHeight="1">
      <c r="A41" s="16" t="s">
        <v>81</v>
      </c>
    </row>
    <row r="42" ht="15.75" customHeight="1">
      <c r="A42" s="16" t="s">
        <v>82</v>
      </c>
    </row>
    <row r="43" ht="15.75" customHeight="1">
      <c r="A43" s="16" t="s">
        <v>83</v>
      </c>
    </row>
    <row r="44" ht="15.75" customHeight="1">
      <c r="A44" s="16" t="s">
        <v>84</v>
      </c>
    </row>
    <row r="45" ht="15.75" customHeight="1">
      <c r="A45" s="16" t="s">
        <v>85</v>
      </c>
    </row>
    <row r="46" ht="15.75" customHeight="1">
      <c r="A46" s="16" t="s">
        <v>86</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3" width="15.0"/>
    <col customWidth="1" min="4" max="4" width="20.0"/>
    <col customWidth="1" min="5" max="5" width="15.0"/>
    <col customWidth="1" min="6" max="6" width="22.0"/>
    <col customWidth="1" min="7" max="11" width="15.0"/>
    <col customWidth="1" min="12" max="26" width="8.71"/>
  </cols>
  <sheetData>
    <row r="1">
      <c r="A1" s="1" t="s">
        <v>3</v>
      </c>
    </row>
    <row r="3">
      <c r="A3" s="2" t="s">
        <v>5</v>
      </c>
      <c r="B3" s="2" t="s">
        <v>14</v>
      </c>
      <c r="C3" s="2" t="s">
        <v>16</v>
      </c>
      <c r="D3" s="2" t="s">
        <v>8</v>
      </c>
      <c r="E3" s="2" t="s">
        <v>21</v>
      </c>
      <c r="F3" s="2" t="s">
        <v>25</v>
      </c>
      <c r="G3" s="2" t="s">
        <v>30</v>
      </c>
      <c r="H3" s="2" t="s">
        <v>13</v>
      </c>
      <c r="I3" s="2" t="s">
        <v>35</v>
      </c>
      <c r="J3" s="2" t="s">
        <v>37</v>
      </c>
      <c r="K3" s="2" t="s">
        <v>40</v>
      </c>
    </row>
    <row r="4">
      <c r="A4" s="8" t="s">
        <v>44</v>
      </c>
      <c r="B4" s="17">
        <f>COUNTIF('Countries by Continent'!$C$2:$C$196,$A4)</f>
        <v>54</v>
      </c>
      <c r="C4" s="18">
        <f t="shared" ref="C4:C9" si="1">IFERROR(B4/$B$10,0)</f>
        <v>0.2769230769</v>
      </c>
      <c r="D4" s="20">
        <f>SUMIF('Countries by Continent'!$C$2:$C$196,$A4,'Countries by Continent'!$E$2:$E$196)</f>
        <v>1541850000</v>
      </c>
      <c r="E4" s="18">
        <f t="shared" ref="E4:E9" si="2">IFERROR(D4/$D$10,0)</f>
        <v>0.1884225722</v>
      </c>
      <c r="F4" s="20">
        <f>SUMIF('Countries by Continent'!$C$2:$C$196,$A4,'Countries by Continent'!$G$2:$G$196)</f>
        <v>2795050000000</v>
      </c>
      <c r="G4" s="18">
        <f t="shared" ref="G4:G9" si="3">IFERROR(F4/$F$10,0)</f>
        <v>0.02556243204</v>
      </c>
      <c r="H4" s="20">
        <f t="shared" ref="H4:H10" si="4">IFERROR(ROUND(F4/D4,0),0)</f>
        <v>1813</v>
      </c>
      <c r="I4" s="17">
        <f>COUNTIFS('Countries by Continent'!$C$2:$C$196,$A4,'Countries by Continent'!$J$2:$J$196,"Yes")</f>
        <v>0</v>
      </c>
      <c r="J4" s="17">
        <f>COUNTIFS('Countries by Continent'!$C$2:$C$196,$A4,'Countries by Continent'!$M$2:$M$196,"High")</f>
        <v>0</v>
      </c>
      <c r="K4" s="17">
        <f>COUNTIFS('Countries by Continent'!$C$2:$C$196,$A4,'Countries by Continent'!$M$2:$M$196,"Medium")</f>
        <v>0</v>
      </c>
    </row>
    <row r="5">
      <c r="A5" s="8" t="s">
        <v>96</v>
      </c>
      <c r="B5" s="17">
        <f>COUNTIF('Countries by Continent'!$C$2:$C$196,$A5)</f>
        <v>48</v>
      </c>
      <c r="C5" s="18">
        <f t="shared" si="1"/>
        <v>0.2461538462</v>
      </c>
      <c r="D5" s="20">
        <f>SUMIF('Countries by Continent'!$C$2:$C$196,$A5,'Countries by Continent'!$E$2:$E$196)</f>
        <v>4803760000</v>
      </c>
      <c r="E5" s="18">
        <f t="shared" si="2"/>
        <v>0.5870459613</v>
      </c>
      <c r="F5" s="20">
        <f>SUMIF('Countries by Continent'!$C$2:$C$196,$A5,'Countries by Continent'!$G$2:$G$196)</f>
        <v>39197400000000</v>
      </c>
      <c r="G5" s="18">
        <f t="shared" si="3"/>
        <v>0.3584840606</v>
      </c>
      <c r="H5" s="20">
        <f t="shared" si="4"/>
        <v>8160</v>
      </c>
      <c r="I5" s="17">
        <f>COUNTIFS('Countries by Continent'!$C$2:$C$196,$A5,'Countries by Continent'!$J$2:$J$196,"Yes")</f>
        <v>19</v>
      </c>
      <c r="J5" s="17">
        <f>COUNTIFS('Countries by Continent'!$C$2:$C$196,$A5,'Countries by Continent'!$M$2:$M$196,"High")</f>
        <v>1</v>
      </c>
      <c r="K5" s="17">
        <f>COUNTIFS('Countries by Continent'!$C$2:$C$196,$A5,'Countries by Continent'!$M$2:$M$196,"Medium")</f>
        <v>5</v>
      </c>
    </row>
    <row r="6">
      <c r="A6" s="8" t="s">
        <v>100</v>
      </c>
      <c r="B6" s="17">
        <f>COUNTIF('Countries by Continent'!$C$2:$C$196,$A6)</f>
        <v>44</v>
      </c>
      <c r="C6" s="18">
        <f t="shared" si="1"/>
        <v>0.2256410256</v>
      </c>
      <c r="D6" s="20">
        <f>SUMIF('Countries by Continent'!$C$2:$C$196,$A6,'Countries by Continent'!$E$2:$E$196)</f>
        <v>741095800</v>
      </c>
      <c r="E6" s="18">
        <f t="shared" si="2"/>
        <v>0.09056599337</v>
      </c>
      <c r="F6" s="20">
        <f>SUMIF('Countries by Continent'!$C$2:$C$196,$A6,'Countries by Continent'!$G$2:$G$196)</f>
        <v>27006200000000</v>
      </c>
      <c r="G6" s="18">
        <f t="shared" si="3"/>
        <v>0.2469881226</v>
      </c>
      <c r="H6" s="20">
        <f t="shared" si="4"/>
        <v>36441</v>
      </c>
      <c r="I6" s="17">
        <f>COUNTIFS('Countries by Continent'!$C$2:$C$196,$A6,'Countries by Continent'!$J$2:$J$196,"Yes")</f>
        <v>19</v>
      </c>
      <c r="J6" s="17">
        <f>COUNTIFS('Countries by Continent'!$C$2:$C$196,$A6,'Countries by Continent'!$M$2:$M$196,"High")</f>
        <v>7</v>
      </c>
      <c r="K6" s="17">
        <f>COUNTIFS('Countries by Continent'!$C$2:$C$196,$A6,'Countries by Continent'!$M$2:$M$196,"Medium")</f>
        <v>5</v>
      </c>
    </row>
    <row r="7">
      <c r="A7" s="8" t="s">
        <v>106</v>
      </c>
      <c r="B7" s="17">
        <f>COUNTIF('Countries by Continent'!$C$2:$C$196,$A7)</f>
        <v>23</v>
      </c>
      <c r="C7" s="18">
        <f t="shared" si="1"/>
        <v>0.1179487179</v>
      </c>
      <c r="D7" s="20">
        <f>SUMIF('Countries by Continent'!$C$2:$C$196,$A7,'Countries by Continent'!$E$2:$E$196)</f>
        <v>612297000</v>
      </c>
      <c r="E7" s="18">
        <f t="shared" si="2"/>
        <v>0.07482606978</v>
      </c>
      <c r="F7" s="20">
        <f>SUMIF('Countries by Continent'!$C$2:$C$196,$A7,'Countries by Continent'!$G$2:$G$196)</f>
        <v>33964400000000</v>
      </c>
      <c r="G7" s="18">
        <f t="shared" si="3"/>
        <v>0.3106250932</v>
      </c>
      <c r="H7" s="20">
        <f t="shared" si="4"/>
        <v>55470</v>
      </c>
      <c r="I7" s="17">
        <f>COUNTIFS('Countries by Continent'!$C$2:$C$196,$A7,'Countries by Continent'!$J$2:$J$196,"Yes")</f>
        <v>23</v>
      </c>
      <c r="J7" s="17">
        <f>COUNTIFS('Countries by Continent'!$C$2:$C$196,$A7,'Countries by Continent'!$M$2:$M$196,"High")</f>
        <v>2</v>
      </c>
      <c r="K7" s="17">
        <f>COUNTIFS('Countries by Continent'!$C$2:$C$196,$A7,'Countries by Continent'!$M$2:$M$196,"Medium")</f>
        <v>6</v>
      </c>
    </row>
    <row r="8">
      <c r="A8" s="8" t="s">
        <v>110</v>
      </c>
      <c r="B8" s="17">
        <f>COUNTIF('Countries by Continent'!$C$2:$C$196,$A8)</f>
        <v>12</v>
      </c>
      <c r="C8" s="18">
        <f t="shared" si="1"/>
        <v>0.06153846154</v>
      </c>
      <c r="D8" s="20">
        <f>SUMIF('Countries by Continent'!$C$2:$C$196,$A8,'Countries by Continent'!$E$2:$E$196)</f>
        <v>437980000</v>
      </c>
      <c r="E8" s="18">
        <f t="shared" si="2"/>
        <v>0.05352357115</v>
      </c>
      <c r="F8" s="20">
        <f>SUMIF('Countries by Continent'!$C$2:$C$196,$A8,'Countries by Continent'!$G$2:$G$196)</f>
        <v>4280400000000</v>
      </c>
      <c r="G8" s="18">
        <f t="shared" si="3"/>
        <v>0.03914686109</v>
      </c>
      <c r="H8" s="20">
        <f t="shared" si="4"/>
        <v>9773</v>
      </c>
      <c r="I8" s="17">
        <f>COUNTIFS('Countries by Continent'!$C$2:$C$196,$A8,'Countries by Continent'!$J$2:$J$196,"Yes")</f>
        <v>12</v>
      </c>
      <c r="J8" s="17">
        <f>COUNTIFS('Countries by Continent'!$C$2:$C$196,$A8,'Countries by Continent'!$M$2:$M$196,"High")</f>
        <v>0</v>
      </c>
      <c r="K8" s="17">
        <f>COUNTIFS('Countries by Continent'!$C$2:$C$196,$A8,'Countries by Continent'!$M$2:$M$196,"Medium")</f>
        <v>5</v>
      </c>
    </row>
    <row r="9">
      <c r="A9" s="8" t="s">
        <v>116</v>
      </c>
      <c r="B9" s="17">
        <f>COUNTIF('Countries by Continent'!$C$2:$C$196,$A9)</f>
        <v>14</v>
      </c>
      <c r="C9" s="18">
        <f t="shared" si="1"/>
        <v>0.07179487179</v>
      </c>
      <c r="D9" s="20">
        <f>SUMIF('Countries by Continent'!$C$2:$C$196,$A9,'Countries by Continent'!$E$2:$E$196)</f>
        <v>45954000</v>
      </c>
      <c r="E9" s="18">
        <f t="shared" si="2"/>
        <v>0.005615832203</v>
      </c>
      <c r="F9" s="20">
        <f>SUMIF('Countries by Continent'!$C$2:$C$196,$A9,'Countries by Continent'!$G$2:$G$196)</f>
        <v>2098650000000</v>
      </c>
      <c r="G9" s="18">
        <f t="shared" si="3"/>
        <v>0.01919343053</v>
      </c>
      <c r="H9" s="20">
        <f t="shared" si="4"/>
        <v>45668</v>
      </c>
      <c r="I9" s="17">
        <f>COUNTIFS('Countries by Continent'!$C$2:$C$196,$A9,'Countries by Continent'!$J$2:$J$196,"Yes")</f>
        <v>2</v>
      </c>
      <c r="J9" s="17">
        <f>COUNTIFS('Countries by Continent'!$C$2:$C$196,$A9,'Countries by Continent'!$M$2:$M$196,"High")</f>
        <v>0</v>
      </c>
      <c r="K9" s="17">
        <f>COUNTIFS('Countries by Continent'!$C$2:$C$196,$A9,'Countries by Continent'!$M$2:$M$196,"Medium")</f>
        <v>1</v>
      </c>
    </row>
    <row r="10">
      <c r="A10" s="24" t="s">
        <v>34</v>
      </c>
      <c r="B10" s="25">
        <f t="shared" ref="B10:G10" si="5">SUM(B4:B9)</f>
        <v>195</v>
      </c>
      <c r="C10" s="26">
        <f t="shared" si="5"/>
        <v>1</v>
      </c>
      <c r="D10" s="27">
        <f t="shared" si="5"/>
        <v>8182936800</v>
      </c>
      <c r="E10" s="26">
        <f t="shared" si="5"/>
        <v>1</v>
      </c>
      <c r="F10" s="27">
        <f t="shared" si="5"/>
        <v>109342100000000</v>
      </c>
      <c r="G10" s="26">
        <f t="shared" si="5"/>
        <v>1</v>
      </c>
      <c r="H10" s="27">
        <f t="shared" si="4"/>
        <v>13362</v>
      </c>
      <c r="I10" s="25">
        <f t="shared" ref="I10:K10" si="6">SUM(I4:I9)</f>
        <v>75</v>
      </c>
      <c r="J10" s="25">
        <f t="shared" si="6"/>
        <v>10</v>
      </c>
      <c r="K10" s="25">
        <f t="shared" si="6"/>
        <v>22</v>
      </c>
    </row>
    <row r="12">
      <c r="A12" s="28" t="s">
        <v>120</v>
      </c>
    </row>
    <row r="13">
      <c r="A13" s="29" t="s">
        <v>121</v>
      </c>
    </row>
    <row r="14">
      <c r="A14" s="29" t="s">
        <v>123</v>
      </c>
    </row>
    <row r="15">
      <c r="A15" s="29" t="s">
        <v>124</v>
      </c>
    </row>
    <row r="16">
      <c r="A16" s="29" t="s">
        <v>125</v>
      </c>
    </row>
    <row r="17">
      <c r="A17" s="29"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
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LISTS" sheetId="2" state="visible" r:id="rId4"/>
    <sheet name="SCORING" sheetId="3" state="visible" r:id="rId5"/>
    <sheet name="LEAD MASTER" sheetId="4" state="visible" r:id="rId6"/>
    <sheet name="CONTACTS" sheetId="5" state="visible" r:id="rId7"/>
    <sheet name="ENRICHMENT GUIDE" sheetId="6" state="visible" r:id="rId8"/>
    <sheet name="SUMMARY" sheetId="7" state="visible" r:id="rId9"/>
  </sheets>
  <definedNames>
    <definedName function="false" hidden="true" localSheetId="4" name="_xlnm._FilterDatabase" vbProcedure="false">CONTACTS!$A$4:$R$604</definedName>
    <definedName function="false" hidden="true" localSheetId="5" name="_xlnm._FilterDatabase" vbProcedure="false">'ENRICHMENT GUIDE'!$A$4:$G$61</definedName>
    <definedName function="false" hidden="true" localSheetId="3" name="_xlnm._FilterDatabase" vbProcedure="false">'LEAD MASTER'!$A$2:$BE$402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<sst xmlns="http://schemas.openxmlformats.org/spreadsheetml/2006/main" count="1171" uniqueCount="698">
  <si>
    <t xml:space="preserve">SACVIN  |  EXPORT LEAD ENRICHMENT</t>
  </si>
  <si>
    <t xml:space="preserve">Find the right buyers, know more about them than the competition does, and contact the best ones first.</t>
  </si>
  <si>
    <t xml:space="preserve">THE SHEETS</t>
  </si>
  <si>
    <t xml:space="preserve">LEAD MASTER</t>
  </si>
  <si>
    <t xml:space="preserve">One row per company, 57 fields in seven groups. Type in the coloured columns; the grey ones calculate themselves. Rows 3-5 are worked examples — read them, then delete and enter your own.</t>
  </si>
  <si>
    <t xml:space="preserve">CONTACTS</t>
  </si>
  <si>
    <t xml:space="preserve">One row per person, for companies with more than one buyer worth knowing. Enter the Lead ID and the company name fills in.</t>
  </si>
  <si>
    <t xml:space="preserve">ENRICHMENT GUIDE</t>
  </si>
  <si>
    <t xml:space="preserve">Every field explained: what it means, where to get it, whether it is mandatory, and a worked example. This is the sheet you hand to whoever does the research.</t>
  </si>
  <si>
    <t xml:space="preserve">SCORING</t>
  </si>
  <si>
    <t xml:space="preserve">The fit-score model. Six components, 100 points. Change the yellow numbers and every lead re-scores.</t>
  </si>
  <si>
    <t xml:space="preserve">SUMMARY</t>
  </si>
  <si>
    <t xml:space="preserve">Counts by tier, business type and region, plus data quality. Open it to see whether the list is getting better or just longer.</t>
  </si>
  <si>
    <t xml:space="preserve">LISTS</t>
  </si>
  <si>
    <t xml:space="preserve">All dropdowns and a 130-country to region reference table. Edit the dropdowns to match how your team actually works.</t>
  </si>
  <si>
    <t xml:space="preserve">THE SEVEN FIELD GROUPS ON LEAD MASTER</t>
  </si>
  <si>
    <t xml:space="preserve">1 · Record</t>
  </si>
  <si>
    <t xml:space="preserve">Lead ID, when it was added, by whom, and where it is in the enrichment process.</t>
  </si>
  <si>
    <t xml:space="preserve">2 · Company</t>
  </si>
  <si>
    <t xml:space="preserve">Who they are — name, website, country, business type, categories, size, revenue. Region fills in automatically from the country.</t>
  </si>
  <si>
    <t xml:space="preserve">3 · Import intelligence</t>
  </si>
  <si>
    <t xml:space="preserve">The part that separates a list from a target list: do they import, what HS codes, from which countries, from which suppliers, how much and how often. This is what tells you whom you are displacing.</t>
  </si>
  <si>
    <t xml:space="preserve">4 · Commercial fit</t>
  </si>
  <si>
    <t xml:space="preserve">Discharge port, duty and preference position, compliance requirements, language, and which SACVIN products to lead with.</t>
  </si>
  <si>
    <t xml:space="preserve">5 · Primary contact</t>
  </si>
  <si>
    <t xml:space="preserve">The buying decision maker — name, title, role, verified email, phone, LinkedIn.</t>
  </si>
  <si>
    <t xml:space="preserve">6 · Source &amp; data quality</t>
  </si>
  <si>
    <t xml:space="preserve">Which tool the record came from, when it was pulled, who verified it, how complete it is, and whether it is a duplicate.</t>
  </si>
  <si>
    <t xml:space="preserve">7 · Scoring</t>
  </si>
  <si>
    <t xml:space="preserve">Fit score out of 100 and an A/B/C/D tier. Calculated — never typed.</t>
  </si>
  <si>
    <t xml:space="preserve">HOW THE SCORE WORKS</t>
  </si>
  <si>
    <t xml:space="preserve">100 points, six parts</t>
  </si>
  <si>
    <t xml:space="preserve">Business type 25 · Already importing 20 · Sourcing from a competing origin 20 · Company size 15 · Category match 10 · Contact quality 10.</t>
  </si>
  <si>
    <t xml:space="preserve">Tiers</t>
  </si>
  <si>
    <t xml:space="preserve">A is 75 and above — contact first. B is 60-74. C is 40-59 — worth enriching further. D is below 40 — park or disqualify.</t>
  </si>
  <si>
    <t xml:space="preserve">Change it freely</t>
  </si>
  <si>
    <t xml:space="preserve">The weights are yellow cells on the SCORING sheet. If your first fifty conversations say retail chains convert better than distributors, change the number rather than argue about it.</t>
  </si>
  <si>
    <t xml:space="preserve">A caution</t>
  </si>
  <si>
    <t xml:space="preserve">A score sorts a list; it does not qualify a buyer. A C-tier lead with the right person on the phone beats an A-tier lead nobody has called.</t>
  </si>
  <si>
    <t xml:space="preserve">THE WORKING METHOD</t>
  </si>
  <si>
    <t xml:space="preserve">Step 1 · Build the list</t>
  </si>
  <si>
    <t xml:space="preserve">Apify or a trade directory for plastic houseware distributors, wholesalers, importers and retail chains in the target country. Fill group 2. Aim for breadth here, not depth.</t>
  </si>
  <si>
    <t xml:space="preserve">Step 2 · Find the buyer</t>
  </si>
  <si>
    <t xml:space="preserve">LinkedIn Sales Navigator for purchasing, procurement, category buyer and import manager titles at those companies. Fill group 5.</t>
  </si>
  <si>
    <t xml:space="preserve">Step 3 · Get contact details</t>
  </si>
  <si>
    <t xml:space="preserve">Apollo for verified email and phone. Record the email status honestly — sending to invalid addresses damages your sending domain and costs you the good leads too.</t>
  </si>
  <si>
    <t xml:space="preserve">Step 4 · Check the imports</t>
  </si>
  <si>
    <t xml:space="preserve">This is the step most teams skip and it is the one that pays. Import data tells you who is already buying containers of exactly your product, from whom, and how often. Fill group 3.</t>
  </si>
  <si>
    <t xml:space="preserve">Step 5 · Score and sort</t>
  </si>
  <si>
    <t xml:space="preserve">The score calculates itself. Work the A tier first, and put the C tier back into step 4 rather than throwing it away.</t>
  </si>
  <si>
    <t xml:space="preserve">Step 6 · Keep it clean</t>
  </si>
  <si>
    <t xml:space="preserve">Watch the duplicate flag and the completeness percentage. A list of 200 complete records beats 2,000 half-filled ones, every time.</t>
  </si>
  <si>
    <t xml:space="preserve">TWO RULES THAT KEEP THE FILE HONEST</t>
  </si>
  <si>
    <t xml:space="preserve">Record the basis</t>
  </si>
  <si>
    <t xml:space="preserve">Every estimate — revenue, import volume, opportunity — needs its source in the Import Data Source column or in Notes. An unattributed number becomes a fact by repetition, and then somebody quotes it to a customer.</t>
  </si>
  <si>
    <t xml:space="preserve">Date everything</t>
  </si>
  <si>
    <t xml:space="preserve">Contact data ages fast. Anything pulled more than six months ago should be re-verified before it is used.</t>
  </si>
  <si>
    <t xml:space="preserve">Colour key:</t>
  </si>
  <si>
    <t xml:space="preserve">Yellow = type here.   Grey = calculated, do not type.   Green/Blue/Amber/Red on Tier = A/B/C/D.</t>
  </si>
  <si>
    <t xml:space="preserve">Companion files:</t>
  </si>
  <si>
    <t xml:space="preserve">Export Order Tracker · Export Order Management SOP · Order Handover Sheet · Export Process Flowchart</t>
  </si>
  <si>
    <t xml:space="preserve">MASTER DATA · DROPDOWN LISTS &amp; COUNTRY REFERENCE</t>
  </si>
  <si>
    <t xml:space="preserve">RECORD STATUS</t>
  </si>
  <si>
    <t xml:space="preserve">BUSINESS TYPE</t>
  </si>
  <si>
    <t xml:space="preserve">PRODUCT CATEGORIES HANDLED</t>
  </si>
  <si>
    <t xml:space="preserve">CATEGORY MATCH</t>
  </si>
  <si>
    <t xml:space="preserve">OWN BRAND</t>
  </si>
  <si>
    <t xml:space="preserve">EMPLOYEES</t>
  </si>
  <si>
    <t xml:space="preserve">COMPANY SIZE</t>
  </si>
  <si>
    <t xml:space="preserve">IMPORTS?</t>
  </si>
  <si>
    <t xml:space="preserve">COMPETING ORIGIN SOURCED?</t>
  </si>
  <si>
    <t xml:space="preserve">IMPORT FREQUENCY</t>
  </si>
  <si>
    <t xml:space="preserve">DISPLACEMENT OPPORTUNITY</t>
  </si>
  <si>
    <t xml:space="preserve">IMPORT DATA SOURCE</t>
  </si>
  <si>
    <t xml:space="preserve">CONTAINER TYPE</t>
  </si>
  <si>
    <t xml:space="preserve">COUNTRY</t>
  </si>
  <si>
    <t xml:space="preserve">REGION</t>
  </si>
  <si>
    <t xml:space="preserve">PREFERENTIAL ACCESS</t>
  </si>
  <si>
    <t xml:space="preserve">DECISION ROLE</t>
  </si>
  <si>
    <t xml:space="preserve">EMAIL STATUS</t>
  </si>
  <si>
    <t xml:space="preserve">SOURCE TOOL</t>
  </si>
  <si>
    <t xml:space="preserve">CONTACT FUNCTION</t>
  </si>
  <si>
    <t xml:space="preserve">VERIFIED?</t>
  </si>
  <si>
    <t xml:space="preserve">NEXT STEP</t>
  </si>
  <si>
    <t xml:space="preserve">Edit these lists to match how your team actually works. Every dropdown in the workbook reads from here.</t>
  </si>
  <si>
    <t xml:space="preserve">New</t>
  </si>
  <si>
    <t xml:space="preserve">Importer</t>
  </si>
  <si>
    <t xml:space="preserve">Houseware - general</t>
  </si>
  <si>
    <t xml:space="preserve">Core</t>
  </si>
  <si>
    <t xml:space="preserve">Own brand</t>
  </si>
  <si>
    <t xml:space="preserve">1-10</t>
  </si>
  <si>
    <t xml:space="preserve">Large</t>
  </si>
  <si>
    <t xml:space="preserve">Yes</t>
  </si>
  <si>
    <t xml:space="preserve">Weekly</t>
  </si>
  <si>
    <t xml:space="preserve">High</t>
  </si>
  <si>
    <t xml:space="preserve">Volza</t>
  </si>
  <si>
    <t xml:space="preserve">20ft GP</t>
  </si>
  <si>
    <t xml:space="preserve">Nigeria</t>
  </si>
  <si>
    <t xml:space="preserve">West Africa</t>
  </si>
  <si>
    <t xml:space="preserve">AfCFTA</t>
  </si>
  <si>
    <t xml:space="preserve">Decision maker</t>
  </si>
  <si>
    <t xml:space="preserve">Valid</t>
  </si>
  <si>
    <t xml:space="preserve">Apify</t>
  </si>
  <si>
    <t xml:space="preserve">Purchasing</t>
  </si>
  <si>
    <t xml:space="preserve">Enrich further</t>
  </si>
  <si>
    <t xml:space="preserve">Enriching</t>
  </si>
  <si>
    <t xml:space="preserve">Distributor</t>
  </si>
  <si>
    <t xml:space="preserve">Kitchenware</t>
  </si>
  <si>
    <t xml:space="preserve">Partial</t>
  </si>
  <si>
    <t xml:space="preserve">Private label</t>
  </si>
  <si>
    <t xml:space="preserve">11-50</t>
  </si>
  <si>
    <t xml:space="preserve">Medium</t>
  </si>
  <si>
    <t xml:space="preserve">No</t>
  </si>
  <si>
    <t xml:space="preserve">Partly</t>
  </si>
  <si>
    <t xml:space="preserve">Fortnightly</t>
  </si>
  <si>
    <t xml:space="preserve">ImportGenius</t>
  </si>
  <si>
    <t xml:space="preserve">40ft GP</t>
  </si>
  <si>
    <t xml:space="preserve">Ghana</t>
  </si>
  <si>
    <t xml:space="preserve">ECOWAS</t>
  </si>
  <si>
    <t xml:space="preserve">Influencer</t>
  </si>
  <si>
    <t xml:space="preserve">Risky / catch-all</t>
  </si>
  <si>
    <t xml:space="preserve">Apollo</t>
  </si>
  <si>
    <t xml:space="preserve">Procurement</t>
  </si>
  <si>
    <t xml:space="preserve">Verify email</t>
  </si>
  <si>
    <t xml:space="preserve">Enriched</t>
  </si>
  <si>
    <t xml:space="preserve">Wholesaler</t>
  </si>
  <si>
    <t xml:space="preserve">Food storage &amp; containers</t>
  </si>
  <si>
    <t xml:space="preserve">None</t>
  </si>
  <si>
    <t xml:space="preserve">Third-party brands only</t>
  </si>
  <si>
    <t xml:space="preserve">51-200</t>
  </si>
  <si>
    <t xml:space="preserve">Small</t>
  </si>
  <si>
    <t xml:space="preserve">Unknown</t>
  </si>
  <si>
    <t xml:space="preserve">Monthly</t>
  </si>
  <si>
    <t xml:space="preserve">Low</t>
  </si>
  <si>
    <t xml:space="preserve">Panjiva</t>
  </si>
  <si>
    <t xml:space="preserve">40ft HC</t>
  </si>
  <si>
    <t xml:space="preserve">Ivory Coast</t>
  </si>
  <si>
    <t xml:space="preserve">GSP</t>
  </si>
  <si>
    <t xml:space="preserve">Gatekeeper</t>
  </si>
  <si>
    <t xml:space="preserve">Invalid</t>
  </si>
  <si>
    <t xml:space="preserve">LinkedIn Sales Navigator</t>
  </si>
  <si>
    <t xml:space="preserve">Category buyer</t>
  </si>
  <si>
    <t xml:space="preserve">Partially</t>
  </si>
  <si>
    <t xml:space="preserve">Add to outreach list</t>
  </si>
  <si>
    <t xml:space="preserve">Verified</t>
  </si>
  <si>
    <t xml:space="preserve">Retail chain</t>
  </si>
  <si>
    <t xml:space="preserve">Bathware</t>
  </si>
  <si>
    <t xml:space="preserve">Mixed</t>
  </si>
  <si>
    <t xml:space="preserve">201-500</t>
  </si>
  <si>
    <t xml:space="preserve">Quarterly</t>
  </si>
  <si>
    <t xml:space="preserve">Customs / trade data</t>
  </si>
  <si>
    <t xml:space="preserve">LCL</t>
  </si>
  <si>
    <t xml:space="preserve">Senegal</t>
  </si>
  <si>
    <t xml:space="preserve">Bilateral FTA</t>
  </si>
  <si>
    <t xml:space="preserve">End user</t>
  </si>
  <si>
    <t xml:space="preserve">Not found</t>
  </si>
  <si>
    <t xml:space="preserve">Claude research</t>
  </si>
  <si>
    <t xml:space="preserve">Import manager</t>
  </si>
  <si>
    <t xml:space="preserve">Send catalogue</t>
  </si>
  <si>
    <t xml:space="preserve">Qualified</t>
  </si>
  <si>
    <t xml:space="preserve">Supermarket group</t>
  </si>
  <si>
    <t xml:space="preserve">Buckets &amp; basins</t>
  </si>
  <si>
    <t xml:space="preserve">501-1000</t>
  </si>
  <si>
    <t xml:space="preserve">Twice a year</t>
  </si>
  <si>
    <t xml:space="preserve">Buyer stated</t>
  </si>
  <si>
    <t xml:space="preserve">Benin</t>
  </si>
  <si>
    <t xml:space="preserve">Not checked</t>
  </si>
  <si>
    <t xml:space="preserve">Google / website</t>
  </si>
  <si>
    <t xml:space="preserve">Owner / Partner</t>
  </si>
  <si>
    <t xml:space="preserve">Qualify by call</t>
  </si>
  <si>
    <t xml:space="preserve">Disqualified</t>
  </si>
  <si>
    <t xml:space="preserve">Cash &amp; carry</t>
  </si>
  <si>
    <t xml:space="preserve">Bins &amp; cleaning</t>
  </si>
  <si>
    <t xml:space="preserve">1000+</t>
  </si>
  <si>
    <t xml:space="preserve">Ad hoc</t>
  </si>
  <si>
    <t xml:space="preserve">Website / social</t>
  </si>
  <si>
    <t xml:space="preserve">Togo</t>
  </si>
  <si>
    <t xml:space="preserve">To be checked</t>
  </si>
  <si>
    <t xml:space="preserve">Trade directory</t>
  </si>
  <si>
    <t xml:space="preserve">MD / CEO</t>
  </si>
  <si>
    <t xml:space="preserve">Park</t>
  </si>
  <si>
    <t xml:space="preserve">Duplicate</t>
  </si>
  <si>
    <t xml:space="preserve">Buying house / Sourcing agent</t>
  </si>
  <si>
    <t xml:space="preserve">Coolers &amp; insulated ware</t>
  </si>
  <si>
    <t xml:space="preserve">Inferred</t>
  </si>
  <si>
    <t xml:space="preserve">Burkina Faso</t>
  </si>
  <si>
    <t xml:space="preserve">Import data platform</t>
  </si>
  <si>
    <t xml:space="preserve">Sales</t>
  </si>
  <si>
    <t xml:space="preserve">Disqualify</t>
  </si>
  <si>
    <t xml:space="preserve">On hold</t>
  </si>
  <si>
    <t xml:space="preserve">E-commerce</t>
  </si>
  <si>
    <t xml:space="preserve">Water storage &amp; jerrycans</t>
  </si>
  <si>
    <t xml:space="preserve">Mali</t>
  </si>
  <si>
    <t xml:space="preserve">Trade fair contact</t>
  </si>
  <si>
    <t xml:space="preserve">Operations</t>
  </si>
  <si>
    <t xml:space="preserve">Agent / Broker</t>
  </si>
  <si>
    <t xml:space="preserve">Plastic furniture</t>
  </si>
  <si>
    <t xml:space="preserve">Niger</t>
  </si>
  <si>
    <t xml:space="preserve">Referral</t>
  </si>
  <si>
    <t xml:space="preserve">Other</t>
  </si>
  <si>
    <t xml:space="preserve">Manufacturer (complementary range)</t>
  </si>
  <si>
    <t xml:space="preserve">Baby &amp; toys</t>
  </si>
  <si>
    <t xml:space="preserve">Guinea</t>
  </si>
  <si>
    <t xml:space="preserve">Inbound enquiry</t>
  </si>
  <si>
    <t xml:space="preserve">Crates &amp; industrial</t>
  </si>
  <si>
    <t xml:space="preserve">Sierra Leone</t>
  </si>
  <si>
    <t xml:space="preserve">Multiple / full range</t>
  </si>
  <si>
    <t xml:space="preserve">Liberia</t>
  </si>
  <si>
    <t xml:space="preserve">Gambia</t>
  </si>
  <si>
    <t xml:space="preserve">Cape Verde</t>
  </si>
  <si>
    <t xml:space="preserve">Mauritania</t>
  </si>
  <si>
    <t xml:space="preserve">Kenya</t>
  </si>
  <si>
    <t xml:space="preserve">East Africa</t>
  </si>
  <si>
    <t xml:space="preserve">Tanzania</t>
  </si>
  <si>
    <t xml:space="preserve">Uganda</t>
  </si>
  <si>
    <t xml:space="preserve">Rwanda</t>
  </si>
  <si>
    <t xml:space="preserve">Burundi</t>
  </si>
  <si>
    <t xml:space="preserve">Ethiopia</t>
  </si>
  <si>
    <t xml:space="preserve">Somalia</t>
  </si>
  <si>
    <t xml:space="preserve">Djibouti</t>
  </si>
  <si>
    <t xml:space="preserve">South Sudan</t>
  </si>
  <si>
    <t xml:space="preserve">Sudan</t>
  </si>
  <si>
    <t xml:space="preserve">Eritrea</t>
  </si>
  <si>
    <t xml:space="preserve">Cameroon</t>
  </si>
  <si>
    <t xml:space="preserve">Central Africa</t>
  </si>
  <si>
    <t xml:space="preserve">Gabon</t>
  </si>
  <si>
    <t xml:space="preserve">Congo</t>
  </si>
  <si>
    <t xml:space="preserve">DR Congo</t>
  </si>
  <si>
    <t xml:space="preserve">Chad</t>
  </si>
  <si>
    <t xml:space="preserve">Central African Republic</t>
  </si>
  <si>
    <t xml:space="preserve">Equatorial Guinea</t>
  </si>
  <si>
    <t xml:space="preserve">Angola</t>
  </si>
  <si>
    <t xml:space="preserve">South Africa</t>
  </si>
  <si>
    <t xml:space="preserve">Southern Africa</t>
  </si>
  <si>
    <t xml:space="preserve">Zambia</t>
  </si>
  <si>
    <t xml:space="preserve">Zimbabwe</t>
  </si>
  <si>
    <t xml:space="preserve">Botswana</t>
  </si>
  <si>
    <t xml:space="preserve">Namibia</t>
  </si>
  <si>
    <t xml:space="preserve">Mozambique</t>
  </si>
  <si>
    <t xml:space="preserve">Malawi</t>
  </si>
  <si>
    <t xml:space="preserve">Madagascar</t>
  </si>
  <si>
    <t xml:space="preserve">Mauritius</t>
  </si>
  <si>
    <t xml:space="preserve">Lesotho</t>
  </si>
  <si>
    <t xml:space="preserve">Eswatini</t>
  </si>
  <si>
    <t xml:space="preserve">Egypt</t>
  </si>
  <si>
    <t xml:space="preserve">North Africa</t>
  </si>
  <si>
    <t xml:space="preserve">Morocco</t>
  </si>
  <si>
    <t xml:space="preserve">Algeria</t>
  </si>
  <si>
    <t xml:space="preserve">Tunisia</t>
  </si>
  <si>
    <t xml:space="preserve">Libya</t>
  </si>
  <si>
    <t xml:space="preserve">UAE</t>
  </si>
  <si>
    <t xml:space="preserve">Middle East / Gulf</t>
  </si>
  <si>
    <t xml:space="preserve">Saudi Arabia</t>
  </si>
  <si>
    <t xml:space="preserve">Qatar</t>
  </si>
  <si>
    <t xml:space="preserve">Kuwait</t>
  </si>
  <si>
    <t xml:space="preserve">Oman</t>
  </si>
  <si>
    <t xml:space="preserve">Bahrain</t>
  </si>
  <si>
    <t xml:space="preserve">Jordan</t>
  </si>
  <si>
    <t xml:space="preserve">Lebanon</t>
  </si>
  <si>
    <t xml:space="preserve">Iraq</t>
  </si>
  <si>
    <t xml:space="preserve">Israel</t>
  </si>
  <si>
    <t xml:space="preserve">Yemen</t>
  </si>
  <si>
    <t xml:space="preserve">Turkey</t>
  </si>
  <si>
    <t xml:space="preserve">India</t>
  </si>
  <si>
    <t xml:space="preserve">Indian Subcontinent</t>
  </si>
  <si>
    <t xml:space="preserve">Pakistan</t>
  </si>
  <si>
    <t xml:space="preserve">Bangladesh</t>
  </si>
  <si>
    <t xml:space="preserve">Sri Lanka</t>
  </si>
  <si>
    <t xml:space="preserve">Nepal</t>
  </si>
  <si>
    <t xml:space="preserve">Maldives</t>
  </si>
  <si>
    <t xml:space="preserve">Singapore</t>
  </si>
  <si>
    <t xml:space="preserve">South East Asia</t>
  </si>
  <si>
    <t xml:space="preserve">Malaysia</t>
  </si>
  <si>
    <t xml:space="preserve">Indonesia</t>
  </si>
  <si>
    <t xml:space="preserve">Thailand</t>
  </si>
  <si>
    <t xml:space="preserve">Vietnam</t>
  </si>
  <si>
    <t xml:space="preserve">Philippines</t>
  </si>
  <si>
    <t xml:space="preserve">Cambodia</t>
  </si>
  <si>
    <t xml:space="preserve">Myanmar</t>
  </si>
  <si>
    <t xml:space="preserve">China</t>
  </si>
  <si>
    <t xml:space="preserve">East Asia</t>
  </si>
  <si>
    <t xml:space="preserve">Japan</t>
  </si>
  <si>
    <t xml:space="preserve">South Korea</t>
  </si>
  <si>
    <t xml:space="preserve">Taiwan</t>
  </si>
  <si>
    <t xml:space="preserve">Hong Kong</t>
  </si>
  <si>
    <t xml:space="preserve">Australia</t>
  </si>
  <si>
    <t xml:space="preserve">Oceania</t>
  </si>
  <si>
    <t xml:space="preserve">New Zealand</t>
  </si>
  <si>
    <t xml:space="preserve">Fiji</t>
  </si>
  <si>
    <t xml:space="preserve">Papua New Guinea</t>
  </si>
  <si>
    <t xml:space="preserve">Samoa</t>
  </si>
  <si>
    <t xml:space="preserve">Vanuatu</t>
  </si>
  <si>
    <t xml:space="preserve">Solomon Islands</t>
  </si>
  <si>
    <t xml:space="preserve">Tonga</t>
  </si>
  <si>
    <t xml:space="preserve">United Kingdom</t>
  </si>
  <si>
    <t xml:space="preserve">Western Europe</t>
  </si>
  <si>
    <t xml:space="preserve">Ireland</t>
  </si>
  <si>
    <t xml:space="preserve">France</t>
  </si>
  <si>
    <t xml:space="preserve">Germany</t>
  </si>
  <si>
    <t xml:space="preserve">Netherlands</t>
  </si>
  <si>
    <t xml:space="preserve">Belgium</t>
  </si>
  <si>
    <t xml:space="preserve">Spain</t>
  </si>
  <si>
    <t xml:space="preserve">Portugal</t>
  </si>
  <si>
    <t xml:space="preserve">Italy</t>
  </si>
  <si>
    <t xml:space="preserve">Switzerland</t>
  </si>
  <si>
    <t xml:space="preserve">Austria</t>
  </si>
  <si>
    <t xml:space="preserve">Denmark</t>
  </si>
  <si>
    <t xml:space="preserve">Sweden</t>
  </si>
  <si>
    <t xml:space="preserve">Norway</t>
  </si>
  <si>
    <t xml:space="preserve">Finland</t>
  </si>
  <si>
    <t xml:space="preserve">Greece</t>
  </si>
  <si>
    <t xml:space="preserve">Poland</t>
  </si>
  <si>
    <t xml:space="preserve">Eastern Europe</t>
  </si>
  <si>
    <t xml:space="preserve">Czech Republic</t>
  </si>
  <si>
    <t xml:space="preserve">Romania</t>
  </si>
  <si>
    <t xml:space="preserve">Hungary</t>
  </si>
  <si>
    <t xml:space="preserve">Bulgaria</t>
  </si>
  <si>
    <t xml:space="preserve">Croatia</t>
  </si>
  <si>
    <t xml:space="preserve">Serbia</t>
  </si>
  <si>
    <t xml:space="preserve">Slovakia</t>
  </si>
  <si>
    <t xml:space="preserve">Ukraine</t>
  </si>
  <si>
    <t xml:space="preserve">Lithuania</t>
  </si>
  <si>
    <t xml:space="preserve">Latvia</t>
  </si>
  <si>
    <t xml:space="preserve">Estonia</t>
  </si>
  <si>
    <t xml:space="preserve">United States</t>
  </si>
  <si>
    <t xml:space="preserve">North America</t>
  </si>
  <si>
    <t xml:space="preserve">Canada</t>
  </si>
  <si>
    <t xml:space="preserve">Mexico</t>
  </si>
  <si>
    <t xml:space="preserve">Panama</t>
  </si>
  <si>
    <t xml:space="preserve">Central America &amp; Caribbean</t>
  </si>
  <si>
    <t xml:space="preserve">Costa Rica</t>
  </si>
  <si>
    <t xml:space="preserve">Guatemala</t>
  </si>
  <si>
    <t xml:space="preserve">Honduras</t>
  </si>
  <si>
    <t xml:space="preserve">Dominican Republic</t>
  </si>
  <si>
    <t xml:space="preserve">Jamaica</t>
  </si>
  <si>
    <t xml:space="preserve">Trinidad and Tobago</t>
  </si>
  <si>
    <t xml:space="preserve">Haiti</t>
  </si>
  <si>
    <t xml:space="preserve">Puerto Rico</t>
  </si>
  <si>
    <t xml:space="preserve">Bahamas</t>
  </si>
  <si>
    <t xml:space="preserve">Barbados</t>
  </si>
  <si>
    <t xml:space="preserve">Brazil</t>
  </si>
  <si>
    <t xml:space="preserve">South America</t>
  </si>
  <si>
    <t xml:space="preserve">Argentina</t>
  </si>
  <si>
    <t xml:space="preserve">Chile</t>
  </si>
  <si>
    <t xml:space="preserve">Colombia</t>
  </si>
  <si>
    <t xml:space="preserve">Peru</t>
  </si>
  <si>
    <t xml:space="preserve">Ecuador</t>
  </si>
  <si>
    <t xml:space="preserve">Bolivia</t>
  </si>
  <si>
    <t xml:space="preserve">Paraguay</t>
  </si>
  <si>
    <t xml:space="preserve">Uruguay</t>
  </si>
  <si>
    <t xml:space="preserve">Venezuela</t>
  </si>
  <si>
    <t xml:space="preserve">Guyana</t>
  </si>
  <si>
    <t xml:space="preserve">Suriname</t>
  </si>
  <si>
    <t xml:space="preserve">ICP FIT SCORE — THE MODEL</t>
  </si>
  <si>
    <t xml:space="preserve">Every lead is scored out of 100 from six components. Edit the yellow point values to change what SACVIN considers a good lead — the whole LEAD MASTER sheet re-scores itself. Keep the component maximums adding up to 100 unless you deliberately want a different scale.</t>
  </si>
  <si>
    <t xml:space="preserve">1.  Business type</t>
  </si>
  <si>
    <t xml:space="preserve">max 25</t>
  </si>
  <si>
    <t xml:space="preserve">Who actually buys containers. An importer or distributor outranks a single retailer.</t>
  </si>
  <si>
    <t xml:space="preserve">2.  Already importing?</t>
  </si>
  <si>
    <t xml:space="preserve">max 20</t>
  </si>
  <si>
    <t xml:space="preserve">A company that already imports has the licence, the finance and the habit.</t>
  </si>
  <si>
    <t xml:space="preserve">3.  Sourcing from a competing origin</t>
  </si>
  <si>
    <t xml:space="preserve">China, India, Thailand, Turkey, Vietnam. If they buy there, SACVIN has something to displace.</t>
  </si>
  <si>
    <t xml:space="preserve">4.  Company size</t>
  </si>
  <si>
    <t xml:space="preserve">max 15</t>
  </si>
  <si>
    <t xml:space="preserve">Large: est. revenue above USD 20m · Medium: USD 5–20m · Small: below USD 5m.</t>
  </si>
  <si>
    <t xml:space="preserve">5.  Category match</t>
  </si>
  <si>
    <t xml:space="preserve">max 10</t>
  </si>
  <si>
    <t xml:space="preserve">Core: houseware, kitchenware, storage, bathware. Partial: adjacent plastics.</t>
  </si>
  <si>
    <t xml:space="preserve">6.  Contact quality</t>
  </si>
  <si>
    <t xml:space="preserve">Derived automatically from the contact columns on LEAD MASTER.</t>
  </si>
  <si>
    <t xml:space="preserve">Verified email + decision maker</t>
  </si>
  <si>
    <t xml:space="preserve">Verified email, other role</t>
  </si>
  <si>
    <t xml:space="preserve">Email present, not verified</t>
  </si>
  <si>
    <t xml:space="preserve">TIER THRESHOLDS — minimum score for each tier</t>
  </si>
  <si>
    <t xml:space="preserve">A  — contact first</t>
  </si>
  <si>
    <t xml:space="preserve">B  — good, work the list</t>
  </si>
  <si>
    <t xml:space="preserve">C  — worth enriching further</t>
  </si>
  <si>
    <t xml:space="preserve">D  — park or disqualify</t>
  </si>
  <si>
    <t xml:space="preserve">A score is a sorting tool, not a verdict. A C-tier lead with the right buyer on the phone beats an A-tier lead nobody has spoken to.</t>
  </si>
  <si>
    <t xml:space="preserve">1. RECORD</t>
  </si>
  <si>
    <t xml:space="preserve">2. COMPANY</t>
  </si>
  <si>
    <t xml:space="preserve">3. IMPORT INTELLIGENCE</t>
  </si>
  <si>
    <t xml:space="preserve">4. COMMERCIAL FIT</t>
  </si>
  <si>
    <t xml:space="preserve">5. PRIMARY CONTACT</t>
  </si>
  <si>
    <t xml:space="preserve">6. SOURCE &amp; DATA QUALITY</t>
  </si>
  <si>
    <t xml:space="preserve">7. SCORING (AUTO)   —   DO NOT TYPE HERE</t>
  </si>
  <si>
    <t xml:space="preserve">Lead ID</t>
  </si>
  <si>
    <t xml:space="preserve">Date Added</t>
  </si>
  <si>
    <t xml:space="preserve">Added By</t>
  </si>
  <si>
    <t xml:space="preserve">Record Status</t>
  </si>
  <si>
    <t xml:space="preserve">Company Name *</t>
  </si>
  <si>
    <t xml:space="preserve">Website *</t>
  </si>
  <si>
    <t xml:space="preserve">Country *</t>
  </si>
  <si>
    <t xml:space="preserve">Region</t>
  </si>
  <si>
    <t xml:space="preserve">City</t>
  </si>
  <si>
    <t xml:space="preserve">Business Type *</t>
  </si>
  <si>
    <t xml:space="preserve">Product Categories Handled</t>
  </si>
  <si>
    <t xml:space="preserve">Category Match *</t>
  </si>
  <si>
    <t xml:space="preserve">Own Brand / Private Label</t>
  </si>
  <si>
    <t xml:space="preserve">Year Established</t>
  </si>
  <si>
    <t xml:space="preserve">Employees</t>
  </si>
  <si>
    <t xml:space="preserve">Est. Annual Revenue (USD)</t>
  </si>
  <si>
    <t xml:space="preserve">Company Size *</t>
  </si>
  <si>
    <t xml:space="preserve">Outlets / Branches</t>
  </si>
  <si>
    <t xml:space="preserve">LinkedIn Company URL</t>
  </si>
  <si>
    <t xml:space="preserve">What They Do (one line)</t>
  </si>
  <si>
    <t xml:space="preserve">Imports? *</t>
  </si>
  <si>
    <t xml:space="preserve">HS Codes Handled</t>
  </si>
  <si>
    <t xml:space="preserve">Current Source Countries</t>
  </si>
  <si>
    <t xml:space="preserve">Competing Origin Sourced? *</t>
  </si>
  <si>
    <t xml:space="preserve">Known Current Suppliers</t>
  </si>
  <si>
    <t xml:space="preserve">Est. Import Volume (ctnrs/yr)</t>
  </si>
  <si>
    <t xml:space="preserve">Est. Import Value (USD/yr)</t>
  </si>
  <si>
    <t xml:space="preserve">Typical Container Type</t>
  </si>
  <si>
    <t xml:space="preserve">Import Frequency</t>
  </si>
  <si>
    <t xml:space="preserve">Last Known Shipment</t>
  </si>
  <si>
    <t xml:space="preserve">Displacement Opportunity</t>
  </si>
  <si>
    <t xml:space="preserve">Import Data Source</t>
  </si>
  <si>
    <t xml:space="preserve">Nearest Discharge Port</t>
  </si>
  <si>
    <t xml:space="preserve">Preferential Access</t>
  </si>
  <si>
    <t xml:space="preserve">Compliance / Certification</t>
  </si>
  <si>
    <t xml:space="preserve">Language</t>
  </si>
  <si>
    <t xml:space="preserve">Priority SACVIN Products</t>
  </si>
  <si>
    <t xml:space="preserve">Est. Opportunity (USD/yr)</t>
  </si>
  <si>
    <t xml:space="preserve">Contact Name *</t>
  </si>
  <si>
    <t xml:space="preserve">Job Title *</t>
  </si>
  <si>
    <t xml:space="preserve">Decision Role</t>
  </si>
  <si>
    <t xml:space="preserve">Email *</t>
  </si>
  <si>
    <t xml:space="preserve">Email Status</t>
  </si>
  <si>
    <t xml:space="preserve">Phone *</t>
  </si>
  <si>
    <t xml:space="preserve">WhatsApp</t>
  </si>
  <si>
    <t xml:space="preserve">LinkedIn Profile URL</t>
  </si>
  <si>
    <t xml:space="preserve">Contact Source Tool</t>
  </si>
  <si>
    <t xml:space="preserve">Lead Source Tool</t>
  </si>
  <si>
    <t xml:space="preserve">Date Pulled</t>
  </si>
  <si>
    <t xml:space="preserve">Verified By</t>
  </si>
  <si>
    <t xml:space="preserve">Verification Date</t>
  </si>
  <si>
    <t xml:space="preserve">Data Completeness</t>
  </si>
  <si>
    <t xml:space="preserve">Duplicate Flag</t>
  </si>
  <si>
    <t xml:space="preserve">Notes</t>
  </si>
  <si>
    <t xml:space="preserve">Fit Score</t>
  </si>
  <si>
    <t xml:space="preserve">Tier</t>
  </si>
  <si>
    <t xml:space="preserve">Next Step</t>
  </si>
  <si>
    <t xml:space="preserve">SAC/LEAD/0001</t>
  </si>
  <si>
    <t xml:space="preserve">R. Okafor</t>
  </si>
  <si>
    <t xml:space="preserve">Kenmart Distributors Ltd</t>
  </si>
  <si>
    <t xml:space="preserve">kenmart.co.ke</t>
  </si>
  <si>
    <t xml:space="preserve">Nairobi</t>
  </si>
  <si>
    <t xml:space="preserve">Kitchenware, Food storage</t>
  </si>
  <si>
    <t xml:space="preserve">linkedin.com/company/kenmart</t>
  </si>
  <si>
    <t xml:space="preserve">Imports and distributes houseware to 400+ retailers across Kenya</t>
  </si>
  <si>
    <t xml:space="preserve">3924, 3923</t>
  </si>
  <si>
    <t xml:space="preserve">China, India</t>
  </si>
  <si>
    <t xml:space="preserve">Ningbo Homelife Co.</t>
  </si>
  <si>
    <t xml:space="preserve">Mombasa</t>
  </si>
  <si>
    <t xml:space="preserve">PVoC required</t>
  </si>
  <si>
    <t xml:space="preserve">English</t>
  </si>
  <si>
    <t xml:space="preserve">Coolers, jerrycans, buckets</t>
  </si>
  <si>
    <t xml:space="preserve">Grace Wanjiru</t>
  </si>
  <si>
    <t xml:space="preserve">Head of Procurement</t>
  </si>
  <si>
    <t xml:space="preserve">g.wanjiru@kenmart.co.ke</t>
  </si>
  <si>
    <t xml:space="preserve">+254 20 123 4567</t>
  </si>
  <si>
    <t xml:space="preserve">+254 722 000 000</t>
  </si>
  <si>
    <t xml:space="preserve">linkedin.com/in/gracewanjiru</t>
  </si>
  <si>
    <t xml:space="preserve">Import value from Volza, 12 months to Jun-26. Buys monthly.</t>
  </si>
  <si>
    <t xml:space="preserve">SAC/LEAD/0002</t>
  </si>
  <si>
    <t xml:space="preserve">Gulf Home Trading LLC</t>
  </si>
  <si>
    <t xml:space="preserve">gulfhome.ae</t>
  </si>
  <si>
    <t xml:space="preserve">Dubai</t>
  </si>
  <si>
    <t xml:space="preserve">linkedin.com/company/gulfhome</t>
  </si>
  <si>
    <t xml:space="preserve">Re-exports houseware from Jebel Ali into the wider Gulf and East Africa</t>
  </si>
  <si>
    <t xml:space="preserve">3924</t>
  </si>
  <si>
    <t xml:space="preserve">China, Turkey</t>
  </si>
  <si>
    <t xml:space="preserve">Jebel Ali</t>
  </si>
  <si>
    <t xml:space="preserve">English / Arabic</t>
  </si>
  <si>
    <t xml:space="preserve">Storage range, bathware</t>
  </si>
  <si>
    <t xml:space="preserve">Omar Haddad</t>
  </si>
  <si>
    <t xml:space="preserve">Purchase Manager</t>
  </si>
  <si>
    <t xml:space="preserve">omar@gulfhome.ae</t>
  </si>
  <si>
    <t xml:space="preserve">+971 4 555 1234</t>
  </si>
  <si>
    <t xml:space="preserve">Import volumes still to be pulled from Volza. Owner is the real decision maker.</t>
  </si>
  <si>
    <t xml:space="preserve">SAC/LEAD/0003</t>
  </si>
  <si>
    <t xml:space="preserve">S. Menon</t>
  </si>
  <si>
    <t xml:space="preserve">Suva Homeware Imports Pte</t>
  </si>
  <si>
    <t xml:space="preserve">Suva</t>
  </si>
  <si>
    <t xml:space="preserve">Anil Prasad</t>
  </si>
  <si>
    <t xml:space="preserve">Buyer</t>
  </si>
  <si>
    <t xml:space="preserve">anil@suvahomeware.com.fj</t>
  </si>
  <si>
    <t xml:space="preserve">Thin record — website and phone still missing, import status unknown. Verify before spending more time.</t>
  </si>
  <si>
    <t xml:space="preserve">CONTACTS — ONE ROW PER PERSON</t>
  </si>
  <si>
    <t xml:space="preserve">Use this when a company has more than one buyer worth knowing. Enter the Lead ID and the company name fills itself. The primary contact still belongs on the LEAD MASTER sheet — this is for the rest.</t>
  </si>
  <si>
    <t xml:space="preserve">Contact ID</t>
  </si>
  <si>
    <t xml:space="preserve">Company Name</t>
  </si>
  <si>
    <t xml:space="preserve">Full Name</t>
  </si>
  <si>
    <t xml:space="preserve">Job Title</t>
  </si>
  <si>
    <t xml:space="preserve">Function</t>
  </si>
  <si>
    <t xml:space="preserve">Email</t>
  </si>
  <si>
    <t xml:space="preserve">Phone</t>
  </si>
  <si>
    <t xml:space="preserve">Best Time to Call</t>
  </si>
  <si>
    <t xml:space="preserve">Source Tool</t>
  </si>
  <si>
    <t xml:space="preserve">Verified?</t>
  </si>
  <si>
    <t xml:space="preserve">SAC/CON/0001</t>
  </si>
  <si>
    <t xml:space="preserve">David Kamau</t>
  </si>
  <si>
    <t xml:space="preserve">Managing Director</t>
  </si>
  <si>
    <t xml:space="preserve">d.kamau@kenmart.co.ke</t>
  </si>
  <si>
    <t xml:space="preserve">+254 20 123 4560</t>
  </si>
  <si>
    <t xml:space="preserve">09:00-12:00 EAT</t>
  </si>
  <si>
    <t xml:space="preserve">Signs off anything above USD 50k</t>
  </si>
  <si>
    <t xml:space="preserve">SAC/CON/0002</t>
  </si>
  <si>
    <t xml:space="preserve">Fatima Al Balushi</t>
  </si>
  <si>
    <t xml:space="preserve">Category Buyer - Houseware</t>
  </si>
  <si>
    <t xml:space="preserve">fatima@gulfhome.ae</t>
  </si>
  <si>
    <t xml:space="preserve">+971 4 555 1240</t>
  </si>
  <si>
    <t xml:space="preserve">10:00-15:00 GST</t>
  </si>
  <si>
    <t xml:space="preserve">Reports to the owner</t>
  </si>
  <si>
    <t xml:space="preserve">ENRICHMENT GUIDE — WHAT EVERY FIELD MEANS AND WHERE TO GET IT</t>
  </si>
  <si>
    <t xml:space="preserve">Hand this to whoever does the enrichment. Fields marked MANDATORY are the twelve that the Data Completeness percentage measures — a record is not usable until they are filled.</t>
  </si>
  <si>
    <t xml:space="preserve">Col</t>
  </si>
  <si>
    <t xml:space="preserve">Field</t>
  </si>
  <si>
    <t xml:space="preserve">Group</t>
  </si>
  <si>
    <t xml:space="preserve">Mandatory</t>
  </si>
  <si>
    <t xml:space="preserve">Where to get it</t>
  </si>
  <si>
    <t xml:space="preserve">What it means</t>
  </si>
  <si>
    <t xml:space="preserve">Example</t>
  </si>
  <si>
    <t xml:space="preserve">A</t>
  </si>
  <si>
    <t xml:space="preserve">Manual</t>
  </si>
  <si>
    <t xml:space="preserve">Unique reference. Keep the format fixed so it can be cited anywhere.</t>
  </si>
  <si>
    <t xml:space="preserve">B</t>
  </si>
  <si>
    <t xml:space="preserve">The day the record entered this file.</t>
  </si>
  <si>
    <t xml:space="preserve">12-Aug-26</t>
  </si>
  <si>
    <t xml:space="preserve">C</t>
  </si>
  <si>
    <t xml:space="preserve">Who created the record — so questions have an owner.</t>
  </si>
  <si>
    <t xml:space="preserve">D</t>
  </si>
  <si>
    <t xml:space="preserve">Dropdown</t>
  </si>
  <si>
    <t xml:space="preserve">Where the record is in the enrichment process, not the sales process.</t>
  </si>
  <si>
    <t xml:space="preserve">E</t>
  </si>
  <si>
    <t xml:space="preserve">MANDATORY</t>
  </si>
  <si>
    <t xml:space="preserve">Apify / Apollo</t>
  </si>
  <si>
    <t xml:space="preserve">Trading name as the market knows it. Used for the duplicate check, so keep it consistent.</t>
  </si>
  <si>
    <t xml:space="preserve">F</t>
  </si>
  <si>
    <t xml:space="preserve">Website</t>
  </si>
  <si>
    <t xml:space="preserve">Root domain. The single most useful field for verifying everything else.</t>
  </si>
  <si>
    <t xml:space="preserve">G</t>
  </si>
  <si>
    <t xml:space="preserve">Country</t>
  </si>
  <si>
    <t xml:space="preserve">Must be spelled exactly as on the LISTS country table or the Region will not resolve.</t>
  </si>
  <si>
    <t xml:space="preserve">H</t>
  </si>
  <si>
    <t xml:space="preserve">auto</t>
  </si>
  <si>
    <t xml:space="preserve">Auto</t>
  </si>
  <si>
    <t xml:space="preserve">Looked up from the country. Do not type here.</t>
  </si>
  <si>
    <t xml:space="preserve">I</t>
  </si>
  <si>
    <t xml:space="preserve">Helps judge distance from the discharge port and time zone for calling.</t>
  </si>
  <si>
    <t xml:space="preserve">J</t>
  </si>
  <si>
    <t xml:space="preserve">Business Type</t>
  </si>
  <si>
    <t xml:space="preserve">What they actually do. The single biggest driver of the fit score.</t>
  </si>
  <si>
    <t xml:space="preserve">K</t>
  </si>
  <si>
    <t xml:space="preserve">Website / Apify</t>
  </si>
  <si>
    <t xml:space="preserve">What they already sell. Free text or pick from the dropdown; list more than one if true.</t>
  </si>
  <si>
    <t xml:space="preserve">L</t>
  </si>
  <si>
    <t xml:space="preserve">Category Match</t>
  </si>
  <si>
    <t xml:space="preserve">Judgement</t>
  </si>
  <si>
    <t xml:space="preserve">Core / Partial / None against SACVIN's range. Scored.</t>
  </si>
  <si>
    <t xml:space="preserve">M</t>
  </si>
  <si>
    <t xml:space="preserve">Private-label buyers are higher-volume but need artwork and MOQ discipline.</t>
  </si>
  <si>
    <t xml:space="preserve">N</t>
  </si>
  <si>
    <t xml:space="preserve">Apollo / website</t>
  </si>
  <si>
    <t xml:space="preserve">A proxy for stability. Under three years old deserves a credit check.</t>
  </si>
  <si>
    <t xml:space="preserve">1998</t>
  </si>
  <si>
    <t xml:space="preserve">O</t>
  </si>
  <si>
    <t xml:space="preserve">Apollo / LinkedIn</t>
  </si>
  <si>
    <t xml:space="preserve">Band, not an exact number.</t>
  </si>
  <si>
    <t xml:space="preserve">P</t>
  </si>
  <si>
    <t xml:space="preserve">Apollo / Claude research</t>
  </si>
  <si>
    <t xml:space="preserve">Best available estimate. Record the basis in Notes if it is an inference.</t>
  </si>
  <si>
    <t xml:space="preserve">12000000</t>
  </si>
  <si>
    <t xml:space="preserve">Q</t>
  </si>
  <si>
    <t xml:space="preserve">Company Size</t>
  </si>
  <si>
    <t xml:space="preserve">Large / Medium / Small, banded from revenue. Scored.</t>
  </si>
  <si>
    <t xml:space="preserve">R</t>
  </si>
  <si>
    <t xml:space="preserve">For retail and cash &amp; carry — a direct read on offtake.</t>
  </si>
  <si>
    <t xml:space="preserve">14</t>
  </si>
  <si>
    <t xml:space="preserve">S</t>
  </si>
  <si>
    <t xml:space="preserve">Sales Navigator</t>
  </si>
  <si>
    <t xml:space="preserve">The company page, not a person.</t>
  </si>
  <si>
    <t xml:space="preserve">linkedin.com/company/...</t>
  </si>
  <si>
    <t xml:space="preserve">T</t>
  </si>
  <si>
    <t xml:space="preserve">One sentence a salesperson can read before dialling.</t>
  </si>
  <si>
    <t xml:space="preserve">U</t>
  </si>
  <si>
    <t xml:space="preserve">Imports?</t>
  </si>
  <si>
    <t xml:space="preserve">Import data / website</t>
  </si>
  <si>
    <t xml:space="preserve">Do they import directly, or only buy locally? Scored heavily.</t>
  </si>
  <si>
    <t xml:space="preserve">V</t>
  </si>
  <si>
    <t xml:space="preserve">Import data</t>
  </si>
  <si>
    <t xml:space="preserve">Plastic houseware sits mainly in 3924, plus 3922, 3923, 3926.</t>
  </si>
  <si>
    <t xml:space="preserve">W</t>
  </si>
  <si>
    <t xml:space="preserve">Where they buy today. Free text, comma separated.</t>
  </si>
  <si>
    <t xml:space="preserve">X</t>
  </si>
  <si>
    <t xml:space="preserve">Competing Origin Sourced?</t>
  </si>
  <si>
    <t xml:space="preserve">Derived</t>
  </si>
  <si>
    <t xml:space="preserve">Yes if they source from China, India, Thailand, Turkey or Vietnam. Scored.</t>
  </si>
  <si>
    <t xml:space="preserve">Y</t>
  </si>
  <si>
    <t xml:space="preserve">Named suppliers you would be displacing. Gold dust for the first call.</t>
  </si>
  <si>
    <t xml:space="preserve">Z</t>
  </si>
  <si>
    <t xml:space="preserve">Containers per year, all categories.</t>
  </si>
  <si>
    <t xml:space="preserve">40</t>
  </si>
  <si>
    <t xml:space="preserve">AA</t>
  </si>
  <si>
    <t xml:space="preserve">Annual import value, all categories.</t>
  </si>
  <si>
    <t xml:space="preserve">1800000</t>
  </si>
  <si>
    <t xml:space="preserve">AB</t>
  </si>
  <si>
    <t xml:space="preserve">Tells you the order size to quote for.</t>
  </si>
  <si>
    <t xml:space="preserve">AC</t>
  </si>
  <si>
    <t xml:space="preserve">How often they buy — sets your follow-up rhythm.</t>
  </si>
  <si>
    <t xml:space="preserve">AD</t>
  </si>
  <si>
    <t xml:space="preserve">A buyer who shipped last month is live. One who last shipped in 2023 may not be.</t>
  </si>
  <si>
    <t xml:space="preserve">18-Jul-26</t>
  </si>
  <si>
    <t xml:space="preserve">AE</t>
  </si>
  <si>
    <t xml:space="preserve">How realistically SACVIN can take share, given price, range and lead time.</t>
  </si>
  <si>
    <t xml:space="preserve">AF</t>
  </si>
  <si>
    <t xml:space="preserve">Where the import figures came from. Never leave this blank if figures are filled.</t>
  </si>
  <si>
    <t xml:space="preserve">AG</t>
  </si>
  <si>
    <t xml:space="preserve">Drives freight cost and the transit time you can quote.</t>
  </si>
  <si>
    <t xml:space="preserve">AH</t>
  </si>
  <si>
    <t xml:space="preserve">Any duty relief on Nigerian origin. Verify before quoting it to a buyer.</t>
  </si>
  <si>
    <t xml:space="preserve">AI</t>
  </si>
  <si>
    <t xml:space="preserve">Destination requirements — pre-shipment inspection, marking, standards mark.</t>
  </si>
  <si>
    <t xml:space="preserve">AJ</t>
  </si>
  <si>
    <t xml:space="preserve">For catalogue, label and first-mail language.</t>
  </si>
  <si>
    <t xml:space="preserve">AK</t>
  </si>
  <si>
    <t xml:space="preserve">The two or three SKUs to lead with for this buyer.</t>
  </si>
  <si>
    <t xml:space="preserve">Coolers, jerrycans</t>
  </si>
  <si>
    <t xml:space="preserve">AL</t>
  </si>
  <si>
    <t xml:space="preserve">What SACVIN could realistically win in year one. Keep it honest.</t>
  </si>
  <si>
    <t xml:space="preserve">180000</t>
  </si>
  <si>
    <t xml:space="preserve">AM</t>
  </si>
  <si>
    <t xml:space="preserve">Contact Name</t>
  </si>
  <si>
    <t xml:space="preserve">Sales Navigator / Apollo</t>
  </si>
  <si>
    <t xml:space="preserve">The buying decision maker, not the info@ inbox.</t>
  </si>
  <si>
    <t xml:space="preserve">AN</t>
  </si>
  <si>
    <t xml:space="preserve">As written on LinkedIn.</t>
  </si>
  <si>
    <t xml:space="preserve">AO</t>
  </si>
  <si>
    <t xml:space="preserve">Decision maker / Influencer / Gatekeeper. Affects the score.</t>
  </si>
  <si>
    <t xml:space="preserve">AP</t>
  </si>
  <si>
    <t xml:space="preserve">Direct address wherever possible.</t>
  </si>
  <si>
    <t xml:space="preserve">AQ</t>
  </si>
  <si>
    <t xml:space="preserve">Apollo verify</t>
  </si>
  <si>
    <t xml:space="preserve">Valid / Risky / Invalid / Not found. Send nothing to Invalid.</t>
  </si>
  <si>
    <t xml:space="preserve">AR</t>
  </si>
  <si>
    <t xml:space="preserve">In full international format.</t>
  </si>
  <si>
    <t xml:space="preserve">AS</t>
  </si>
  <si>
    <t xml:space="preserve">Often the fastest channel in Africa and the Gulf.</t>
  </si>
  <si>
    <t xml:space="preserve">AT</t>
  </si>
  <si>
    <t xml:space="preserve">The person, not the company.</t>
  </si>
  <si>
    <t xml:space="preserve">linkedin.com/in/...</t>
  </si>
  <si>
    <t xml:space="preserve">AU</t>
  </si>
  <si>
    <t xml:space="preserve">Where this person's details came from.</t>
  </si>
  <si>
    <t xml:space="preserve">AV</t>
  </si>
  <si>
    <t xml:space="preserve">How the company entered the list.</t>
  </si>
  <si>
    <t xml:space="preserve">AW</t>
  </si>
  <si>
    <t xml:space="preserve">Data ages. Anything over six months old should be re-checked.</t>
  </si>
  <si>
    <t xml:space="preserve">10-Aug-26</t>
  </si>
  <si>
    <t xml:space="preserve">AX</t>
  </si>
  <si>
    <t xml:space="preserve">Who confirmed the record against the company's own website.</t>
  </si>
  <si>
    <t xml:space="preserve">AY</t>
  </si>
  <si>
    <t xml:space="preserve">When that check happened.</t>
  </si>
  <si>
    <t xml:space="preserve">14-Aug-26</t>
  </si>
  <si>
    <t xml:space="preserve">AZ</t>
  </si>
  <si>
    <t xml:space="preserve">Share of the twelve mandatory fields that are filled. Do not type here.</t>
  </si>
  <si>
    <t xml:space="preserve">92%</t>
  </si>
  <si>
    <t xml:space="preserve">BA</t>
  </si>
  <si>
    <t xml:space="preserve">Flags a company name that appears more than once. Do not type here.</t>
  </si>
  <si>
    <t xml:space="preserve">BB</t>
  </si>
  <si>
    <t xml:space="preserve">Anything a colleague would need before calling. Record the basis for any estimate.</t>
  </si>
  <si>
    <t xml:space="preserve">Met at Ambiente 2025</t>
  </si>
  <si>
    <t xml:space="preserve">BC</t>
  </si>
  <si>
    <t xml:space="preserve">7. SCORING (AUTO)</t>
  </si>
  <si>
    <t xml:space="preserve">Out of 100, from the SCORING sheet. Do not type here.</t>
  </si>
  <si>
    <t xml:space="preserve">82</t>
  </si>
  <si>
    <t xml:space="preserve">BD</t>
  </si>
  <si>
    <t xml:space="preserve">A / B / C / D from the score. Do not type here.</t>
  </si>
  <si>
    <t xml:space="preserve">BE</t>
  </si>
  <si>
    <t xml:space="preserve">The one thing to do next with this record.</t>
  </si>
  <si>
    <t xml:space="preserve">LEAD LIST — AT A GLANCE</t>
  </si>
  <si>
    <t xml:space="preserve">THE LIST</t>
  </si>
  <si>
    <t xml:space="preserve">Total Leads</t>
  </si>
  <si>
    <t xml:space="preserve">Tier A</t>
  </si>
  <si>
    <t xml:space="preserve">Tier B</t>
  </si>
  <si>
    <t xml:space="preserve">Tier C</t>
  </si>
  <si>
    <t xml:space="preserve">Tier D</t>
  </si>
  <si>
    <t xml:space="preserve">Duplicates</t>
  </si>
  <si>
    <t xml:space="preserve">QUALITY &amp; OPPORTUNITY</t>
  </si>
  <si>
    <t xml:space="preserve">Avg Fit Score</t>
  </si>
  <si>
    <t xml:space="preserve">Avg Data Completeness</t>
  </si>
  <si>
    <t xml:space="preserve">Records under 70% complete</t>
  </si>
  <si>
    <t xml:space="preserve">Confirmed importers</t>
  </si>
  <si>
    <t xml:space="preserve">Sourcing competing origins</t>
  </si>
  <si>
    <t xml:space="preserve">BY BUSINESS TYPE</t>
  </si>
  <si>
    <t xml:space="preserve">BY REGION</t>
  </si>
  <si>
    <t xml:space="preserve">Leads</t>
  </si>
</sst>
</file>

<file path=xl/styles.xml><?xml version="1.0" encoding="utf-8"?>
<styleSheet xmlns="http://schemas.openxmlformats.org/spreadsheetml/2006/main">
  <numFmts count="6">
    <numFmt numFmtId="164" formatCode="General"/>
    <numFmt numFmtId="165" formatCode="dd\-mmm\-yy"/>
    <numFmt numFmtId="166" formatCode="#,##0"/>
    <numFmt numFmtId="167" formatCode="0%"/>
    <numFmt numFmtId="168" formatCode="0"/>
    <numFmt numFmtId="169" formatCode="General"/>
  </numFmts>
  <fonts count="26">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i val="true"/>
      <sz val="11"/>
      <color rgb="FF7F7F7F"/>
      <name val="Arial"/>
      <family val="0"/>
      <charset val="1"/>
    </font>
    <font>
      <b val="true"/>
      <sz val="12"/>
      <color rgb="FFFFFFFF"/>
      <name val="Arial"/>
      <family val="0"/>
      <charset val="1"/>
    </font>
    <font>
      <b val="true"/>
      <sz val="10"/>
      <color rgb="FF1F3864"/>
      <name val="Arial"/>
      <family val="0"/>
      <charset val="1"/>
    </font>
    <font>
      <sz val="10"/>
      <color rgb="FF000000"/>
      <name val="Arial"/>
      <family val="0"/>
      <charset val="1"/>
    </font>
    <font>
      <sz val="9"/>
      <color rgb="FF7F7F7F"/>
      <name val="Arial"/>
      <family val="0"/>
      <charset val="1"/>
    </font>
    <font>
      <b val="true"/>
      <sz val="13"/>
      <color rgb="FF1F3864"/>
      <name val="Arial"/>
      <family val="0"/>
      <charset val="1"/>
    </font>
    <font>
      <b val="true"/>
      <sz val="8"/>
      <color rgb="FFFFFFFF"/>
      <name val="Arial"/>
      <family val="0"/>
      <charset val="1"/>
    </font>
    <font>
      <i val="true"/>
      <sz val="9"/>
      <color rgb="FF7F7F7F"/>
      <name val="Arial"/>
      <family val="0"/>
      <charset val="1"/>
    </font>
    <font>
      <sz val="9"/>
      <color rgb="FF000000"/>
      <name val="Arial"/>
      <family val="0"/>
      <charset val="1"/>
    </font>
    <font>
      <b val="true"/>
      <sz val="13"/>
      <color rgb="FF375623"/>
      <name val="Arial"/>
      <family val="0"/>
      <charset val="1"/>
    </font>
    <font>
      <b val="true"/>
      <sz val="10"/>
      <color rgb="FF2E5C8A"/>
      <name val="Arial"/>
      <family val="0"/>
      <charset val="1"/>
    </font>
    <font>
      <b val="true"/>
      <sz val="9"/>
      <color rgb="FF7F7F7F"/>
      <name val="Arial"/>
      <family val="0"/>
      <charset val="1"/>
    </font>
    <font>
      <b val="true"/>
      <sz val="9"/>
      <color rgb="FF0000FF"/>
      <name val="Arial"/>
      <family val="0"/>
      <charset val="1"/>
    </font>
    <font>
      <b val="true"/>
      <sz val="9"/>
      <color rgb="FF000000"/>
      <name val="Arial"/>
      <family val="0"/>
      <charset val="1"/>
    </font>
    <font>
      <b val="true"/>
      <sz val="10"/>
      <color rgb="FFFFFFFF"/>
      <name val="Arial"/>
      <family val="0"/>
      <charset val="1"/>
    </font>
    <font>
      <b val="true"/>
      <sz val="9"/>
      <color rgb="FFFFFFFF"/>
      <name val="Arial"/>
      <family val="0"/>
      <charset val="1"/>
    </font>
    <font>
      <b val="true"/>
      <sz val="13"/>
      <color rgb="FF7F4F24"/>
      <name val="Arial"/>
      <family val="0"/>
      <charset val="1"/>
    </font>
    <font>
      <sz val="9"/>
      <color rgb="FF9C0006"/>
      <name val="Arial"/>
      <family val="0"/>
      <charset val="1"/>
    </font>
    <font>
      <b val="true"/>
      <sz val="15"/>
      <color rgb="FF1F3864"/>
      <name val="Arial"/>
      <family val="0"/>
      <charset val="1"/>
    </font>
    <font>
      <b val="true"/>
      <sz val="11"/>
      <color rgb="FF2E5C8A"/>
      <name val="Arial"/>
      <family val="0"/>
      <charset val="1"/>
    </font>
    <font>
      <b val="true"/>
      <sz val="9"/>
      <color rgb="FF1F3864"/>
      <name val="Arial"/>
      <family val="0"/>
      <charset val="1"/>
    </font>
  </fonts>
  <fills count="15">
    <fill>
      <patternFill patternType="none"/>
    </fill>
    <fill>
      <patternFill patternType="gray125"/>
    </fill>
    <fill>
      <patternFill patternType="solid">
        <fgColor rgb="FF2E5C8A"/>
        <bgColor rgb="FF595959"/>
      </patternFill>
    </fill>
    <fill>
      <patternFill patternType="solid">
        <fgColor rgb="FF1F3864"/>
        <bgColor rgb="FF2E5C8A"/>
      </patternFill>
    </fill>
    <fill>
      <patternFill patternType="solid">
        <fgColor rgb="FFFFF2CC"/>
        <bgColor rgb="FFF2F2F2"/>
      </patternFill>
    </fill>
    <fill>
      <patternFill patternType="solid">
        <fgColor rgb="FF7F4F24"/>
        <bgColor rgb="FF833C00"/>
      </patternFill>
    </fill>
    <fill>
      <patternFill patternType="solid">
        <fgColor rgb="FF5B2C6F"/>
        <bgColor rgb="FF1F3864"/>
      </patternFill>
    </fill>
    <fill>
      <patternFill patternType="solid">
        <fgColor rgb="FF375623"/>
        <bgColor rgb="FF595959"/>
      </patternFill>
    </fill>
    <fill>
      <patternFill patternType="solid">
        <fgColor rgb="FF833C00"/>
        <bgColor rgb="FF7F4F24"/>
      </patternFill>
    </fill>
    <fill>
      <patternFill patternType="solid">
        <fgColor rgb="FF595959"/>
        <bgColor rgb="FF375623"/>
      </patternFill>
    </fill>
    <fill>
      <patternFill patternType="solid">
        <fgColor rgb="FFF2F2F2"/>
        <bgColor rgb="FFFFFFFF"/>
      </patternFill>
    </fill>
    <fill>
      <patternFill patternType="solid">
        <fgColor rgb="FFD9E2F3"/>
        <bgColor rgb="FFF2F2F2"/>
      </patternFill>
    </fill>
    <fill>
      <patternFill patternType="solid">
        <fgColor rgb="FFC6EFCE"/>
        <bgColor rgb="FFD9E2F3"/>
      </patternFill>
    </fill>
    <fill>
      <patternFill patternType="solid">
        <fgColor rgb="FFFFEB9C"/>
        <bgColor rgb="FFFFF2CC"/>
      </patternFill>
    </fill>
    <fill>
      <patternFill patternType="solid">
        <fgColor rgb="FFFFC7CE"/>
        <bgColor rgb="FFD9E2F3"/>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left" vertical="center" textRotation="0" wrapText="true" indent="0" shrinkToFit="false"/>
      <protection locked="true" hidden="false"/>
    </xf>
    <xf numFmtId="164" fontId="19" fillId="3" borderId="2" xfId="0" applyFont="true" applyBorder="true" applyAlignment="true" applyProtection="false">
      <alignment horizontal="center" vertical="center" textRotation="0" wrapText="true" indent="0" shrinkToFit="false"/>
      <protection locked="true" hidden="false"/>
    </xf>
    <xf numFmtId="164" fontId="19" fillId="2" borderId="2" xfId="0" applyFont="true" applyBorder="true" applyAlignment="true" applyProtection="false">
      <alignment horizontal="center" vertical="center" textRotation="0" wrapText="true" indent="0" shrinkToFit="false"/>
      <protection locked="true" hidden="false"/>
    </xf>
    <xf numFmtId="164" fontId="19" fillId="5" borderId="2" xfId="0" applyFont="true" applyBorder="true" applyAlignment="true" applyProtection="false">
      <alignment horizontal="center" vertical="center" textRotation="0" wrapText="true" indent="0" shrinkToFit="false"/>
      <protection locked="true" hidden="false"/>
    </xf>
    <xf numFmtId="164" fontId="19" fillId="6" borderId="2" xfId="0" applyFont="true" applyBorder="true" applyAlignment="true" applyProtection="false">
      <alignment horizontal="center" vertical="center" textRotation="0" wrapText="true" indent="0" shrinkToFit="false"/>
      <protection locked="true" hidden="false"/>
    </xf>
    <xf numFmtId="164" fontId="19" fillId="7" borderId="2" xfId="0" applyFont="true" applyBorder="true" applyAlignment="true" applyProtection="false">
      <alignment horizontal="center" vertical="center" textRotation="0" wrapText="true" indent="0" shrinkToFit="false"/>
      <protection locked="true" hidden="false"/>
    </xf>
    <xf numFmtId="164" fontId="19" fillId="8" borderId="2" xfId="0" applyFont="true" applyBorder="true" applyAlignment="true" applyProtection="false">
      <alignment horizontal="center" vertical="center" textRotation="0" wrapText="true" indent="0" shrinkToFit="false"/>
      <protection locked="true" hidden="false"/>
    </xf>
    <xf numFmtId="164" fontId="19" fillId="9" borderId="2" xfId="0" applyFont="true" applyBorder="true" applyAlignment="true" applyProtection="false">
      <alignment horizontal="center" vertical="center" textRotation="0" wrapText="tru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20" fillId="9"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5" fontId="13" fillId="4"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left" vertical="center" textRotation="0" wrapText="true" indent="0" shrinkToFit="false"/>
      <protection locked="true" hidden="false"/>
    </xf>
    <xf numFmtId="164" fontId="13" fillId="10" borderId="1" xfId="0" applyFont="true" applyBorder="true" applyAlignment="true" applyProtection="false">
      <alignment horizontal="center" vertical="center" textRotation="0" wrapText="true" indent="0" shrinkToFit="false"/>
      <protection locked="true" hidden="false"/>
    </xf>
    <xf numFmtId="166" fontId="13" fillId="4" borderId="1" xfId="0" applyFont="true" applyBorder="true" applyAlignment="true" applyProtection="false">
      <alignment horizontal="center" vertical="center" textRotation="0" wrapText="true" indent="0" shrinkToFit="false"/>
      <protection locked="true" hidden="false"/>
    </xf>
    <xf numFmtId="167" fontId="13" fillId="10" borderId="1" xfId="0" applyFont="true" applyBorder="true" applyAlignment="true" applyProtection="false">
      <alignment horizontal="center" vertical="center" textRotation="0" wrapText="true" indent="0" shrinkToFit="false"/>
      <protection locked="true" hidden="false"/>
    </xf>
    <xf numFmtId="168" fontId="18" fillId="10" borderId="1" xfId="0" applyFont="true" applyBorder="true" applyAlignment="true" applyProtection="false">
      <alignment horizontal="center" vertical="center" textRotation="0" wrapText="true" indent="0" shrinkToFit="false"/>
      <protection locked="true" hidden="false"/>
    </xf>
    <xf numFmtId="164" fontId="18" fillId="1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5" fontId="13" fillId="0" borderId="1" xfId="0" applyFont="true" applyBorder="true" applyAlignment="true" applyProtection="false">
      <alignment horizontal="center" vertical="center" textRotation="0" wrapText="true" indent="0" shrinkToFit="false"/>
      <protection locked="true" hidden="false"/>
    </xf>
    <xf numFmtId="166" fontId="13" fillId="0" borderId="1" xfId="0" applyFont="true" applyBorder="true" applyAlignment="true" applyProtection="false">
      <alignment horizontal="center" vertical="center" textRotation="0" wrapText="true" indent="0" shrinkToFit="false"/>
      <protection locked="true" hidden="false"/>
    </xf>
    <xf numFmtId="164" fontId="20" fillId="7" borderId="1" xfId="0" applyFont="true" applyBorder="true" applyAlignment="true" applyProtection="false">
      <alignment horizontal="center" vertical="center" textRotation="0" wrapText="true" indent="0" shrinkToFit="false"/>
      <protection locked="true" hidden="false"/>
    </xf>
    <xf numFmtId="164" fontId="13" fillId="10" borderId="1" xfId="0" applyFont="true" applyBorder="true" applyAlignment="true" applyProtection="false">
      <alignment horizontal="left" vertical="center"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0" fillId="5"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center" vertical="center" textRotation="0" wrapText="true" indent="0" shrinkToFit="false"/>
      <protection locked="true" hidden="false"/>
    </xf>
    <xf numFmtId="164" fontId="18" fillId="10" borderId="1" xfId="0" applyFont="true" applyBorder="true" applyAlignment="true" applyProtection="false">
      <alignment horizontal="left" vertical="center" textRotation="0" wrapText="tru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5" fillId="11" borderId="1" xfId="0" applyFont="true" applyBorder="true" applyAlignment="true" applyProtection="false">
      <alignment horizontal="center" vertical="center" textRotation="0" wrapText="true" indent="0" shrinkToFit="false"/>
      <protection locked="true" hidden="false"/>
    </xf>
    <xf numFmtId="164" fontId="25" fillId="12" borderId="1" xfId="0" applyFont="true" applyBorder="true" applyAlignment="true" applyProtection="false">
      <alignment horizontal="center" vertical="center" textRotation="0" wrapText="true" indent="0" shrinkToFit="false"/>
      <protection locked="true" hidden="false"/>
    </xf>
    <xf numFmtId="164" fontId="25" fillId="13" borderId="1" xfId="0" applyFont="true" applyBorder="true" applyAlignment="true" applyProtection="false">
      <alignment horizontal="center" vertical="center" textRotation="0" wrapText="true" indent="0" shrinkToFit="false"/>
      <protection locked="true" hidden="false"/>
    </xf>
    <xf numFmtId="164" fontId="25" fillId="14" borderId="1" xfId="0" applyFont="true" applyBorder="true" applyAlignment="true" applyProtection="false">
      <alignment horizontal="center" vertical="center" textRotation="0" wrapText="true" indent="0" shrinkToFit="false"/>
      <protection locked="true" hidden="false"/>
    </xf>
    <xf numFmtId="169" fontId="4" fillId="0" borderId="1" xfId="0" applyFont="true" applyBorder="true" applyAlignment="true" applyProtection="false">
      <alignment horizontal="center" vertical="center" textRotation="0" wrapText="true" indent="0" shrinkToFit="false"/>
      <protection locked="true" hidden="false"/>
    </xf>
    <xf numFmtId="167" fontId="4" fillId="0" borderId="1" xfId="0" applyFont="true" applyBorder="true" applyAlignment="true" applyProtection="false">
      <alignment horizontal="center" vertical="center" textRotation="0" wrapText="true" indent="0" shrinkToFit="false"/>
      <protection locked="true" hidden="false"/>
    </xf>
    <xf numFmtId="166" fontId="4" fillId="0" borderId="1" xfId="0" applyFont="true" applyBorder="true" applyAlignment="true" applyProtection="false">
      <alignment horizontal="center" vertical="center" textRotation="0" wrapText="true" indent="0" shrinkToFit="false"/>
      <protection locked="true" hidden="false"/>
    </xf>
    <xf numFmtId="164" fontId="20" fillId="3" borderId="1" xfId="0" applyFont="true" applyBorder="true" applyAlignment="true" applyProtection="false">
      <alignment horizontal="center" vertical="center" textRotation="0" wrapText="true" indent="0" shrinkToFit="false"/>
      <protection locked="true" hidden="false"/>
    </xf>
    <xf numFmtId="169" fontId="18"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2E5C8A"/>
          <bgColor rgb="FF000000"/>
        </patternFill>
      </fill>
    </dxf>
    <dxf>
      <fill>
        <patternFill patternType="solid">
          <fgColor rgb="FFFFF2C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595959"/>
          <bgColor rgb="FF000000"/>
        </patternFill>
      </fill>
    </dxf>
    <dxf>
      <fill>
        <patternFill patternType="solid">
          <fgColor rgb="FFF2F2F2"/>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6500"/>
          <bgColor rgb="FF000000"/>
        </patternFill>
      </fill>
    </dxf>
    <dxf>
      <font>
        <name val="Arial"/>
        <charset val="1"/>
        <family val="0"/>
        <b val="1"/>
        <color rgb="FF006100"/>
        <sz val="9"/>
      </font>
      <fill>
        <patternFill>
          <bgColor rgb="FFC6EFCE"/>
        </patternFill>
      </fill>
    </dxf>
    <dxf>
      <font>
        <name val="Arial"/>
        <charset val="1"/>
        <family val="0"/>
        <b val="1"/>
        <color rgb="FF1F3864"/>
        <sz val="9"/>
      </font>
      <fill>
        <patternFill>
          <bgColor rgb="FFD9E2F3"/>
        </patternFill>
      </fill>
    </dxf>
    <dxf>
      <font>
        <name val="Arial"/>
        <charset val="1"/>
        <family val="0"/>
        <b val="1"/>
        <color rgb="FF9C6500"/>
        <sz val="9"/>
      </font>
      <fill>
        <patternFill>
          <bgColor rgb="FFFFEB9C"/>
        </patternFill>
      </fill>
    </dxf>
    <dxf>
      <font>
        <name val="Arial"/>
        <charset val="1"/>
        <family val="0"/>
        <b val="1"/>
        <color rgb="FF9C0006"/>
        <sz val="9"/>
      </font>
      <fill>
        <patternFill>
          <bgColor rgb="FFFFC7CE"/>
        </patternFill>
      </fill>
    </dxf>
    <dxf>
      <fill>
        <patternFill>
          <bgColor rgb="FFFFEB9C"/>
        </patternFill>
      </fill>
    </dxf>
    <dxf>
      <fill>
        <patternFill patternType="solid">
          <fgColor rgb="FF375623"/>
          <bgColor rgb="FF000000"/>
        </patternFill>
      </fill>
    </dxf>
    <dxf>
      <fill>
        <patternFill patternType="solid">
          <fgColor rgb="FF7F4F24"/>
          <bgColor rgb="FF000000"/>
        </patternFill>
      </fill>
    </dxf>
    <dxf>
      <fill>
        <patternFill patternType="solid">
          <fgColor rgb="FF9C0006"/>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9999FF"/>
      <rgbColor rgb="FF7F4F24"/>
      <rgbColor rgb="FFFFF2CC"/>
      <rgbColor rgb="FFF2F2F2"/>
      <rgbColor rgb="FF660066"/>
      <rgbColor rgb="FFFF8080"/>
      <rgbColor rgb="FF2E5C8A"/>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C55A11"/>
      <rgbColor rgb="FF595959"/>
      <rgbColor rgb="FF7F7F7F"/>
      <rgbColor rgb="FF1F3864"/>
      <rgbColor rgb="FF339966"/>
      <rgbColor rgb="FF003300"/>
      <rgbColor rgb="FF333300"/>
      <rgbColor rgb="FF833C00"/>
      <rgbColor rgb="FF993366"/>
      <rgbColor rgb="FF5B2C6F"/>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B2:C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8"/>
    <col collapsed="false" customWidth="true" hidden="false" outlineLevel="0" max="3" min="3" style="0" width="106"/>
  </cols>
  <sheetData>
    <row r="2" customFormat="false" ht="22.05" hidden="false" customHeight="false" outlineLevel="0" collapsed="false">
      <c r="B2" s="1" t="s">
        <v>0</v>
      </c>
    </row>
    <row r="3" customFormat="false" ht="15" hidden="false" customHeight="false" outlineLevel="0" collapsed="false">
      <c r="B3" s="2" t="s">
        <v>1</v>
      </c>
    </row>
    <row r="5" customFormat="false" ht="24" hidden="false" customHeight="true" outlineLevel="0" collapsed="false">
      <c r="B5" s="3" t="s">
        <v>2</v>
      </c>
      <c r="C5" s="3"/>
    </row>
    <row r="6" customFormat="false" ht="30" hidden="false" customHeight="true" outlineLevel="0" collapsed="false">
      <c r="B6" s="4" t="s">
        <v>3</v>
      </c>
      <c r="C6" s="5" t="s">
        <v>4</v>
      </c>
    </row>
    <row r="7" customFormat="false" ht="30" hidden="false" customHeight="true" outlineLevel="0" collapsed="false">
      <c r="B7" s="4" t="s">
        <v>5</v>
      </c>
      <c r="C7" s="5" t="s">
        <v>6</v>
      </c>
    </row>
    <row r="8" customFormat="false" ht="30" hidden="false" customHeight="true" outlineLevel="0" collapsed="false">
      <c r="B8" s="4" t="s">
        <v>7</v>
      </c>
      <c r="C8" s="5" t="s">
        <v>8</v>
      </c>
    </row>
    <row r="9" customFormat="false" ht="15.75" hidden="false" customHeight="true" outlineLevel="0" collapsed="false">
      <c r="B9" s="4" t="s">
        <v>9</v>
      </c>
      <c r="C9" s="5" t="s">
        <v>10</v>
      </c>
    </row>
    <row r="10" customFormat="false" ht="30" hidden="false" customHeight="true" outlineLevel="0" collapsed="false">
      <c r="B10" s="4" t="s">
        <v>11</v>
      </c>
      <c r="C10" s="5" t="s">
        <v>12</v>
      </c>
    </row>
    <row r="11" customFormat="false" ht="30" hidden="false" customHeight="true" outlineLevel="0" collapsed="false">
      <c r="B11" s="4" t="s">
        <v>13</v>
      </c>
      <c r="C11" s="5" t="s">
        <v>14</v>
      </c>
    </row>
    <row r="13" customFormat="false" ht="24" hidden="false" customHeight="true" outlineLevel="0" collapsed="false">
      <c r="B13" s="3" t="s">
        <v>15</v>
      </c>
      <c r="C13" s="3"/>
    </row>
    <row r="14" customFormat="false" ht="15.75" hidden="false" customHeight="true" outlineLevel="0" collapsed="false">
      <c r="B14" s="4" t="s">
        <v>16</v>
      </c>
      <c r="C14" s="5" t="s">
        <v>17</v>
      </c>
    </row>
    <row r="15" customFormat="false" ht="30" hidden="false" customHeight="true" outlineLevel="0" collapsed="false">
      <c r="B15" s="4" t="s">
        <v>18</v>
      </c>
      <c r="C15" s="5" t="s">
        <v>19</v>
      </c>
    </row>
    <row r="16" customFormat="false" ht="30" hidden="false" customHeight="true" outlineLevel="0" collapsed="false">
      <c r="B16" s="4" t="s">
        <v>20</v>
      </c>
      <c r="C16" s="5" t="s">
        <v>21</v>
      </c>
    </row>
    <row r="17" customFormat="false" ht="30" hidden="false" customHeight="true" outlineLevel="0" collapsed="false">
      <c r="B17" s="4" t="s">
        <v>22</v>
      </c>
      <c r="C17" s="5" t="s">
        <v>23</v>
      </c>
    </row>
    <row r="18" customFormat="false" ht="15.75" hidden="false" customHeight="true" outlineLevel="0" collapsed="false">
      <c r="B18" s="4" t="s">
        <v>24</v>
      </c>
      <c r="C18" s="5" t="s">
        <v>25</v>
      </c>
    </row>
    <row r="19" customFormat="false" ht="30" hidden="false" customHeight="true" outlineLevel="0" collapsed="false">
      <c r="B19" s="4" t="s">
        <v>26</v>
      </c>
      <c r="C19" s="5" t="s">
        <v>27</v>
      </c>
    </row>
    <row r="20" customFormat="false" ht="15.75" hidden="false" customHeight="true" outlineLevel="0" collapsed="false">
      <c r="B20" s="4" t="s">
        <v>28</v>
      </c>
      <c r="C20" s="5" t="s">
        <v>29</v>
      </c>
    </row>
    <row r="22" customFormat="false" ht="24" hidden="false" customHeight="true" outlineLevel="0" collapsed="false">
      <c r="B22" s="3" t="s">
        <v>30</v>
      </c>
      <c r="C22" s="3"/>
    </row>
    <row r="23" customFormat="false" ht="30" hidden="false" customHeight="true" outlineLevel="0" collapsed="false">
      <c r="B23" s="4" t="s">
        <v>31</v>
      </c>
      <c r="C23" s="5" t="s">
        <v>32</v>
      </c>
    </row>
    <row r="24" customFormat="false" ht="30" hidden="false" customHeight="true" outlineLevel="0" collapsed="false">
      <c r="B24" s="4" t="s">
        <v>33</v>
      </c>
      <c r="C24" s="5" t="s">
        <v>34</v>
      </c>
    </row>
    <row r="25" customFormat="false" ht="30" hidden="false" customHeight="true" outlineLevel="0" collapsed="false">
      <c r="B25" s="4" t="s">
        <v>35</v>
      </c>
      <c r="C25" s="5" t="s">
        <v>36</v>
      </c>
    </row>
    <row r="26" customFormat="false" ht="30" hidden="false" customHeight="true" outlineLevel="0" collapsed="false">
      <c r="B26" s="4" t="s">
        <v>37</v>
      </c>
      <c r="C26" s="5" t="s">
        <v>38</v>
      </c>
    </row>
    <row r="28" customFormat="false" ht="24" hidden="false" customHeight="true" outlineLevel="0" collapsed="false">
      <c r="B28" s="3" t="s">
        <v>39</v>
      </c>
      <c r="C28" s="3"/>
    </row>
    <row r="29" customFormat="false" ht="30" hidden="false" customHeight="true" outlineLevel="0" collapsed="false">
      <c r="B29" s="4" t="s">
        <v>40</v>
      </c>
      <c r="C29" s="5" t="s">
        <v>41</v>
      </c>
    </row>
    <row r="30" customFormat="false" ht="30" hidden="false" customHeight="true" outlineLevel="0" collapsed="false">
      <c r="B30" s="4" t="s">
        <v>42</v>
      </c>
      <c r="C30" s="5" t="s">
        <v>43</v>
      </c>
    </row>
    <row r="31" customFormat="false" ht="30" hidden="false" customHeight="true" outlineLevel="0" collapsed="false">
      <c r="B31" s="4" t="s">
        <v>44</v>
      </c>
      <c r="C31" s="5" t="s">
        <v>45</v>
      </c>
    </row>
    <row r="32" customFormat="false" ht="30" hidden="false" customHeight="true" outlineLevel="0" collapsed="false">
      <c r="B32" s="4" t="s">
        <v>46</v>
      </c>
      <c r="C32" s="5" t="s">
        <v>47</v>
      </c>
    </row>
    <row r="33" customFormat="false" ht="30" hidden="false" customHeight="true" outlineLevel="0" collapsed="false">
      <c r="B33" s="4" t="s">
        <v>48</v>
      </c>
      <c r="C33" s="5" t="s">
        <v>49</v>
      </c>
    </row>
    <row r="34" customFormat="false" ht="30" hidden="false" customHeight="true" outlineLevel="0" collapsed="false">
      <c r="B34" s="4" t="s">
        <v>50</v>
      </c>
      <c r="C34" s="5" t="s">
        <v>51</v>
      </c>
    </row>
    <row r="36" customFormat="false" ht="24" hidden="false" customHeight="true" outlineLevel="0" collapsed="false">
      <c r="B36" s="3" t="s">
        <v>52</v>
      </c>
      <c r="C36" s="3"/>
    </row>
    <row r="37" customFormat="false" ht="45" hidden="false" customHeight="true" outlineLevel="0" collapsed="false">
      <c r="B37" s="4" t="s">
        <v>53</v>
      </c>
      <c r="C37" s="5" t="s">
        <v>54</v>
      </c>
    </row>
    <row r="38" customFormat="false" ht="30" hidden="false" customHeight="true" outlineLevel="0" collapsed="false">
      <c r="B38" s="4" t="s">
        <v>55</v>
      </c>
      <c r="C38" s="5" t="s">
        <v>56</v>
      </c>
    </row>
    <row r="41" customFormat="false" ht="15" hidden="false" customHeight="false" outlineLevel="0" collapsed="false">
      <c r="B41" s="6" t="s">
        <v>57</v>
      </c>
      <c r="C41" s="6" t="s">
        <v>58</v>
      </c>
    </row>
    <row r="42" customFormat="false" ht="15" hidden="false" customHeight="false" outlineLevel="0" collapsed="false">
      <c r="B42" s="6" t="s">
        <v>59</v>
      </c>
      <c r="C42" s="6" t="s">
        <v>60</v>
      </c>
    </row>
  </sheetData>
  <mergeCells count="5">
    <mergeCell ref="B5:C5"/>
    <mergeCell ref="B13:C13"/>
    <mergeCell ref="B22:C22"/>
    <mergeCell ref="B28:C28"/>
    <mergeCell ref="B36:C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W1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4" min="2" style="0" width="30"/>
    <col collapsed="false" customWidth="true" hidden="false" outlineLevel="0" max="16" min="15" style="0" width="26"/>
    <col collapsed="false" customWidth="true" hidden="false" outlineLevel="0" max="23" min="17" style="0" width="30"/>
  </cols>
  <sheetData>
    <row r="1" customFormat="false" ht="16.15" hidden="false" customHeight="false" outlineLevel="0" collapsed="false">
      <c r="A1" s="7" t="s">
        <v>61</v>
      </c>
    </row>
    <row r="2" customFormat="false" ht="30" hidden="false" customHeight="true" outlineLevel="0" collapsed="false">
      <c r="B2" s="8" t="s">
        <v>62</v>
      </c>
      <c r="C2" s="8" t="s">
        <v>63</v>
      </c>
      <c r="D2" s="8" t="s">
        <v>64</v>
      </c>
      <c r="E2" s="8" t="s">
        <v>65</v>
      </c>
      <c r="F2" s="8" t="s">
        <v>66</v>
      </c>
      <c r="G2" s="8" t="s">
        <v>67</v>
      </c>
      <c r="H2" s="8" t="s">
        <v>68</v>
      </c>
      <c r="I2" s="8" t="s">
        <v>69</v>
      </c>
      <c r="J2" s="8" t="s">
        <v>70</v>
      </c>
      <c r="K2" s="8" t="s">
        <v>71</v>
      </c>
      <c r="L2" s="8" t="s">
        <v>72</v>
      </c>
      <c r="M2" s="8" t="s">
        <v>73</v>
      </c>
      <c r="N2" s="8" t="s">
        <v>74</v>
      </c>
      <c r="O2" s="9" t="s">
        <v>75</v>
      </c>
      <c r="P2" s="9" t="s">
        <v>76</v>
      </c>
      <c r="Q2" s="8" t="s">
        <v>77</v>
      </c>
      <c r="R2" s="8" t="s">
        <v>78</v>
      </c>
      <c r="S2" s="8" t="s">
        <v>79</v>
      </c>
      <c r="T2" s="8" t="s">
        <v>80</v>
      </c>
      <c r="U2" s="8" t="s">
        <v>81</v>
      </c>
      <c r="V2" s="8" t="s">
        <v>82</v>
      </c>
      <c r="W2" s="8" t="s">
        <v>83</v>
      </c>
    </row>
    <row r="3" customFormat="false" ht="15" hidden="false" customHeight="false" outlineLevel="0" collapsed="false">
      <c r="A3" s="10" t="s">
        <v>84</v>
      </c>
      <c r="B3" s="11" t="s">
        <v>85</v>
      </c>
      <c r="C3" s="11" t="s">
        <v>86</v>
      </c>
      <c r="D3" s="11" t="s">
        <v>87</v>
      </c>
      <c r="E3" s="11" t="s">
        <v>88</v>
      </c>
      <c r="F3" s="11" t="s">
        <v>89</v>
      </c>
      <c r="G3" s="11" t="s">
        <v>90</v>
      </c>
      <c r="H3" s="11" t="s">
        <v>91</v>
      </c>
      <c r="I3" s="11" t="s">
        <v>92</v>
      </c>
      <c r="J3" s="11" t="s">
        <v>92</v>
      </c>
      <c r="K3" s="11" t="s">
        <v>93</v>
      </c>
      <c r="L3" s="11" t="s">
        <v>94</v>
      </c>
      <c r="M3" s="11" t="s">
        <v>95</v>
      </c>
      <c r="N3" s="11" t="s">
        <v>96</v>
      </c>
      <c r="O3" s="11" t="s">
        <v>97</v>
      </c>
      <c r="P3" s="11" t="s">
        <v>98</v>
      </c>
      <c r="Q3" s="11" t="s">
        <v>99</v>
      </c>
      <c r="R3" s="11" t="s">
        <v>100</v>
      </c>
      <c r="S3" s="11" t="s">
        <v>101</v>
      </c>
      <c r="T3" s="11" t="s">
        <v>102</v>
      </c>
      <c r="U3" s="11" t="s">
        <v>103</v>
      </c>
      <c r="V3" s="11" t="s">
        <v>92</v>
      </c>
      <c r="W3" s="11" t="s">
        <v>104</v>
      </c>
    </row>
    <row r="4" customFormat="false" ht="15" hidden="false" customHeight="false" outlineLevel="0" collapsed="false">
      <c r="B4" s="11" t="s">
        <v>105</v>
      </c>
      <c r="C4" s="11" t="s">
        <v>106</v>
      </c>
      <c r="D4" s="11" t="s">
        <v>107</v>
      </c>
      <c r="E4" s="11" t="s">
        <v>108</v>
      </c>
      <c r="F4" s="11" t="s">
        <v>109</v>
      </c>
      <c r="G4" s="11" t="s">
        <v>110</v>
      </c>
      <c r="H4" s="11" t="s">
        <v>111</v>
      </c>
      <c r="I4" s="11" t="s">
        <v>112</v>
      </c>
      <c r="J4" s="11" t="s">
        <v>113</v>
      </c>
      <c r="K4" s="11" t="s">
        <v>114</v>
      </c>
      <c r="L4" s="11" t="s">
        <v>111</v>
      </c>
      <c r="M4" s="11" t="s">
        <v>115</v>
      </c>
      <c r="N4" s="11" t="s">
        <v>116</v>
      </c>
      <c r="O4" s="11" t="s">
        <v>117</v>
      </c>
      <c r="P4" s="11" t="s">
        <v>98</v>
      </c>
      <c r="Q4" s="11" t="s">
        <v>118</v>
      </c>
      <c r="R4" s="11" t="s">
        <v>119</v>
      </c>
      <c r="S4" s="11" t="s">
        <v>120</v>
      </c>
      <c r="T4" s="11" t="s">
        <v>121</v>
      </c>
      <c r="U4" s="11" t="s">
        <v>122</v>
      </c>
      <c r="V4" s="11" t="s">
        <v>112</v>
      </c>
      <c r="W4" s="11" t="s">
        <v>123</v>
      </c>
    </row>
    <row r="5" customFormat="false" ht="15" hidden="false" customHeight="false" outlineLevel="0" collapsed="false">
      <c r="B5" s="11" t="s">
        <v>124</v>
      </c>
      <c r="C5" s="11" t="s">
        <v>125</v>
      </c>
      <c r="D5" s="11" t="s">
        <v>126</v>
      </c>
      <c r="E5" s="11" t="s">
        <v>127</v>
      </c>
      <c r="F5" s="11" t="s">
        <v>128</v>
      </c>
      <c r="G5" s="11" t="s">
        <v>129</v>
      </c>
      <c r="H5" s="11" t="s">
        <v>130</v>
      </c>
      <c r="I5" s="11" t="s">
        <v>131</v>
      </c>
      <c r="J5" s="11" t="s">
        <v>112</v>
      </c>
      <c r="K5" s="11" t="s">
        <v>132</v>
      </c>
      <c r="L5" s="11" t="s">
        <v>133</v>
      </c>
      <c r="M5" s="11" t="s">
        <v>134</v>
      </c>
      <c r="N5" s="11" t="s">
        <v>135</v>
      </c>
      <c r="O5" s="11" t="s">
        <v>136</v>
      </c>
      <c r="P5" s="11" t="s">
        <v>98</v>
      </c>
      <c r="Q5" s="11" t="s">
        <v>137</v>
      </c>
      <c r="R5" s="11" t="s">
        <v>138</v>
      </c>
      <c r="S5" s="11" t="s">
        <v>139</v>
      </c>
      <c r="T5" s="11" t="s">
        <v>140</v>
      </c>
      <c r="U5" s="11" t="s">
        <v>141</v>
      </c>
      <c r="V5" s="11" t="s">
        <v>142</v>
      </c>
      <c r="W5" s="11" t="s">
        <v>143</v>
      </c>
    </row>
    <row r="6" customFormat="false" ht="15" hidden="false" customHeight="false" outlineLevel="0" collapsed="false">
      <c r="B6" s="11" t="s">
        <v>144</v>
      </c>
      <c r="C6" s="11" t="s">
        <v>145</v>
      </c>
      <c r="D6" s="11" t="s">
        <v>146</v>
      </c>
      <c r="F6" s="11" t="s">
        <v>147</v>
      </c>
      <c r="G6" s="11" t="s">
        <v>148</v>
      </c>
      <c r="H6" s="11" t="s">
        <v>131</v>
      </c>
      <c r="J6" s="11" t="s">
        <v>131</v>
      </c>
      <c r="K6" s="11" t="s">
        <v>149</v>
      </c>
      <c r="L6" s="11" t="s">
        <v>131</v>
      </c>
      <c r="M6" s="11" t="s">
        <v>150</v>
      </c>
      <c r="N6" s="11" t="s">
        <v>151</v>
      </c>
      <c r="O6" s="11" t="s">
        <v>152</v>
      </c>
      <c r="P6" s="11" t="s">
        <v>98</v>
      </c>
      <c r="Q6" s="11" t="s">
        <v>153</v>
      </c>
      <c r="R6" s="11" t="s">
        <v>154</v>
      </c>
      <c r="S6" s="11" t="s">
        <v>155</v>
      </c>
      <c r="T6" s="11" t="s">
        <v>156</v>
      </c>
      <c r="U6" s="11" t="s">
        <v>157</v>
      </c>
      <c r="W6" s="11" t="s">
        <v>158</v>
      </c>
    </row>
    <row r="7" customFormat="false" ht="15" hidden="false" customHeight="false" outlineLevel="0" collapsed="false">
      <c r="B7" s="11" t="s">
        <v>159</v>
      </c>
      <c r="C7" s="11" t="s">
        <v>160</v>
      </c>
      <c r="D7" s="11" t="s">
        <v>161</v>
      </c>
      <c r="G7" s="11" t="s">
        <v>162</v>
      </c>
      <c r="K7" s="11" t="s">
        <v>163</v>
      </c>
      <c r="M7" s="11" t="s">
        <v>164</v>
      </c>
      <c r="N7" s="11" t="s">
        <v>147</v>
      </c>
      <c r="O7" s="11" t="s">
        <v>165</v>
      </c>
      <c r="P7" s="11" t="s">
        <v>98</v>
      </c>
      <c r="Q7" s="11" t="s">
        <v>127</v>
      </c>
      <c r="R7" s="11" t="s">
        <v>131</v>
      </c>
      <c r="S7" s="11" t="s">
        <v>166</v>
      </c>
      <c r="T7" s="11" t="s">
        <v>167</v>
      </c>
      <c r="U7" s="11" t="s">
        <v>168</v>
      </c>
      <c r="W7" s="11" t="s">
        <v>169</v>
      </c>
    </row>
    <row r="8" customFormat="false" ht="15" hidden="false" customHeight="false" outlineLevel="0" collapsed="false">
      <c r="B8" s="11" t="s">
        <v>170</v>
      </c>
      <c r="C8" s="11" t="s">
        <v>171</v>
      </c>
      <c r="D8" s="11" t="s">
        <v>172</v>
      </c>
      <c r="G8" s="11" t="s">
        <v>173</v>
      </c>
      <c r="K8" s="11" t="s">
        <v>174</v>
      </c>
      <c r="M8" s="11" t="s">
        <v>175</v>
      </c>
      <c r="N8" s="11" t="s">
        <v>131</v>
      </c>
      <c r="O8" s="11" t="s">
        <v>176</v>
      </c>
      <c r="P8" s="11" t="s">
        <v>98</v>
      </c>
      <c r="Q8" s="11" t="s">
        <v>177</v>
      </c>
      <c r="T8" s="11" t="s">
        <v>178</v>
      </c>
      <c r="U8" s="11" t="s">
        <v>179</v>
      </c>
      <c r="W8" s="11" t="s">
        <v>180</v>
      </c>
    </row>
    <row r="9" customFormat="false" ht="15" hidden="false" customHeight="false" outlineLevel="0" collapsed="false">
      <c r="B9" s="11" t="s">
        <v>181</v>
      </c>
      <c r="C9" s="11" t="s">
        <v>182</v>
      </c>
      <c r="D9" s="11" t="s">
        <v>183</v>
      </c>
      <c r="G9" s="11" t="s">
        <v>131</v>
      </c>
      <c r="K9" s="11" t="s">
        <v>131</v>
      </c>
      <c r="M9" s="11" t="s">
        <v>184</v>
      </c>
      <c r="O9" s="11" t="s">
        <v>185</v>
      </c>
      <c r="P9" s="11" t="s">
        <v>98</v>
      </c>
      <c r="T9" s="11" t="s">
        <v>186</v>
      </c>
      <c r="U9" s="11" t="s">
        <v>187</v>
      </c>
      <c r="W9" s="11" t="s">
        <v>188</v>
      </c>
    </row>
    <row r="10" customFormat="false" ht="15" hidden="false" customHeight="false" outlineLevel="0" collapsed="false">
      <c r="B10" s="11" t="s">
        <v>189</v>
      </c>
      <c r="C10" s="11" t="s">
        <v>190</v>
      </c>
      <c r="D10" s="11" t="s">
        <v>191</v>
      </c>
      <c r="M10" s="11" t="s">
        <v>166</v>
      </c>
      <c r="O10" s="11" t="s">
        <v>192</v>
      </c>
      <c r="P10" s="11" t="s">
        <v>98</v>
      </c>
      <c r="T10" s="11" t="s">
        <v>193</v>
      </c>
      <c r="U10" s="11" t="s">
        <v>194</v>
      </c>
    </row>
    <row r="11" customFormat="false" ht="15" hidden="false" customHeight="false" outlineLevel="0" collapsed="false">
      <c r="C11" s="11" t="s">
        <v>195</v>
      </c>
      <c r="D11" s="11" t="s">
        <v>196</v>
      </c>
      <c r="O11" s="11" t="s">
        <v>197</v>
      </c>
      <c r="P11" s="11" t="s">
        <v>98</v>
      </c>
      <c r="T11" s="11" t="s">
        <v>198</v>
      </c>
      <c r="U11" s="11" t="s">
        <v>199</v>
      </c>
    </row>
    <row r="12" customFormat="false" ht="15" hidden="false" customHeight="false" outlineLevel="0" collapsed="false">
      <c r="C12" s="11" t="s">
        <v>200</v>
      </c>
      <c r="D12" s="11" t="s">
        <v>201</v>
      </c>
      <c r="O12" s="11" t="s">
        <v>202</v>
      </c>
      <c r="P12" s="11" t="s">
        <v>98</v>
      </c>
      <c r="T12" s="11" t="s">
        <v>203</v>
      </c>
    </row>
    <row r="13" customFormat="false" ht="15" hidden="false" customHeight="false" outlineLevel="0" collapsed="false">
      <c r="D13" s="11" t="s">
        <v>204</v>
      </c>
      <c r="O13" s="11" t="s">
        <v>205</v>
      </c>
      <c r="P13" s="11" t="s">
        <v>98</v>
      </c>
    </row>
    <row r="14" customFormat="false" ht="15" hidden="false" customHeight="false" outlineLevel="0" collapsed="false">
      <c r="D14" s="11" t="s">
        <v>206</v>
      </c>
      <c r="O14" s="11" t="s">
        <v>207</v>
      </c>
      <c r="P14" s="11" t="s">
        <v>98</v>
      </c>
    </row>
    <row r="15" customFormat="false" ht="15" hidden="false" customHeight="false" outlineLevel="0" collapsed="false">
      <c r="O15" s="11" t="s">
        <v>208</v>
      </c>
      <c r="P15" s="11" t="s">
        <v>98</v>
      </c>
    </row>
    <row r="16" customFormat="false" ht="15" hidden="false" customHeight="false" outlineLevel="0" collapsed="false">
      <c r="O16" s="11" t="s">
        <v>209</v>
      </c>
      <c r="P16" s="11" t="s">
        <v>98</v>
      </c>
    </row>
    <row r="17" customFormat="false" ht="15" hidden="false" customHeight="false" outlineLevel="0" collapsed="false">
      <c r="O17" s="11" t="s">
        <v>210</v>
      </c>
      <c r="P17" s="11" t="s">
        <v>98</v>
      </c>
    </row>
    <row r="18" customFormat="false" ht="15" hidden="false" customHeight="false" outlineLevel="0" collapsed="false">
      <c r="O18" s="11" t="s">
        <v>211</v>
      </c>
      <c r="P18" s="11" t="s">
        <v>212</v>
      </c>
    </row>
    <row r="19" customFormat="false" ht="15" hidden="false" customHeight="false" outlineLevel="0" collapsed="false">
      <c r="O19" s="11" t="s">
        <v>213</v>
      </c>
      <c r="P19" s="11" t="s">
        <v>212</v>
      </c>
    </row>
    <row r="20" customFormat="false" ht="15" hidden="false" customHeight="false" outlineLevel="0" collapsed="false">
      <c r="O20" s="11" t="s">
        <v>214</v>
      </c>
      <c r="P20" s="11" t="s">
        <v>212</v>
      </c>
    </row>
    <row r="21" customFormat="false" ht="15" hidden="false" customHeight="false" outlineLevel="0" collapsed="false">
      <c r="O21" s="11" t="s">
        <v>215</v>
      </c>
      <c r="P21" s="11" t="s">
        <v>212</v>
      </c>
    </row>
    <row r="22" customFormat="false" ht="15" hidden="false" customHeight="false" outlineLevel="0" collapsed="false">
      <c r="O22" s="11" t="s">
        <v>216</v>
      </c>
      <c r="P22" s="11" t="s">
        <v>212</v>
      </c>
    </row>
    <row r="23" customFormat="false" ht="15" hidden="false" customHeight="false" outlineLevel="0" collapsed="false">
      <c r="O23" s="11" t="s">
        <v>217</v>
      </c>
      <c r="P23" s="11" t="s">
        <v>212</v>
      </c>
    </row>
    <row r="24" customFormat="false" ht="15" hidden="false" customHeight="false" outlineLevel="0" collapsed="false">
      <c r="O24" s="11" t="s">
        <v>218</v>
      </c>
      <c r="P24" s="11" t="s">
        <v>212</v>
      </c>
    </row>
    <row r="25" customFormat="false" ht="15" hidden="false" customHeight="false" outlineLevel="0" collapsed="false">
      <c r="O25" s="11" t="s">
        <v>219</v>
      </c>
      <c r="P25" s="11" t="s">
        <v>212</v>
      </c>
    </row>
    <row r="26" customFormat="false" ht="15" hidden="false" customHeight="false" outlineLevel="0" collapsed="false">
      <c r="O26" s="11" t="s">
        <v>220</v>
      </c>
      <c r="P26" s="11" t="s">
        <v>212</v>
      </c>
    </row>
    <row r="27" customFormat="false" ht="15" hidden="false" customHeight="false" outlineLevel="0" collapsed="false">
      <c r="O27" s="11" t="s">
        <v>221</v>
      </c>
      <c r="P27" s="11" t="s">
        <v>212</v>
      </c>
    </row>
    <row r="28" customFormat="false" ht="15" hidden="false" customHeight="false" outlineLevel="0" collapsed="false">
      <c r="O28" s="11" t="s">
        <v>222</v>
      </c>
      <c r="P28" s="11" t="s">
        <v>212</v>
      </c>
    </row>
    <row r="29" customFormat="false" ht="15" hidden="false" customHeight="false" outlineLevel="0" collapsed="false">
      <c r="O29" s="11" t="s">
        <v>223</v>
      </c>
      <c r="P29" s="11" t="s">
        <v>224</v>
      </c>
    </row>
    <row r="30" customFormat="false" ht="15" hidden="false" customHeight="false" outlineLevel="0" collapsed="false">
      <c r="O30" s="11" t="s">
        <v>225</v>
      </c>
      <c r="P30" s="11" t="s">
        <v>224</v>
      </c>
    </row>
    <row r="31" customFormat="false" ht="15" hidden="false" customHeight="false" outlineLevel="0" collapsed="false">
      <c r="O31" s="11" t="s">
        <v>226</v>
      </c>
      <c r="P31" s="11" t="s">
        <v>224</v>
      </c>
    </row>
    <row r="32" customFormat="false" ht="15" hidden="false" customHeight="false" outlineLevel="0" collapsed="false">
      <c r="O32" s="11" t="s">
        <v>227</v>
      </c>
      <c r="P32" s="11" t="s">
        <v>224</v>
      </c>
    </row>
    <row r="33" customFormat="false" ht="15" hidden="false" customHeight="false" outlineLevel="0" collapsed="false">
      <c r="O33" s="11" t="s">
        <v>228</v>
      </c>
      <c r="P33" s="11" t="s">
        <v>224</v>
      </c>
    </row>
    <row r="34" customFormat="false" ht="15" hidden="false" customHeight="false" outlineLevel="0" collapsed="false">
      <c r="O34" s="11" t="s">
        <v>229</v>
      </c>
      <c r="P34" s="11" t="s">
        <v>224</v>
      </c>
    </row>
    <row r="35" customFormat="false" ht="15" hidden="false" customHeight="false" outlineLevel="0" collapsed="false">
      <c r="O35" s="11" t="s">
        <v>230</v>
      </c>
      <c r="P35" s="11" t="s">
        <v>224</v>
      </c>
    </row>
    <row r="36" customFormat="false" ht="15" hidden="false" customHeight="false" outlineLevel="0" collapsed="false">
      <c r="O36" s="11" t="s">
        <v>231</v>
      </c>
      <c r="P36" s="11" t="s">
        <v>224</v>
      </c>
    </row>
    <row r="37" customFormat="false" ht="15" hidden="false" customHeight="false" outlineLevel="0" collapsed="false">
      <c r="O37" s="11" t="s">
        <v>232</v>
      </c>
      <c r="P37" s="11" t="s">
        <v>233</v>
      </c>
    </row>
    <row r="38" customFormat="false" ht="15" hidden="false" customHeight="false" outlineLevel="0" collapsed="false">
      <c r="O38" s="11" t="s">
        <v>234</v>
      </c>
      <c r="P38" s="11" t="s">
        <v>233</v>
      </c>
    </row>
    <row r="39" customFormat="false" ht="15" hidden="false" customHeight="false" outlineLevel="0" collapsed="false">
      <c r="O39" s="11" t="s">
        <v>235</v>
      </c>
      <c r="P39" s="11" t="s">
        <v>233</v>
      </c>
    </row>
    <row r="40" customFormat="false" ht="15" hidden="false" customHeight="false" outlineLevel="0" collapsed="false">
      <c r="O40" s="11" t="s">
        <v>236</v>
      </c>
      <c r="P40" s="11" t="s">
        <v>233</v>
      </c>
    </row>
    <row r="41" customFormat="false" ht="15" hidden="false" customHeight="false" outlineLevel="0" collapsed="false">
      <c r="O41" s="11" t="s">
        <v>237</v>
      </c>
      <c r="P41" s="11" t="s">
        <v>233</v>
      </c>
    </row>
    <row r="42" customFormat="false" ht="15" hidden="false" customHeight="false" outlineLevel="0" collapsed="false">
      <c r="O42" s="11" t="s">
        <v>238</v>
      </c>
      <c r="P42" s="11" t="s">
        <v>233</v>
      </c>
    </row>
    <row r="43" customFormat="false" ht="15" hidden="false" customHeight="false" outlineLevel="0" collapsed="false">
      <c r="O43" s="11" t="s">
        <v>239</v>
      </c>
      <c r="P43" s="11" t="s">
        <v>233</v>
      </c>
    </row>
    <row r="44" customFormat="false" ht="15" hidden="false" customHeight="false" outlineLevel="0" collapsed="false">
      <c r="O44" s="11" t="s">
        <v>240</v>
      </c>
      <c r="P44" s="11" t="s">
        <v>233</v>
      </c>
    </row>
    <row r="45" customFormat="false" ht="15" hidden="false" customHeight="false" outlineLevel="0" collapsed="false">
      <c r="O45" s="11" t="s">
        <v>241</v>
      </c>
      <c r="P45" s="11" t="s">
        <v>233</v>
      </c>
    </row>
    <row r="46" customFormat="false" ht="15" hidden="false" customHeight="false" outlineLevel="0" collapsed="false">
      <c r="O46" s="11" t="s">
        <v>242</v>
      </c>
      <c r="P46" s="11" t="s">
        <v>233</v>
      </c>
    </row>
    <row r="47" customFormat="false" ht="15" hidden="false" customHeight="false" outlineLevel="0" collapsed="false">
      <c r="O47" s="11" t="s">
        <v>243</v>
      </c>
      <c r="P47" s="11" t="s">
        <v>233</v>
      </c>
    </row>
    <row r="48" customFormat="false" ht="15" hidden="false" customHeight="false" outlineLevel="0" collapsed="false">
      <c r="O48" s="11" t="s">
        <v>244</v>
      </c>
      <c r="P48" s="11" t="s">
        <v>245</v>
      </c>
    </row>
    <row r="49" customFormat="false" ht="15" hidden="false" customHeight="false" outlineLevel="0" collapsed="false">
      <c r="O49" s="11" t="s">
        <v>246</v>
      </c>
      <c r="P49" s="11" t="s">
        <v>245</v>
      </c>
    </row>
    <row r="50" customFormat="false" ht="15" hidden="false" customHeight="false" outlineLevel="0" collapsed="false">
      <c r="O50" s="11" t="s">
        <v>247</v>
      </c>
      <c r="P50" s="11" t="s">
        <v>245</v>
      </c>
    </row>
    <row r="51" customFormat="false" ht="15" hidden="false" customHeight="false" outlineLevel="0" collapsed="false">
      <c r="O51" s="11" t="s">
        <v>248</v>
      </c>
      <c r="P51" s="11" t="s">
        <v>245</v>
      </c>
    </row>
    <row r="52" customFormat="false" ht="15" hidden="false" customHeight="false" outlineLevel="0" collapsed="false">
      <c r="O52" s="11" t="s">
        <v>249</v>
      </c>
      <c r="P52" s="11" t="s">
        <v>245</v>
      </c>
    </row>
    <row r="53" customFormat="false" ht="15" hidden="false" customHeight="false" outlineLevel="0" collapsed="false">
      <c r="O53" s="11" t="s">
        <v>250</v>
      </c>
      <c r="P53" s="11" t="s">
        <v>251</v>
      </c>
    </row>
    <row r="54" customFormat="false" ht="15" hidden="false" customHeight="false" outlineLevel="0" collapsed="false">
      <c r="O54" s="11" t="s">
        <v>252</v>
      </c>
      <c r="P54" s="11" t="s">
        <v>251</v>
      </c>
    </row>
    <row r="55" customFormat="false" ht="15" hidden="false" customHeight="false" outlineLevel="0" collapsed="false">
      <c r="O55" s="11" t="s">
        <v>253</v>
      </c>
      <c r="P55" s="11" t="s">
        <v>251</v>
      </c>
    </row>
    <row r="56" customFormat="false" ht="15" hidden="false" customHeight="false" outlineLevel="0" collapsed="false">
      <c r="O56" s="11" t="s">
        <v>254</v>
      </c>
      <c r="P56" s="11" t="s">
        <v>251</v>
      </c>
    </row>
    <row r="57" customFormat="false" ht="15" hidden="false" customHeight="false" outlineLevel="0" collapsed="false">
      <c r="O57" s="11" t="s">
        <v>255</v>
      </c>
      <c r="P57" s="11" t="s">
        <v>251</v>
      </c>
    </row>
    <row r="58" customFormat="false" ht="15" hidden="false" customHeight="false" outlineLevel="0" collapsed="false">
      <c r="O58" s="11" t="s">
        <v>256</v>
      </c>
      <c r="P58" s="11" t="s">
        <v>251</v>
      </c>
    </row>
    <row r="59" customFormat="false" ht="15" hidden="false" customHeight="false" outlineLevel="0" collapsed="false">
      <c r="O59" s="11" t="s">
        <v>257</v>
      </c>
      <c r="P59" s="11" t="s">
        <v>251</v>
      </c>
    </row>
    <row r="60" customFormat="false" ht="15" hidden="false" customHeight="false" outlineLevel="0" collapsed="false">
      <c r="O60" s="11" t="s">
        <v>258</v>
      </c>
      <c r="P60" s="11" t="s">
        <v>251</v>
      </c>
    </row>
    <row r="61" customFormat="false" ht="15" hidden="false" customHeight="false" outlineLevel="0" collapsed="false">
      <c r="O61" s="11" t="s">
        <v>259</v>
      </c>
      <c r="P61" s="11" t="s">
        <v>251</v>
      </c>
    </row>
    <row r="62" customFormat="false" ht="15" hidden="false" customHeight="false" outlineLevel="0" collapsed="false">
      <c r="O62" s="11" t="s">
        <v>260</v>
      </c>
      <c r="P62" s="11" t="s">
        <v>251</v>
      </c>
    </row>
    <row r="63" customFormat="false" ht="15" hidden="false" customHeight="false" outlineLevel="0" collapsed="false">
      <c r="O63" s="11" t="s">
        <v>261</v>
      </c>
      <c r="P63" s="11" t="s">
        <v>251</v>
      </c>
    </row>
    <row r="64" customFormat="false" ht="15" hidden="false" customHeight="false" outlineLevel="0" collapsed="false">
      <c r="O64" s="11" t="s">
        <v>262</v>
      </c>
      <c r="P64" s="11" t="s">
        <v>251</v>
      </c>
    </row>
    <row r="65" customFormat="false" ht="15" hidden="false" customHeight="false" outlineLevel="0" collapsed="false">
      <c r="O65" s="11" t="s">
        <v>263</v>
      </c>
      <c r="P65" s="11" t="s">
        <v>264</v>
      </c>
    </row>
    <row r="66" customFormat="false" ht="15" hidden="false" customHeight="false" outlineLevel="0" collapsed="false">
      <c r="O66" s="11" t="s">
        <v>265</v>
      </c>
      <c r="P66" s="11" t="s">
        <v>264</v>
      </c>
    </row>
    <row r="67" customFormat="false" ht="15" hidden="false" customHeight="false" outlineLevel="0" collapsed="false">
      <c r="O67" s="11" t="s">
        <v>266</v>
      </c>
      <c r="P67" s="11" t="s">
        <v>264</v>
      </c>
    </row>
    <row r="68" customFormat="false" ht="15" hidden="false" customHeight="false" outlineLevel="0" collapsed="false">
      <c r="O68" s="11" t="s">
        <v>267</v>
      </c>
      <c r="P68" s="11" t="s">
        <v>264</v>
      </c>
    </row>
    <row r="69" customFormat="false" ht="15" hidden="false" customHeight="false" outlineLevel="0" collapsed="false">
      <c r="O69" s="11" t="s">
        <v>268</v>
      </c>
      <c r="P69" s="11" t="s">
        <v>264</v>
      </c>
    </row>
    <row r="70" customFormat="false" ht="15" hidden="false" customHeight="false" outlineLevel="0" collapsed="false">
      <c r="O70" s="11" t="s">
        <v>269</v>
      </c>
      <c r="P70" s="11" t="s">
        <v>264</v>
      </c>
    </row>
    <row r="71" customFormat="false" ht="15" hidden="false" customHeight="false" outlineLevel="0" collapsed="false">
      <c r="O71" s="11" t="s">
        <v>270</v>
      </c>
      <c r="P71" s="11" t="s">
        <v>271</v>
      </c>
    </row>
    <row r="72" customFormat="false" ht="15" hidden="false" customHeight="false" outlineLevel="0" collapsed="false">
      <c r="O72" s="11" t="s">
        <v>272</v>
      </c>
      <c r="P72" s="11" t="s">
        <v>271</v>
      </c>
    </row>
    <row r="73" customFormat="false" ht="15" hidden="false" customHeight="false" outlineLevel="0" collapsed="false">
      <c r="O73" s="11" t="s">
        <v>273</v>
      </c>
      <c r="P73" s="11" t="s">
        <v>271</v>
      </c>
    </row>
    <row r="74" customFormat="false" ht="15" hidden="false" customHeight="false" outlineLevel="0" collapsed="false">
      <c r="O74" s="11" t="s">
        <v>274</v>
      </c>
      <c r="P74" s="11" t="s">
        <v>271</v>
      </c>
    </row>
    <row r="75" customFormat="false" ht="15" hidden="false" customHeight="false" outlineLevel="0" collapsed="false">
      <c r="O75" s="11" t="s">
        <v>275</v>
      </c>
      <c r="P75" s="11" t="s">
        <v>271</v>
      </c>
    </row>
    <row r="76" customFormat="false" ht="15" hidden="false" customHeight="false" outlineLevel="0" collapsed="false">
      <c r="O76" s="11" t="s">
        <v>276</v>
      </c>
      <c r="P76" s="11" t="s">
        <v>271</v>
      </c>
    </row>
    <row r="77" customFormat="false" ht="15" hidden="false" customHeight="false" outlineLevel="0" collapsed="false">
      <c r="O77" s="11" t="s">
        <v>277</v>
      </c>
      <c r="P77" s="11" t="s">
        <v>271</v>
      </c>
    </row>
    <row r="78" customFormat="false" ht="15" hidden="false" customHeight="false" outlineLevel="0" collapsed="false">
      <c r="O78" s="11" t="s">
        <v>278</v>
      </c>
      <c r="P78" s="11" t="s">
        <v>271</v>
      </c>
    </row>
    <row r="79" customFormat="false" ht="15" hidden="false" customHeight="false" outlineLevel="0" collapsed="false">
      <c r="O79" s="11" t="s">
        <v>279</v>
      </c>
      <c r="P79" s="11" t="s">
        <v>280</v>
      </c>
    </row>
    <row r="80" customFormat="false" ht="15" hidden="false" customHeight="false" outlineLevel="0" collapsed="false">
      <c r="O80" s="11" t="s">
        <v>281</v>
      </c>
      <c r="P80" s="11" t="s">
        <v>280</v>
      </c>
    </row>
    <row r="81" customFormat="false" ht="15" hidden="false" customHeight="false" outlineLevel="0" collapsed="false">
      <c r="O81" s="11" t="s">
        <v>282</v>
      </c>
      <c r="P81" s="11" t="s">
        <v>280</v>
      </c>
    </row>
    <row r="82" customFormat="false" ht="15" hidden="false" customHeight="false" outlineLevel="0" collapsed="false">
      <c r="O82" s="11" t="s">
        <v>283</v>
      </c>
      <c r="P82" s="11" t="s">
        <v>280</v>
      </c>
    </row>
    <row r="83" customFormat="false" ht="15" hidden="false" customHeight="false" outlineLevel="0" collapsed="false">
      <c r="O83" s="11" t="s">
        <v>284</v>
      </c>
      <c r="P83" s="11" t="s">
        <v>280</v>
      </c>
    </row>
    <row r="84" customFormat="false" ht="15" hidden="false" customHeight="false" outlineLevel="0" collapsed="false">
      <c r="O84" s="11" t="s">
        <v>285</v>
      </c>
      <c r="P84" s="11" t="s">
        <v>286</v>
      </c>
    </row>
    <row r="85" customFormat="false" ht="15" hidden="false" customHeight="false" outlineLevel="0" collapsed="false">
      <c r="O85" s="11" t="s">
        <v>287</v>
      </c>
      <c r="P85" s="11" t="s">
        <v>286</v>
      </c>
    </row>
    <row r="86" customFormat="false" ht="15" hidden="false" customHeight="false" outlineLevel="0" collapsed="false">
      <c r="O86" s="11" t="s">
        <v>288</v>
      </c>
      <c r="P86" s="11" t="s">
        <v>286</v>
      </c>
    </row>
    <row r="87" customFormat="false" ht="15" hidden="false" customHeight="false" outlineLevel="0" collapsed="false">
      <c r="O87" s="11" t="s">
        <v>289</v>
      </c>
      <c r="P87" s="11" t="s">
        <v>286</v>
      </c>
    </row>
    <row r="88" customFormat="false" ht="15" hidden="false" customHeight="false" outlineLevel="0" collapsed="false">
      <c r="O88" s="11" t="s">
        <v>290</v>
      </c>
      <c r="P88" s="11" t="s">
        <v>286</v>
      </c>
    </row>
    <row r="89" customFormat="false" ht="15" hidden="false" customHeight="false" outlineLevel="0" collapsed="false">
      <c r="O89" s="11" t="s">
        <v>291</v>
      </c>
      <c r="P89" s="11" t="s">
        <v>286</v>
      </c>
    </row>
    <row r="90" customFormat="false" ht="15" hidden="false" customHeight="false" outlineLevel="0" collapsed="false">
      <c r="O90" s="11" t="s">
        <v>292</v>
      </c>
      <c r="P90" s="11" t="s">
        <v>286</v>
      </c>
    </row>
    <row r="91" customFormat="false" ht="15" hidden="false" customHeight="false" outlineLevel="0" collapsed="false">
      <c r="O91" s="11" t="s">
        <v>293</v>
      </c>
      <c r="P91" s="11" t="s">
        <v>286</v>
      </c>
    </row>
    <row r="92" customFormat="false" ht="15" hidden="false" customHeight="false" outlineLevel="0" collapsed="false">
      <c r="O92" s="11" t="s">
        <v>294</v>
      </c>
      <c r="P92" s="11" t="s">
        <v>295</v>
      </c>
    </row>
    <row r="93" customFormat="false" ht="15" hidden="false" customHeight="false" outlineLevel="0" collapsed="false">
      <c r="O93" s="11" t="s">
        <v>296</v>
      </c>
      <c r="P93" s="11" t="s">
        <v>295</v>
      </c>
    </row>
    <row r="94" customFormat="false" ht="15" hidden="false" customHeight="false" outlineLevel="0" collapsed="false">
      <c r="O94" s="11" t="s">
        <v>297</v>
      </c>
      <c r="P94" s="11" t="s">
        <v>295</v>
      </c>
    </row>
    <row r="95" customFormat="false" ht="15" hidden="false" customHeight="false" outlineLevel="0" collapsed="false">
      <c r="O95" s="11" t="s">
        <v>298</v>
      </c>
      <c r="P95" s="11" t="s">
        <v>295</v>
      </c>
    </row>
    <row r="96" customFormat="false" ht="15" hidden="false" customHeight="false" outlineLevel="0" collapsed="false">
      <c r="O96" s="11" t="s">
        <v>299</v>
      </c>
      <c r="P96" s="11" t="s">
        <v>295</v>
      </c>
    </row>
    <row r="97" customFormat="false" ht="15" hidden="false" customHeight="false" outlineLevel="0" collapsed="false">
      <c r="O97" s="11" t="s">
        <v>300</v>
      </c>
      <c r="P97" s="11" t="s">
        <v>295</v>
      </c>
    </row>
    <row r="98" customFormat="false" ht="15" hidden="false" customHeight="false" outlineLevel="0" collapsed="false">
      <c r="O98" s="11" t="s">
        <v>301</v>
      </c>
      <c r="P98" s="11" t="s">
        <v>295</v>
      </c>
    </row>
    <row r="99" customFormat="false" ht="15" hidden="false" customHeight="false" outlineLevel="0" collapsed="false">
      <c r="O99" s="11" t="s">
        <v>302</v>
      </c>
      <c r="P99" s="11" t="s">
        <v>295</v>
      </c>
    </row>
    <row r="100" customFormat="false" ht="15" hidden="false" customHeight="false" outlineLevel="0" collapsed="false">
      <c r="O100" s="11" t="s">
        <v>303</v>
      </c>
      <c r="P100" s="11" t="s">
        <v>295</v>
      </c>
    </row>
    <row r="101" customFormat="false" ht="15" hidden="false" customHeight="false" outlineLevel="0" collapsed="false">
      <c r="O101" s="11" t="s">
        <v>304</v>
      </c>
      <c r="P101" s="11" t="s">
        <v>295</v>
      </c>
    </row>
    <row r="102" customFormat="false" ht="15" hidden="false" customHeight="false" outlineLevel="0" collapsed="false">
      <c r="O102" s="11" t="s">
        <v>305</v>
      </c>
      <c r="P102" s="11" t="s">
        <v>295</v>
      </c>
    </row>
    <row r="103" customFormat="false" ht="15" hidden="false" customHeight="false" outlineLevel="0" collapsed="false">
      <c r="O103" s="11" t="s">
        <v>306</v>
      </c>
      <c r="P103" s="11" t="s">
        <v>295</v>
      </c>
    </row>
    <row r="104" customFormat="false" ht="15" hidden="false" customHeight="false" outlineLevel="0" collapsed="false">
      <c r="O104" s="11" t="s">
        <v>307</v>
      </c>
      <c r="P104" s="11" t="s">
        <v>295</v>
      </c>
    </row>
    <row r="105" customFormat="false" ht="15" hidden="false" customHeight="false" outlineLevel="0" collapsed="false">
      <c r="O105" s="11" t="s">
        <v>308</v>
      </c>
      <c r="P105" s="11" t="s">
        <v>295</v>
      </c>
    </row>
    <row r="106" customFormat="false" ht="15" hidden="false" customHeight="false" outlineLevel="0" collapsed="false">
      <c r="O106" s="11" t="s">
        <v>309</v>
      </c>
      <c r="P106" s="11" t="s">
        <v>295</v>
      </c>
    </row>
    <row r="107" customFormat="false" ht="15" hidden="false" customHeight="false" outlineLevel="0" collapsed="false">
      <c r="O107" s="11" t="s">
        <v>310</v>
      </c>
      <c r="P107" s="11" t="s">
        <v>295</v>
      </c>
    </row>
    <row r="108" customFormat="false" ht="15" hidden="false" customHeight="false" outlineLevel="0" collapsed="false">
      <c r="O108" s="11" t="s">
        <v>311</v>
      </c>
      <c r="P108" s="11" t="s">
        <v>312</v>
      </c>
    </row>
    <row r="109" customFormat="false" ht="15" hidden="false" customHeight="false" outlineLevel="0" collapsed="false">
      <c r="O109" s="11" t="s">
        <v>313</v>
      </c>
      <c r="P109" s="11" t="s">
        <v>312</v>
      </c>
    </row>
    <row r="110" customFormat="false" ht="15" hidden="false" customHeight="false" outlineLevel="0" collapsed="false">
      <c r="O110" s="11" t="s">
        <v>314</v>
      </c>
      <c r="P110" s="11" t="s">
        <v>312</v>
      </c>
    </row>
    <row r="111" customFormat="false" ht="15" hidden="false" customHeight="false" outlineLevel="0" collapsed="false">
      <c r="O111" s="11" t="s">
        <v>315</v>
      </c>
      <c r="P111" s="11" t="s">
        <v>312</v>
      </c>
    </row>
    <row r="112" customFormat="false" ht="15" hidden="false" customHeight="false" outlineLevel="0" collapsed="false">
      <c r="O112" s="11" t="s">
        <v>316</v>
      </c>
      <c r="P112" s="11" t="s">
        <v>312</v>
      </c>
    </row>
    <row r="113" customFormat="false" ht="15" hidden="false" customHeight="false" outlineLevel="0" collapsed="false">
      <c r="O113" s="11" t="s">
        <v>317</v>
      </c>
      <c r="P113" s="11" t="s">
        <v>312</v>
      </c>
    </row>
    <row r="114" customFormat="false" ht="15" hidden="false" customHeight="false" outlineLevel="0" collapsed="false">
      <c r="O114" s="11" t="s">
        <v>318</v>
      </c>
      <c r="P114" s="11" t="s">
        <v>312</v>
      </c>
    </row>
    <row r="115" customFormat="false" ht="15" hidden="false" customHeight="false" outlineLevel="0" collapsed="false">
      <c r="O115" s="11" t="s">
        <v>319</v>
      </c>
      <c r="P115" s="11" t="s">
        <v>312</v>
      </c>
    </row>
    <row r="116" customFormat="false" ht="15" hidden="false" customHeight="false" outlineLevel="0" collapsed="false">
      <c r="O116" s="11" t="s">
        <v>320</v>
      </c>
      <c r="P116" s="11" t="s">
        <v>312</v>
      </c>
    </row>
    <row r="117" customFormat="false" ht="15" hidden="false" customHeight="false" outlineLevel="0" collapsed="false">
      <c r="O117" s="11" t="s">
        <v>321</v>
      </c>
      <c r="P117" s="11" t="s">
        <v>312</v>
      </c>
    </row>
    <row r="118" customFormat="false" ht="15" hidden="false" customHeight="false" outlineLevel="0" collapsed="false">
      <c r="O118" s="11" t="s">
        <v>322</v>
      </c>
      <c r="P118" s="11" t="s">
        <v>312</v>
      </c>
    </row>
    <row r="119" customFormat="false" ht="15" hidden="false" customHeight="false" outlineLevel="0" collapsed="false">
      <c r="O119" s="11" t="s">
        <v>323</v>
      </c>
      <c r="P119" s="11" t="s">
        <v>312</v>
      </c>
    </row>
    <row r="120" customFormat="false" ht="15" hidden="false" customHeight="false" outlineLevel="0" collapsed="false">
      <c r="O120" s="11" t="s">
        <v>324</v>
      </c>
      <c r="P120" s="11" t="s">
        <v>325</v>
      </c>
    </row>
    <row r="121" customFormat="false" ht="15" hidden="false" customHeight="false" outlineLevel="0" collapsed="false">
      <c r="O121" s="11" t="s">
        <v>326</v>
      </c>
      <c r="P121" s="11" t="s">
        <v>325</v>
      </c>
    </row>
    <row r="122" customFormat="false" ht="15" hidden="false" customHeight="false" outlineLevel="0" collapsed="false">
      <c r="O122" s="11" t="s">
        <v>327</v>
      </c>
      <c r="P122" s="11" t="s">
        <v>325</v>
      </c>
    </row>
    <row r="123" customFormat="false" ht="15" hidden="false" customHeight="false" outlineLevel="0" collapsed="false">
      <c r="O123" s="11" t="s">
        <v>328</v>
      </c>
      <c r="P123" s="11" t="s">
        <v>329</v>
      </c>
    </row>
    <row r="124" customFormat="false" ht="15" hidden="false" customHeight="false" outlineLevel="0" collapsed="false">
      <c r="O124" s="11" t="s">
        <v>330</v>
      </c>
      <c r="P124" s="11" t="s">
        <v>329</v>
      </c>
    </row>
    <row r="125" customFormat="false" ht="15" hidden="false" customHeight="false" outlineLevel="0" collapsed="false">
      <c r="O125" s="11" t="s">
        <v>331</v>
      </c>
      <c r="P125" s="11" t="s">
        <v>329</v>
      </c>
    </row>
    <row r="126" customFormat="false" ht="15" hidden="false" customHeight="false" outlineLevel="0" collapsed="false">
      <c r="O126" s="11" t="s">
        <v>332</v>
      </c>
      <c r="P126" s="11" t="s">
        <v>329</v>
      </c>
    </row>
    <row r="127" customFormat="false" ht="15" hidden="false" customHeight="false" outlineLevel="0" collapsed="false">
      <c r="O127" s="11" t="s">
        <v>333</v>
      </c>
      <c r="P127" s="11" t="s">
        <v>329</v>
      </c>
    </row>
    <row r="128" customFormat="false" ht="15" hidden="false" customHeight="false" outlineLevel="0" collapsed="false">
      <c r="O128" s="11" t="s">
        <v>334</v>
      </c>
      <c r="P128" s="11" t="s">
        <v>329</v>
      </c>
    </row>
    <row r="129" customFormat="false" ht="15" hidden="false" customHeight="false" outlineLevel="0" collapsed="false">
      <c r="O129" s="11" t="s">
        <v>335</v>
      </c>
      <c r="P129" s="11" t="s">
        <v>329</v>
      </c>
    </row>
    <row r="130" customFormat="false" ht="15" hidden="false" customHeight="false" outlineLevel="0" collapsed="false">
      <c r="O130" s="11" t="s">
        <v>336</v>
      </c>
      <c r="P130" s="11" t="s">
        <v>329</v>
      </c>
    </row>
    <row r="131" customFormat="false" ht="15" hidden="false" customHeight="false" outlineLevel="0" collapsed="false">
      <c r="O131" s="11" t="s">
        <v>337</v>
      </c>
      <c r="P131" s="11" t="s">
        <v>329</v>
      </c>
    </row>
    <row r="132" customFormat="false" ht="15" hidden="false" customHeight="false" outlineLevel="0" collapsed="false">
      <c r="O132" s="11" t="s">
        <v>338</v>
      </c>
      <c r="P132" s="11" t="s">
        <v>329</v>
      </c>
    </row>
    <row r="133" customFormat="false" ht="15" hidden="false" customHeight="false" outlineLevel="0" collapsed="false">
      <c r="O133" s="11" t="s">
        <v>339</v>
      </c>
      <c r="P133" s="11" t="s">
        <v>329</v>
      </c>
    </row>
    <row r="134" customFormat="false" ht="15" hidden="false" customHeight="false" outlineLevel="0" collapsed="false">
      <c r="O134" s="11" t="s">
        <v>340</v>
      </c>
      <c r="P134" s="11" t="s">
        <v>341</v>
      </c>
    </row>
    <row r="135" customFormat="false" ht="15" hidden="false" customHeight="false" outlineLevel="0" collapsed="false">
      <c r="O135" s="11" t="s">
        <v>342</v>
      </c>
      <c r="P135" s="11" t="s">
        <v>341</v>
      </c>
    </row>
    <row r="136" customFormat="false" ht="15" hidden="false" customHeight="false" outlineLevel="0" collapsed="false">
      <c r="O136" s="11" t="s">
        <v>343</v>
      </c>
      <c r="P136" s="11" t="s">
        <v>341</v>
      </c>
    </row>
    <row r="137" customFormat="false" ht="15" hidden="false" customHeight="false" outlineLevel="0" collapsed="false">
      <c r="O137" s="11" t="s">
        <v>344</v>
      </c>
      <c r="P137" s="11" t="s">
        <v>341</v>
      </c>
    </row>
    <row r="138" customFormat="false" ht="15" hidden="false" customHeight="false" outlineLevel="0" collapsed="false">
      <c r="O138" s="11" t="s">
        <v>345</v>
      </c>
      <c r="P138" s="11" t="s">
        <v>341</v>
      </c>
    </row>
    <row r="139" customFormat="false" ht="15" hidden="false" customHeight="false" outlineLevel="0" collapsed="false">
      <c r="O139" s="11" t="s">
        <v>346</v>
      </c>
      <c r="P139" s="11" t="s">
        <v>341</v>
      </c>
    </row>
    <row r="140" customFormat="false" ht="15" hidden="false" customHeight="false" outlineLevel="0" collapsed="false">
      <c r="O140" s="11" t="s">
        <v>347</v>
      </c>
      <c r="P140" s="11" t="s">
        <v>341</v>
      </c>
    </row>
    <row r="141" customFormat="false" ht="15" hidden="false" customHeight="false" outlineLevel="0" collapsed="false">
      <c r="O141" s="11" t="s">
        <v>348</v>
      </c>
      <c r="P141" s="11" t="s">
        <v>341</v>
      </c>
    </row>
    <row r="142" customFormat="false" ht="15" hidden="false" customHeight="false" outlineLevel="0" collapsed="false">
      <c r="O142" s="11" t="s">
        <v>349</v>
      </c>
      <c r="P142" s="11" t="s">
        <v>341</v>
      </c>
    </row>
    <row r="143" customFormat="false" ht="15" hidden="false" customHeight="false" outlineLevel="0" collapsed="false">
      <c r="O143" s="11" t="s">
        <v>350</v>
      </c>
      <c r="P143" s="11" t="s">
        <v>341</v>
      </c>
    </row>
    <row r="144" customFormat="false" ht="15" hidden="false" customHeight="false" outlineLevel="0" collapsed="false">
      <c r="O144" s="11" t="s">
        <v>351</v>
      </c>
      <c r="P144" s="11" t="s">
        <v>341</v>
      </c>
    </row>
    <row r="145" customFormat="false" ht="15" hidden="false" customHeight="false" outlineLevel="0" collapsed="false">
      <c r="O145" s="11" t="s">
        <v>352</v>
      </c>
      <c r="P145" s="11" t="s">
        <v>341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F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12"/>
    <col collapsed="false" customWidth="true" hidden="false" outlineLevel="0" max="4" min="4" style="0" width="4"/>
    <col collapsed="false" customWidth="true" hidden="false" outlineLevel="0" max="5" min="5" style="0" width="46"/>
    <col collapsed="false" customWidth="true" hidden="false" outlineLevel="0" max="6" min="6" style="0" width="14"/>
  </cols>
  <sheetData>
    <row r="1" customFormat="false" ht="16.15" hidden="false" customHeight="false" outlineLevel="0" collapsed="false">
      <c r="A1" s="12" t="s">
        <v>353</v>
      </c>
    </row>
    <row r="3" customFormat="false" ht="30" hidden="false" customHeight="true" outlineLevel="0" collapsed="false">
      <c r="A3" s="13" t="s">
        <v>354</v>
      </c>
      <c r="B3" s="13"/>
      <c r="C3" s="13"/>
      <c r="D3" s="13"/>
      <c r="E3" s="13"/>
      <c r="F3" s="13"/>
    </row>
    <row r="5" customFormat="false" ht="22.35" hidden="false" customHeight="false" outlineLevel="0" collapsed="false">
      <c r="B5" s="14" t="s">
        <v>355</v>
      </c>
      <c r="C5" s="15" t="s">
        <v>356</v>
      </c>
      <c r="E5" s="16" t="s">
        <v>357</v>
      </c>
    </row>
    <row r="6" customFormat="false" ht="15" hidden="false" customHeight="false" outlineLevel="0" collapsed="false">
      <c r="B6" s="17" t="s">
        <v>86</v>
      </c>
      <c r="C6" s="18" t="n">
        <v>25</v>
      </c>
    </row>
    <row r="7" customFormat="false" ht="15" hidden="false" customHeight="false" outlineLevel="0" collapsed="false">
      <c r="B7" s="17" t="s">
        <v>106</v>
      </c>
      <c r="C7" s="18" t="n">
        <v>25</v>
      </c>
    </row>
    <row r="8" customFormat="false" ht="15" hidden="false" customHeight="false" outlineLevel="0" collapsed="false">
      <c r="B8" s="17" t="s">
        <v>125</v>
      </c>
      <c r="C8" s="18" t="n">
        <v>20</v>
      </c>
    </row>
    <row r="9" customFormat="false" ht="15" hidden="false" customHeight="false" outlineLevel="0" collapsed="false">
      <c r="B9" s="17" t="s">
        <v>145</v>
      </c>
      <c r="C9" s="18" t="n">
        <v>18</v>
      </c>
    </row>
    <row r="10" customFormat="false" ht="15" hidden="false" customHeight="false" outlineLevel="0" collapsed="false">
      <c r="B10" s="17" t="s">
        <v>160</v>
      </c>
      <c r="C10" s="18" t="n">
        <v>18</v>
      </c>
    </row>
    <row r="11" customFormat="false" ht="15" hidden="false" customHeight="false" outlineLevel="0" collapsed="false">
      <c r="B11" s="17" t="s">
        <v>171</v>
      </c>
      <c r="C11" s="18" t="n">
        <v>16</v>
      </c>
    </row>
    <row r="12" customFormat="false" ht="15" hidden="false" customHeight="false" outlineLevel="0" collapsed="false">
      <c r="B12" s="17" t="s">
        <v>182</v>
      </c>
      <c r="C12" s="18" t="n">
        <v>14</v>
      </c>
    </row>
    <row r="13" customFormat="false" ht="15" hidden="false" customHeight="false" outlineLevel="0" collapsed="false">
      <c r="B13" s="17" t="s">
        <v>190</v>
      </c>
      <c r="C13" s="18" t="n">
        <v>12</v>
      </c>
    </row>
    <row r="14" customFormat="false" ht="15" hidden="false" customHeight="false" outlineLevel="0" collapsed="false">
      <c r="B14" s="17" t="s">
        <v>195</v>
      </c>
      <c r="C14" s="18" t="n">
        <v>10</v>
      </c>
    </row>
    <row r="15" customFormat="false" ht="15" hidden="false" customHeight="false" outlineLevel="0" collapsed="false">
      <c r="B15" s="17" t="s">
        <v>200</v>
      </c>
      <c r="C15" s="18" t="n">
        <v>8</v>
      </c>
    </row>
    <row r="17" customFormat="false" ht="22.35" hidden="false" customHeight="false" outlineLevel="0" collapsed="false">
      <c r="B17" s="14" t="s">
        <v>358</v>
      </c>
      <c r="C17" s="15" t="s">
        <v>359</v>
      </c>
      <c r="E17" s="16" t="s">
        <v>360</v>
      </c>
    </row>
    <row r="18" customFormat="false" ht="15" hidden="false" customHeight="false" outlineLevel="0" collapsed="false">
      <c r="B18" s="17" t="s">
        <v>92</v>
      </c>
      <c r="C18" s="18" t="n">
        <v>20</v>
      </c>
    </row>
    <row r="19" customFormat="false" ht="15" hidden="false" customHeight="false" outlineLevel="0" collapsed="false">
      <c r="B19" s="17" t="s">
        <v>112</v>
      </c>
      <c r="C19" s="18" t="n">
        <v>0</v>
      </c>
    </row>
    <row r="20" customFormat="false" ht="15" hidden="false" customHeight="false" outlineLevel="0" collapsed="false">
      <c r="B20" s="17" t="s">
        <v>131</v>
      </c>
      <c r="C20" s="18" t="n">
        <v>8</v>
      </c>
    </row>
    <row r="22" customFormat="false" ht="22.35" hidden="false" customHeight="false" outlineLevel="0" collapsed="false">
      <c r="B22" s="14" t="s">
        <v>361</v>
      </c>
      <c r="C22" s="15" t="s">
        <v>359</v>
      </c>
      <c r="E22" s="16" t="s">
        <v>362</v>
      </c>
    </row>
    <row r="23" customFormat="false" ht="15" hidden="false" customHeight="false" outlineLevel="0" collapsed="false">
      <c r="B23" s="17" t="s">
        <v>92</v>
      </c>
      <c r="C23" s="18" t="n">
        <v>20</v>
      </c>
    </row>
    <row r="24" customFormat="false" ht="15" hidden="false" customHeight="false" outlineLevel="0" collapsed="false">
      <c r="B24" s="17" t="s">
        <v>113</v>
      </c>
      <c r="C24" s="18" t="n">
        <v>14</v>
      </c>
    </row>
    <row r="25" customFormat="false" ht="15" hidden="false" customHeight="false" outlineLevel="0" collapsed="false">
      <c r="B25" s="17" t="s">
        <v>112</v>
      </c>
      <c r="C25" s="18" t="n">
        <v>6</v>
      </c>
    </row>
    <row r="26" customFormat="false" ht="15" hidden="false" customHeight="false" outlineLevel="0" collapsed="false">
      <c r="B26" s="17" t="s">
        <v>131</v>
      </c>
      <c r="C26" s="18" t="n">
        <v>8</v>
      </c>
    </row>
    <row r="28" customFormat="false" ht="22.35" hidden="false" customHeight="false" outlineLevel="0" collapsed="false">
      <c r="B28" s="14" t="s">
        <v>363</v>
      </c>
      <c r="C28" s="15" t="s">
        <v>364</v>
      </c>
      <c r="E28" s="16" t="s">
        <v>365</v>
      </c>
    </row>
    <row r="29" customFormat="false" ht="15" hidden="false" customHeight="false" outlineLevel="0" collapsed="false">
      <c r="B29" s="17" t="s">
        <v>91</v>
      </c>
      <c r="C29" s="18" t="n">
        <v>15</v>
      </c>
    </row>
    <row r="30" customFormat="false" ht="15" hidden="false" customHeight="false" outlineLevel="0" collapsed="false">
      <c r="B30" s="17" t="s">
        <v>111</v>
      </c>
      <c r="C30" s="18" t="n">
        <v>12</v>
      </c>
    </row>
    <row r="31" customFormat="false" ht="15" hidden="false" customHeight="false" outlineLevel="0" collapsed="false">
      <c r="B31" s="17" t="s">
        <v>130</v>
      </c>
      <c r="C31" s="18" t="n">
        <v>6</v>
      </c>
    </row>
    <row r="32" customFormat="false" ht="15" hidden="false" customHeight="false" outlineLevel="0" collapsed="false">
      <c r="B32" s="17" t="s">
        <v>131</v>
      </c>
      <c r="C32" s="18" t="n">
        <v>5</v>
      </c>
    </row>
    <row r="34" customFormat="false" ht="22.35" hidden="false" customHeight="false" outlineLevel="0" collapsed="false">
      <c r="B34" s="14" t="s">
        <v>366</v>
      </c>
      <c r="C34" s="15" t="s">
        <v>367</v>
      </c>
      <c r="E34" s="16" t="s">
        <v>368</v>
      </c>
    </row>
    <row r="35" customFormat="false" ht="15" hidden="false" customHeight="false" outlineLevel="0" collapsed="false">
      <c r="B35" s="17" t="s">
        <v>88</v>
      </c>
      <c r="C35" s="18" t="n">
        <v>10</v>
      </c>
    </row>
    <row r="36" customFormat="false" ht="15" hidden="false" customHeight="false" outlineLevel="0" collapsed="false">
      <c r="B36" s="17" t="s">
        <v>108</v>
      </c>
      <c r="C36" s="18" t="n">
        <v>6</v>
      </c>
    </row>
    <row r="37" customFormat="false" ht="15" hidden="false" customHeight="false" outlineLevel="0" collapsed="false">
      <c r="B37" s="17" t="s">
        <v>127</v>
      </c>
      <c r="C37" s="18" t="n">
        <v>0</v>
      </c>
    </row>
    <row r="39" customFormat="false" ht="22.35" hidden="false" customHeight="false" outlineLevel="0" collapsed="false">
      <c r="B39" s="14" t="s">
        <v>369</v>
      </c>
      <c r="C39" s="15" t="s">
        <v>367</v>
      </c>
      <c r="E39" s="16" t="s">
        <v>370</v>
      </c>
    </row>
    <row r="40" customFormat="false" ht="15" hidden="false" customHeight="false" outlineLevel="0" collapsed="false">
      <c r="B40" s="17" t="s">
        <v>371</v>
      </c>
      <c r="C40" s="18" t="n">
        <v>10</v>
      </c>
    </row>
    <row r="41" customFormat="false" ht="15" hidden="false" customHeight="false" outlineLevel="0" collapsed="false">
      <c r="B41" s="17" t="s">
        <v>372</v>
      </c>
      <c r="C41" s="18" t="n">
        <v>7</v>
      </c>
    </row>
    <row r="42" customFormat="false" ht="15" hidden="false" customHeight="false" outlineLevel="0" collapsed="false">
      <c r="B42" s="17" t="s">
        <v>373</v>
      </c>
      <c r="C42" s="18" t="n">
        <v>4</v>
      </c>
    </row>
    <row r="45" customFormat="false" ht="15" hidden="false" customHeight="false" outlineLevel="0" collapsed="false">
      <c r="B45" s="14" t="s">
        <v>374</v>
      </c>
    </row>
    <row r="46" customFormat="false" ht="15" hidden="false" customHeight="false" outlineLevel="0" collapsed="false">
      <c r="B46" s="19" t="s">
        <v>375</v>
      </c>
      <c r="C46" s="18" t="n">
        <v>75</v>
      </c>
    </row>
    <row r="47" customFormat="false" ht="15" hidden="false" customHeight="false" outlineLevel="0" collapsed="false">
      <c r="B47" s="19" t="s">
        <v>376</v>
      </c>
      <c r="C47" s="18" t="n">
        <v>60</v>
      </c>
    </row>
    <row r="48" customFormat="false" ht="15" hidden="false" customHeight="false" outlineLevel="0" collapsed="false">
      <c r="B48" s="19" t="s">
        <v>377</v>
      </c>
      <c r="C48" s="18" t="n">
        <v>40</v>
      </c>
    </row>
    <row r="49" customFormat="false" ht="15" hidden="false" customHeight="false" outlineLevel="0" collapsed="false">
      <c r="B49" s="19" t="s">
        <v>378</v>
      </c>
      <c r="C49" s="18" t="n">
        <v>0</v>
      </c>
    </row>
    <row r="51" customFormat="false" ht="15" hidden="false" customHeight="false" outlineLevel="0" collapsed="false">
      <c r="B51" s="10" t="s">
        <v>379</v>
      </c>
    </row>
  </sheetData>
  <mergeCells count="1">
    <mergeCell ref="A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BE4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2" topLeftCell="F3" activePane="bottomRight" state="frozen"/>
      <selection pane="topLeft" activeCell="A1" activeCellId="0" sqref="A1"/>
      <selection pane="topRight" activeCell="F1" activeCellId="0" sqref="F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4" min="3" style="0" width="14"/>
    <col collapsed="false" customWidth="true" hidden="false" outlineLevel="0" max="5" min="5" style="0" width="30"/>
    <col collapsed="false" customWidth="true" hidden="false" outlineLevel="0" max="6" min="6" style="0" width="26"/>
    <col collapsed="false" customWidth="true" hidden="false" outlineLevel="0" max="7" min="7" style="0" width="16"/>
    <col collapsed="false" customWidth="true" hidden="false" outlineLevel="0" max="8" min="8" style="0" width="18"/>
    <col collapsed="false" customWidth="true" hidden="false" outlineLevel="0" max="9" min="9" style="0" width="16"/>
    <col collapsed="false" customWidth="true" hidden="false" outlineLevel="0" max="10" min="10" style="0" width="22"/>
    <col collapsed="false" customWidth="true" hidden="false" outlineLevel="0" max="11" min="11" style="0" width="26"/>
    <col collapsed="false" customWidth="true" hidden="false" outlineLevel="0" max="12" min="12" style="0" width="14"/>
    <col collapsed="false" customWidth="true" hidden="false" outlineLevel="0" max="13" min="13" style="0" width="18"/>
    <col collapsed="false" customWidth="true" hidden="false" outlineLevel="0" max="15" min="14" style="0" width="12"/>
    <col collapsed="false" customWidth="true" hidden="false" outlineLevel="0" max="16" min="16" style="0" width="15"/>
    <col collapsed="false" customWidth="true" hidden="false" outlineLevel="0" max="17" min="17" style="0" width="12"/>
    <col collapsed="false" customWidth="true" hidden="false" outlineLevel="0" max="18" min="18" style="0" width="11"/>
    <col collapsed="false" customWidth="true" hidden="false" outlineLevel="0" max="19" min="19" style="0" width="26"/>
    <col collapsed="false" customWidth="true" hidden="false" outlineLevel="0" max="20" min="20" style="0" width="34"/>
    <col collapsed="false" customWidth="true" hidden="false" outlineLevel="0" max="21" min="21" style="0" width="11"/>
    <col collapsed="false" customWidth="true" hidden="false" outlineLevel="0" max="22" min="22" style="0" width="18"/>
    <col collapsed="false" customWidth="true" hidden="false" outlineLevel="0" max="23" min="23" style="0" width="22"/>
    <col collapsed="false" customWidth="true" hidden="false" outlineLevel="0" max="24" min="24" style="0" width="15"/>
    <col collapsed="false" customWidth="true" hidden="false" outlineLevel="0" max="25" min="25" style="0" width="24"/>
    <col collapsed="false" customWidth="true" hidden="false" outlineLevel="0" max="26" min="26" style="0" width="13"/>
    <col collapsed="false" customWidth="true" hidden="false" outlineLevel="0" max="27" min="27" style="0" width="14"/>
    <col collapsed="false" customWidth="true" hidden="false" outlineLevel="0" max="30" min="28" style="0" width="13"/>
    <col collapsed="false" customWidth="true" hidden="false" outlineLevel="0" max="31" min="31" style="0" width="14"/>
    <col collapsed="false" customWidth="true" hidden="false" outlineLevel="0" max="32" min="32" style="0" width="15"/>
    <col collapsed="false" customWidth="true" hidden="false" outlineLevel="0" max="33" min="33" style="0" width="18"/>
    <col collapsed="false" customWidth="true" hidden="false" outlineLevel="0" max="34" min="34" style="0" width="14"/>
    <col collapsed="false" customWidth="true" hidden="false" outlineLevel="0" max="35" min="35" style="0" width="22"/>
    <col collapsed="false" customWidth="true" hidden="false" outlineLevel="0" max="36" min="36" style="0" width="12"/>
    <col collapsed="false" customWidth="true" hidden="false" outlineLevel="0" max="37" min="37" style="0" width="24"/>
    <col collapsed="false" customWidth="true" hidden="false" outlineLevel="0" max="38" min="38" style="0" width="14"/>
    <col collapsed="false" customWidth="true" hidden="false" outlineLevel="0" max="40" min="39" style="0" width="22"/>
    <col collapsed="false" customWidth="true" hidden="false" outlineLevel="0" max="41" min="41" style="0" width="14"/>
    <col collapsed="false" customWidth="true" hidden="false" outlineLevel="0" max="42" min="42" style="0" width="26"/>
    <col collapsed="false" customWidth="true" hidden="false" outlineLevel="0" max="43" min="43" style="0" width="14"/>
    <col collapsed="false" customWidth="true" hidden="false" outlineLevel="0" max="44" min="44" style="0" width="18"/>
    <col collapsed="false" customWidth="true" hidden="false" outlineLevel="0" max="45" min="45" style="0" width="16"/>
    <col collapsed="false" customWidth="true" hidden="false" outlineLevel="0" max="46" min="46" style="0" width="26"/>
    <col collapsed="false" customWidth="true" hidden="false" outlineLevel="0" max="47" min="47" style="0" width="16"/>
    <col collapsed="false" customWidth="true" hidden="false" outlineLevel="0" max="48" min="48" style="0" width="18"/>
    <col collapsed="false" customWidth="true" hidden="false" outlineLevel="0" max="49" min="49" style="0" width="12"/>
    <col collapsed="false" customWidth="true" hidden="false" outlineLevel="0" max="50" min="50" style="0" width="14"/>
    <col collapsed="false" customWidth="true" hidden="false" outlineLevel="0" max="51" min="51" style="0" width="13"/>
    <col collapsed="false" customWidth="true" hidden="false" outlineLevel="0" max="53" min="52" style="0" width="12"/>
    <col collapsed="false" customWidth="true" hidden="false" outlineLevel="0" max="54" min="54" style="0" width="34"/>
    <col collapsed="false" customWidth="true" hidden="false" outlineLevel="0" max="55" min="55" style="0" width="11"/>
    <col collapsed="false" customWidth="true" hidden="false" outlineLevel="0" max="56" min="56" style="0" width="9"/>
    <col collapsed="false" customWidth="true" hidden="false" outlineLevel="0" max="57" min="57" style="0" width="20"/>
  </cols>
  <sheetData>
    <row r="1" customFormat="false" ht="24" hidden="false" customHeight="true" outlineLevel="0" collapsed="false">
      <c r="A1" s="20" t="s">
        <v>380</v>
      </c>
      <c r="B1" s="20"/>
      <c r="C1" s="20"/>
      <c r="D1" s="20"/>
      <c r="E1" s="21" t="s">
        <v>381</v>
      </c>
      <c r="F1" s="21"/>
      <c r="G1" s="21"/>
      <c r="H1" s="21"/>
      <c r="I1" s="21"/>
      <c r="J1" s="21"/>
      <c r="K1" s="21"/>
      <c r="L1" s="21"/>
      <c r="M1" s="21"/>
      <c r="N1" s="21"/>
      <c r="O1" s="21"/>
      <c r="P1" s="21"/>
      <c r="Q1" s="21"/>
      <c r="R1" s="21"/>
      <c r="S1" s="21"/>
      <c r="T1" s="21"/>
      <c r="U1" s="22" t="s">
        <v>382</v>
      </c>
      <c r="V1" s="22"/>
      <c r="W1" s="22"/>
      <c r="X1" s="22"/>
      <c r="Y1" s="22"/>
      <c r="Z1" s="22"/>
      <c r="AA1" s="22"/>
      <c r="AB1" s="22"/>
      <c r="AC1" s="22"/>
      <c r="AD1" s="22"/>
      <c r="AE1" s="22"/>
      <c r="AF1" s="22"/>
      <c r="AG1" s="23" t="s">
        <v>383</v>
      </c>
      <c r="AH1" s="23"/>
      <c r="AI1" s="23"/>
      <c r="AJ1" s="23"/>
      <c r="AK1" s="23"/>
      <c r="AL1" s="23"/>
      <c r="AM1" s="24" t="s">
        <v>384</v>
      </c>
      <c r="AN1" s="24"/>
      <c r="AO1" s="24"/>
      <c r="AP1" s="24"/>
      <c r="AQ1" s="24"/>
      <c r="AR1" s="24"/>
      <c r="AS1" s="24"/>
      <c r="AT1" s="24"/>
      <c r="AU1" s="24"/>
      <c r="AV1" s="25" t="s">
        <v>385</v>
      </c>
      <c r="AW1" s="25"/>
      <c r="AX1" s="25"/>
      <c r="AY1" s="25"/>
      <c r="AZ1" s="25"/>
      <c r="BA1" s="25"/>
      <c r="BB1" s="25"/>
      <c r="BC1" s="26" t="s">
        <v>386</v>
      </c>
      <c r="BD1" s="26"/>
      <c r="BE1" s="26"/>
    </row>
    <row r="2" customFormat="false" ht="45.75" hidden="false" customHeight="true" outlineLevel="0" collapsed="false">
      <c r="A2" s="27" t="s">
        <v>387</v>
      </c>
      <c r="B2" s="27" t="s">
        <v>388</v>
      </c>
      <c r="C2" s="27" t="s">
        <v>389</v>
      </c>
      <c r="D2" s="27" t="s">
        <v>390</v>
      </c>
      <c r="E2" s="27" t="s">
        <v>391</v>
      </c>
      <c r="F2" s="27" t="s">
        <v>392</v>
      </c>
      <c r="G2" s="27" t="s">
        <v>393</v>
      </c>
      <c r="H2" s="28" t="s">
        <v>394</v>
      </c>
      <c r="I2" s="27" t="s">
        <v>395</v>
      </c>
      <c r="J2" s="27" t="s">
        <v>396</v>
      </c>
      <c r="K2" s="27" t="s">
        <v>397</v>
      </c>
      <c r="L2" s="27" t="s">
        <v>398</v>
      </c>
      <c r="M2" s="27" t="s">
        <v>399</v>
      </c>
      <c r="N2" s="27" t="s">
        <v>400</v>
      </c>
      <c r="O2" s="27" t="s">
        <v>401</v>
      </c>
      <c r="P2" s="27" t="s">
        <v>402</v>
      </c>
      <c r="Q2" s="27" t="s">
        <v>403</v>
      </c>
      <c r="R2" s="27" t="s">
        <v>404</v>
      </c>
      <c r="S2" s="27" t="s">
        <v>405</v>
      </c>
      <c r="T2" s="27" t="s">
        <v>406</v>
      </c>
      <c r="U2" s="27" t="s">
        <v>407</v>
      </c>
      <c r="V2" s="27" t="s">
        <v>408</v>
      </c>
      <c r="W2" s="27" t="s">
        <v>409</v>
      </c>
      <c r="X2" s="27" t="s">
        <v>410</v>
      </c>
      <c r="Y2" s="27" t="s">
        <v>411</v>
      </c>
      <c r="Z2" s="27" t="s">
        <v>412</v>
      </c>
      <c r="AA2" s="27" t="s">
        <v>413</v>
      </c>
      <c r="AB2" s="27" t="s">
        <v>414</v>
      </c>
      <c r="AC2" s="27" t="s">
        <v>415</v>
      </c>
      <c r="AD2" s="27" t="s">
        <v>416</v>
      </c>
      <c r="AE2" s="27" t="s">
        <v>417</v>
      </c>
      <c r="AF2" s="27" t="s">
        <v>418</v>
      </c>
      <c r="AG2" s="27" t="s">
        <v>419</v>
      </c>
      <c r="AH2" s="27" t="s">
        <v>420</v>
      </c>
      <c r="AI2" s="27" t="s">
        <v>421</v>
      </c>
      <c r="AJ2" s="27" t="s">
        <v>422</v>
      </c>
      <c r="AK2" s="27" t="s">
        <v>423</v>
      </c>
      <c r="AL2" s="27" t="s">
        <v>424</v>
      </c>
      <c r="AM2" s="27" t="s">
        <v>425</v>
      </c>
      <c r="AN2" s="27" t="s">
        <v>426</v>
      </c>
      <c r="AO2" s="27" t="s">
        <v>427</v>
      </c>
      <c r="AP2" s="27" t="s">
        <v>428</v>
      </c>
      <c r="AQ2" s="27" t="s">
        <v>429</v>
      </c>
      <c r="AR2" s="27" t="s">
        <v>430</v>
      </c>
      <c r="AS2" s="27" t="s">
        <v>431</v>
      </c>
      <c r="AT2" s="27" t="s">
        <v>432</v>
      </c>
      <c r="AU2" s="27" t="s">
        <v>433</v>
      </c>
      <c r="AV2" s="27" t="s">
        <v>434</v>
      </c>
      <c r="AW2" s="27" t="s">
        <v>435</v>
      </c>
      <c r="AX2" s="27" t="s">
        <v>436</v>
      </c>
      <c r="AY2" s="27" t="s">
        <v>437</v>
      </c>
      <c r="AZ2" s="28" t="s">
        <v>438</v>
      </c>
      <c r="BA2" s="28" t="s">
        <v>439</v>
      </c>
      <c r="BB2" s="27" t="s">
        <v>440</v>
      </c>
      <c r="BC2" s="28" t="s">
        <v>441</v>
      </c>
      <c r="BD2" s="28" t="s">
        <v>442</v>
      </c>
      <c r="BE2" s="27" t="s">
        <v>443</v>
      </c>
    </row>
    <row r="3" customFormat="false" ht="22.35" hidden="false" customHeight="false" outlineLevel="0" collapsed="false">
      <c r="A3" s="29" t="s">
        <v>444</v>
      </c>
      <c r="B3" s="30" t="n">
        <v>46246</v>
      </c>
      <c r="C3" s="29" t="s">
        <v>445</v>
      </c>
      <c r="D3" s="29" t="s">
        <v>144</v>
      </c>
      <c r="E3" s="31" t="s">
        <v>446</v>
      </c>
      <c r="F3" s="31" t="s">
        <v>447</v>
      </c>
      <c r="G3" s="29" t="s">
        <v>211</v>
      </c>
      <c r="H3" s="32" t="str">
        <f aca="false">IF($G3="","",IFERROR(INDEX(LISTS!$P$3:$P$145,MATCH($G3,LISTS!$O$3:$O$145,0)),"Other"))</f>
        <v>East Africa</v>
      </c>
      <c r="I3" s="29" t="s">
        <v>448</v>
      </c>
      <c r="J3" s="31" t="s">
        <v>106</v>
      </c>
      <c r="K3" s="31" t="s">
        <v>449</v>
      </c>
      <c r="L3" s="29" t="s">
        <v>88</v>
      </c>
      <c r="M3" s="29" t="s">
        <v>128</v>
      </c>
      <c r="N3" s="33" t="n">
        <v>1998</v>
      </c>
      <c r="O3" s="29" t="s">
        <v>129</v>
      </c>
      <c r="P3" s="33" t="n">
        <v>12000000</v>
      </c>
      <c r="Q3" s="29" t="s">
        <v>111</v>
      </c>
      <c r="R3" s="33" t="n">
        <v>14</v>
      </c>
      <c r="S3" s="31" t="s">
        <v>450</v>
      </c>
      <c r="T3" s="31" t="s">
        <v>451</v>
      </c>
      <c r="U3" s="29" t="s">
        <v>92</v>
      </c>
      <c r="V3" s="29" t="s">
        <v>452</v>
      </c>
      <c r="W3" s="31" t="s">
        <v>453</v>
      </c>
      <c r="X3" s="29" t="s">
        <v>92</v>
      </c>
      <c r="Y3" s="31" t="s">
        <v>454</v>
      </c>
      <c r="Z3" s="33" t="n">
        <v>40</v>
      </c>
      <c r="AA3" s="33" t="n">
        <v>1800000</v>
      </c>
      <c r="AB3" s="29" t="s">
        <v>135</v>
      </c>
      <c r="AC3" s="29" t="s">
        <v>132</v>
      </c>
      <c r="AD3" s="30" t="n">
        <v>46221</v>
      </c>
      <c r="AE3" s="29" t="s">
        <v>94</v>
      </c>
      <c r="AF3" s="29" t="s">
        <v>95</v>
      </c>
      <c r="AG3" s="29" t="s">
        <v>455</v>
      </c>
      <c r="AH3" s="29" t="s">
        <v>99</v>
      </c>
      <c r="AI3" s="31" t="s">
        <v>456</v>
      </c>
      <c r="AJ3" s="29" t="s">
        <v>457</v>
      </c>
      <c r="AK3" s="31" t="s">
        <v>458</v>
      </c>
      <c r="AL3" s="33" t="n">
        <v>180000</v>
      </c>
      <c r="AM3" s="31" t="s">
        <v>459</v>
      </c>
      <c r="AN3" s="31" t="s">
        <v>460</v>
      </c>
      <c r="AO3" s="29" t="s">
        <v>100</v>
      </c>
      <c r="AP3" s="31" t="s">
        <v>461</v>
      </c>
      <c r="AQ3" s="29" t="s">
        <v>101</v>
      </c>
      <c r="AR3" s="29" t="s">
        <v>462</v>
      </c>
      <c r="AS3" s="29" t="s">
        <v>463</v>
      </c>
      <c r="AT3" s="31" t="s">
        <v>464</v>
      </c>
      <c r="AU3" s="29" t="s">
        <v>121</v>
      </c>
      <c r="AV3" s="29" t="s">
        <v>102</v>
      </c>
      <c r="AW3" s="30" t="n">
        <v>46244</v>
      </c>
      <c r="AX3" s="29" t="s">
        <v>445</v>
      </c>
      <c r="AY3" s="30" t="n">
        <v>46248</v>
      </c>
      <c r="AZ3" s="34" t="n">
        <f aca="false">IF($E3="","",COUNTA($E3,$F3,$G3,$J3,$L3,$Q3,$U3,$X3,$AM3,$AN3,$AP3,$AR3)/12)</f>
        <v>1</v>
      </c>
      <c r="BA3" s="32" t="str">
        <f aca="false">IF($E3="","",IF(COUNTIF($E$3:$E$402,$E3)&gt;1,"DUPLICATE",""))</f>
        <v/>
      </c>
      <c r="BB3" s="31" t="s">
        <v>465</v>
      </c>
      <c r="BC3" s="35" t="n">
        <f aca="false">IF($E3="","",IFERROR(INDEX(SCORING!$C$6:$C$15,MATCH($J3,SCORING!$B$6:$B$15,0)),0)+IFERROR(INDEX(SCORING!$C$18:$C$20,MATCH($U3,SCORING!$B$18:$B$20,0)),0)+IFERROR(INDEX(SCORING!$C$23:$C$26,MATCH($X3,SCORING!$B$23:$B$26,0)),0)+IFERROR(INDEX(SCORING!$C$29:$C$32,MATCH($Q3,SCORING!$B$29:$B$32,0)),0)+IFERROR(INDEX(SCORING!$C$35:$C$37,MATCH($L3,SCORING!$B$35:$B$37,0)),0)+IF($AP3="",0,IF(AND($AQ3="Valid",$AO3="Decision maker"),SCORING!$C$40,IF($AQ3="Valid",SCORING!$C$41,SCORING!$C$42))))</f>
        <v>97</v>
      </c>
      <c r="BD3" s="36" t="str">
        <f aca="false">IF($BC3="","",IF($BC3&gt;=SCORING!$C$46,"A",IF($BC3&gt;=SCORING!$C$47,"B",IF($BC3&gt;=SCORING!$C$48,"C","D"))))</f>
        <v>A</v>
      </c>
      <c r="BE3" s="29" t="s">
        <v>143</v>
      </c>
    </row>
    <row r="4" customFormat="false" ht="22.35" hidden="false" customHeight="false" outlineLevel="0" collapsed="false">
      <c r="A4" s="29" t="s">
        <v>466</v>
      </c>
      <c r="B4" s="30" t="n">
        <v>46251</v>
      </c>
      <c r="C4" s="29" t="s">
        <v>445</v>
      </c>
      <c r="D4" s="29" t="s">
        <v>105</v>
      </c>
      <c r="E4" s="31" t="s">
        <v>467</v>
      </c>
      <c r="F4" s="31" t="s">
        <v>468</v>
      </c>
      <c r="G4" s="29" t="s">
        <v>250</v>
      </c>
      <c r="H4" s="32" t="str">
        <f aca="false">IF($G4="","",IFERROR(INDEX(LISTS!$P$3:$P$145,MATCH($G4,LISTS!$O$3:$O$145,0)),"Other"))</f>
        <v>Middle East / Gulf</v>
      </c>
      <c r="I4" s="29" t="s">
        <v>469</v>
      </c>
      <c r="J4" s="31" t="s">
        <v>86</v>
      </c>
      <c r="K4" s="31" t="s">
        <v>206</v>
      </c>
      <c r="L4" s="29" t="s">
        <v>88</v>
      </c>
      <c r="M4" s="29" t="s">
        <v>109</v>
      </c>
      <c r="N4" s="33"/>
      <c r="O4" s="29" t="s">
        <v>110</v>
      </c>
      <c r="P4" s="33" t="n">
        <v>6500000</v>
      </c>
      <c r="Q4" s="29" t="s">
        <v>111</v>
      </c>
      <c r="R4" s="33"/>
      <c r="S4" s="31" t="s">
        <v>470</v>
      </c>
      <c r="T4" s="31" t="s">
        <v>471</v>
      </c>
      <c r="U4" s="29" t="s">
        <v>92</v>
      </c>
      <c r="V4" s="29" t="s">
        <v>472</v>
      </c>
      <c r="W4" s="31" t="s">
        <v>473</v>
      </c>
      <c r="X4" s="29" t="s">
        <v>92</v>
      </c>
      <c r="Y4" s="31"/>
      <c r="Z4" s="33" t="n">
        <v>22</v>
      </c>
      <c r="AA4" s="33"/>
      <c r="AB4" s="29" t="s">
        <v>135</v>
      </c>
      <c r="AC4" s="29" t="s">
        <v>149</v>
      </c>
      <c r="AD4" s="30"/>
      <c r="AE4" s="29" t="s">
        <v>111</v>
      </c>
      <c r="AF4" s="29" t="s">
        <v>166</v>
      </c>
      <c r="AG4" s="29" t="s">
        <v>474</v>
      </c>
      <c r="AH4" s="29" t="s">
        <v>177</v>
      </c>
      <c r="AI4" s="31"/>
      <c r="AJ4" s="29" t="s">
        <v>475</v>
      </c>
      <c r="AK4" s="31" t="s">
        <v>476</v>
      </c>
      <c r="AL4" s="33"/>
      <c r="AM4" s="31" t="s">
        <v>477</v>
      </c>
      <c r="AN4" s="31" t="s">
        <v>478</v>
      </c>
      <c r="AO4" s="29" t="s">
        <v>119</v>
      </c>
      <c r="AP4" s="31" t="s">
        <v>479</v>
      </c>
      <c r="AQ4" s="29" t="s">
        <v>101</v>
      </c>
      <c r="AR4" s="29" t="s">
        <v>480</v>
      </c>
      <c r="AS4" s="29"/>
      <c r="AT4" s="31"/>
      <c r="AU4" s="29" t="s">
        <v>140</v>
      </c>
      <c r="AV4" s="29" t="s">
        <v>140</v>
      </c>
      <c r="AW4" s="30" t="n">
        <v>46250</v>
      </c>
      <c r="AX4" s="29"/>
      <c r="AY4" s="30"/>
      <c r="AZ4" s="34" t="n">
        <f aca="false">IF($E4="","",COUNTA($E4,$F4,$G4,$J4,$L4,$Q4,$U4,$X4,$AM4,$AN4,$AP4,$AR4)/12)</f>
        <v>1</v>
      </c>
      <c r="BA4" s="32" t="str">
        <f aca="false">IF($E4="","",IF(COUNTIF($E$3:$E$402,$E4)&gt;1,"DUPLICATE",""))</f>
        <v/>
      </c>
      <c r="BB4" s="31" t="s">
        <v>481</v>
      </c>
      <c r="BC4" s="35" t="n">
        <f aca="false">IF($E4="","",IFERROR(INDEX(SCORING!$C$6:$C$15,MATCH($J4,SCORING!$B$6:$B$15,0)),0)+IFERROR(INDEX(SCORING!$C$18:$C$20,MATCH($U4,SCORING!$B$18:$B$20,0)),0)+IFERROR(INDEX(SCORING!$C$23:$C$26,MATCH($X4,SCORING!$B$23:$B$26,0)),0)+IFERROR(INDEX(SCORING!$C$29:$C$32,MATCH($Q4,SCORING!$B$29:$B$32,0)),0)+IFERROR(INDEX(SCORING!$C$35:$C$37,MATCH($L4,SCORING!$B$35:$B$37,0)),0)+IF($AP4="",0,IF(AND($AQ4="Valid",$AO4="Decision maker"),SCORING!$C$40,IF($AQ4="Valid",SCORING!$C$41,SCORING!$C$42))))</f>
        <v>94</v>
      </c>
      <c r="BD4" s="36" t="str">
        <f aca="false">IF($BC4="","",IF($BC4&gt;=SCORING!$C$46,"A",IF($BC4&gt;=SCORING!$C$47,"B",IF($BC4&gt;=SCORING!$C$48,"C","D"))))</f>
        <v>A</v>
      </c>
      <c r="BE4" s="29" t="s">
        <v>104</v>
      </c>
    </row>
    <row r="5" customFormat="false" ht="32.8" hidden="false" customHeight="false" outlineLevel="0" collapsed="false">
      <c r="A5" s="29" t="s">
        <v>482</v>
      </c>
      <c r="B5" s="30" t="n">
        <v>46256</v>
      </c>
      <c r="C5" s="29" t="s">
        <v>483</v>
      </c>
      <c r="D5" s="29" t="s">
        <v>85</v>
      </c>
      <c r="E5" s="31" t="s">
        <v>484</v>
      </c>
      <c r="F5" s="31"/>
      <c r="G5" s="29" t="s">
        <v>288</v>
      </c>
      <c r="H5" s="32" t="str">
        <f aca="false">IF($G5="","",IFERROR(INDEX(LISTS!$P$3:$P$145,MATCH($G5,LISTS!$O$3:$O$145,0)),"Other"))</f>
        <v>Oceania</v>
      </c>
      <c r="I5" s="29" t="s">
        <v>485</v>
      </c>
      <c r="J5" s="31" t="s">
        <v>125</v>
      </c>
      <c r="K5" s="31" t="s">
        <v>87</v>
      </c>
      <c r="L5" s="29" t="s">
        <v>108</v>
      </c>
      <c r="M5" s="29"/>
      <c r="N5" s="33"/>
      <c r="O5" s="29" t="s">
        <v>110</v>
      </c>
      <c r="P5" s="33"/>
      <c r="Q5" s="29" t="s">
        <v>130</v>
      </c>
      <c r="R5" s="33"/>
      <c r="S5" s="31"/>
      <c r="T5" s="31"/>
      <c r="U5" s="29" t="s">
        <v>131</v>
      </c>
      <c r="V5" s="29"/>
      <c r="W5" s="31"/>
      <c r="X5" s="29" t="s">
        <v>131</v>
      </c>
      <c r="Y5" s="31"/>
      <c r="Z5" s="33"/>
      <c r="AA5" s="33"/>
      <c r="AB5" s="29"/>
      <c r="AC5" s="29"/>
      <c r="AD5" s="30"/>
      <c r="AE5" s="29"/>
      <c r="AF5" s="29" t="s">
        <v>166</v>
      </c>
      <c r="AG5" s="29" t="s">
        <v>485</v>
      </c>
      <c r="AH5" s="29" t="s">
        <v>177</v>
      </c>
      <c r="AI5" s="31"/>
      <c r="AJ5" s="29" t="s">
        <v>457</v>
      </c>
      <c r="AK5" s="31"/>
      <c r="AL5" s="33"/>
      <c r="AM5" s="31" t="s">
        <v>486</v>
      </c>
      <c r="AN5" s="31" t="s">
        <v>487</v>
      </c>
      <c r="AO5" s="29" t="s">
        <v>131</v>
      </c>
      <c r="AP5" s="31" t="s">
        <v>488</v>
      </c>
      <c r="AQ5" s="29" t="s">
        <v>120</v>
      </c>
      <c r="AR5" s="29"/>
      <c r="AS5" s="29"/>
      <c r="AT5" s="31"/>
      <c r="AU5" s="29" t="s">
        <v>121</v>
      </c>
      <c r="AV5" s="29" t="s">
        <v>178</v>
      </c>
      <c r="AW5" s="30" t="n">
        <v>46256</v>
      </c>
      <c r="AX5" s="29"/>
      <c r="AY5" s="30"/>
      <c r="AZ5" s="34" t="n">
        <f aca="false">IF($E5="","",COUNTA($E5,$F5,$G5,$J5,$L5,$Q5,$U5,$X5,$AM5,$AN5,$AP5,$AR5)/12)</f>
        <v>0.833333333333333</v>
      </c>
      <c r="BA5" s="32" t="str">
        <f aca="false">IF($E5="","",IF(COUNTIF($E$3:$E$402,$E5)&gt;1,"DUPLICATE",""))</f>
        <v/>
      </c>
      <c r="BB5" s="31" t="s">
        <v>489</v>
      </c>
      <c r="BC5" s="35" t="n">
        <f aca="false">IF($E5="","",IFERROR(INDEX(SCORING!$C$6:$C$15,MATCH($J5,SCORING!$B$6:$B$15,0)),0)+IFERROR(INDEX(SCORING!$C$18:$C$20,MATCH($U5,SCORING!$B$18:$B$20,0)),0)+IFERROR(INDEX(SCORING!$C$23:$C$26,MATCH($X5,SCORING!$B$23:$B$26,0)),0)+IFERROR(INDEX(SCORING!$C$29:$C$32,MATCH($Q5,SCORING!$B$29:$B$32,0)),0)+IFERROR(INDEX(SCORING!$C$35:$C$37,MATCH($L5,SCORING!$B$35:$B$37,0)),0)+IF($AP5="",0,IF(AND($AQ5="Valid",$AO5="Decision maker"),SCORING!$C$40,IF($AQ5="Valid",SCORING!$C$41,SCORING!$C$42))))</f>
        <v>52</v>
      </c>
      <c r="BD5" s="36" t="str">
        <f aca="false">IF($BC5="","",IF($BC5&gt;=SCORING!$C$46,"A",IF($BC5&gt;=SCORING!$C$47,"B",IF($BC5&gt;=SCORING!$C$48,"C","D"))))</f>
        <v>C</v>
      </c>
      <c r="BE5" s="29" t="s">
        <v>123</v>
      </c>
    </row>
    <row r="6" customFormat="false" ht="15" hidden="false" customHeight="false" outlineLevel="0" collapsed="false">
      <c r="A6" s="37"/>
      <c r="B6" s="38"/>
      <c r="C6" s="37"/>
      <c r="D6" s="37"/>
      <c r="E6" s="17"/>
      <c r="F6" s="17"/>
      <c r="G6" s="37"/>
      <c r="H6" s="32" t="str">
        <f aca="false">IF($G6="","",IFERROR(INDEX(LISTS!$P$3:$P$145,MATCH($G6,LISTS!$O$3:$O$145,0)),"Other"))</f>
        <v/>
      </c>
      <c r="I6" s="37"/>
      <c r="J6" s="17"/>
      <c r="K6" s="17"/>
      <c r="L6" s="37"/>
      <c r="M6" s="37"/>
      <c r="N6" s="39"/>
      <c r="O6" s="37"/>
      <c r="P6" s="39"/>
      <c r="Q6" s="37"/>
      <c r="R6" s="39"/>
      <c r="S6" s="17"/>
      <c r="T6" s="17"/>
      <c r="U6" s="37"/>
      <c r="V6" s="37"/>
      <c r="W6" s="17"/>
      <c r="X6" s="37"/>
      <c r="Y6" s="17"/>
      <c r="Z6" s="39"/>
      <c r="AA6" s="39"/>
      <c r="AB6" s="37"/>
      <c r="AC6" s="37"/>
      <c r="AD6" s="38"/>
      <c r="AE6" s="37"/>
      <c r="AF6" s="37"/>
      <c r="AG6" s="37"/>
      <c r="AH6" s="37"/>
      <c r="AI6" s="17"/>
      <c r="AJ6" s="37"/>
      <c r="AK6" s="17"/>
      <c r="AL6" s="39"/>
      <c r="AM6" s="17"/>
      <c r="AN6" s="17"/>
      <c r="AO6" s="37"/>
      <c r="AP6" s="17"/>
      <c r="AQ6" s="37"/>
      <c r="AR6" s="37"/>
      <c r="AS6" s="37"/>
      <c r="AT6" s="17"/>
      <c r="AU6" s="37"/>
      <c r="AV6" s="37"/>
      <c r="AW6" s="38"/>
      <c r="AX6" s="37"/>
      <c r="AY6" s="38"/>
      <c r="AZ6" s="34" t="str">
        <f aca="false">IF($E6="","",COUNTA($E6,$F6,$G6,$J6,$L6,$Q6,$U6,$X6,$AM6,$AN6,$AP6,$AR6)/12)</f>
        <v/>
      </c>
      <c r="BA6" s="32" t="str">
        <f aca="false">IF($E6="","",IF(COUNTIF($E$3:$E$402,$E6)&gt;1,"DUPLICATE",""))</f>
        <v/>
      </c>
      <c r="BB6" s="17"/>
      <c r="BC6" s="35" t="str">
        <f aca="false">IF($E6="","",IFERROR(INDEX(SCORING!$C$6:$C$15,MATCH($J6,SCORING!$B$6:$B$15,0)),0)+IFERROR(INDEX(SCORING!$C$18:$C$20,MATCH($U6,SCORING!$B$18:$B$20,0)),0)+IFERROR(INDEX(SCORING!$C$23:$C$26,MATCH($X6,SCORING!$B$23:$B$26,0)),0)+IFERROR(INDEX(SCORING!$C$29:$C$32,MATCH($Q6,SCORING!$B$29:$B$32,0)),0)+IFERROR(INDEX(SCORING!$C$35:$C$37,MATCH($L6,SCORING!$B$35:$B$37,0)),0)+IF($AP6="",0,IF(AND($AQ6="Valid",$AO6="Decision maker"),SCORING!$C$40,IF($AQ6="Valid",SCORING!$C$41,SCORING!$C$42))))</f>
        <v/>
      </c>
      <c r="BD6" s="36" t="str">
        <f aca="false">IF($BC6="","",IF($BC6&gt;=SCORING!$C$46,"A",IF($BC6&gt;=SCORING!$C$47,"B",IF($BC6&gt;=SCORING!$C$48,"C","D"))))</f>
        <v/>
      </c>
      <c r="BE6" s="37"/>
    </row>
    <row r="7" customFormat="false" ht="15" hidden="false" customHeight="false" outlineLevel="0" collapsed="false">
      <c r="A7" s="37"/>
      <c r="B7" s="38"/>
      <c r="C7" s="37"/>
      <c r="D7" s="37"/>
      <c r="E7" s="17"/>
      <c r="F7" s="17"/>
      <c r="G7" s="37"/>
      <c r="H7" s="32" t="str">
        <f aca="false">IF($G7="","",IFERROR(INDEX(LISTS!$P$3:$P$145,MATCH($G7,LISTS!$O$3:$O$145,0)),"Other"))</f>
        <v/>
      </c>
      <c r="I7" s="37"/>
      <c r="J7" s="17"/>
      <c r="K7" s="17"/>
      <c r="L7" s="37"/>
      <c r="M7" s="37"/>
      <c r="N7" s="39"/>
      <c r="O7" s="37"/>
      <c r="P7" s="39"/>
      <c r="Q7" s="37"/>
      <c r="R7" s="39"/>
      <c r="S7" s="17"/>
      <c r="T7" s="17"/>
      <c r="U7" s="37"/>
      <c r="V7" s="37"/>
      <c r="W7" s="17"/>
      <c r="X7" s="37"/>
      <c r="Y7" s="17"/>
      <c r="Z7" s="39"/>
      <c r="AA7" s="39"/>
      <c r="AB7" s="37"/>
      <c r="AC7" s="37"/>
      <c r="AD7" s="38"/>
      <c r="AE7" s="37"/>
      <c r="AF7" s="37"/>
      <c r="AG7" s="37"/>
      <c r="AH7" s="37"/>
      <c r="AI7" s="17"/>
      <c r="AJ7" s="37"/>
      <c r="AK7" s="17"/>
      <c r="AL7" s="39"/>
      <c r="AM7" s="17"/>
      <c r="AN7" s="17"/>
      <c r="AO7" s="37"/>
      <c r="AP7" s="17"/>
      <c r="AQ7" s="37"/>
      <c r="AR7" s="37"/>
      <c r="AS7" s="37"/>
      <c r="AT7" s="17"/>
      <c r="AU7" s="37"/>
      <c r="AV7" s="37"/>
      <c r="AW7" s="38"/>
      <c r="AX7" s="37"/>
      <c r="AY7" s="38"/>
      <c r="AZ7" s="34" t="str">
        <f aca="false">IF($E7="","",COUNTA($E7,$F7,$G7,$J7,$L7,$Q7,$U7,$X7,$AM7,$AN7,$AP7,$AR7)/12)</f>
        <v/>
      </c>
      <c r="BA7" s="32" t="str">
        <f aca="false">IF($E7="","",IF(COUNTIF($E$3:$E$402,$E7)&gt;1,"DUPLICATE",""))</f>
        <v/>
      </c>
      <c r="BB7" s="17"/>
      <c r="BC7" s="35" t="str">
        <f aca="false">IF($E7="","",IFERROR(INDEX(SCORING!$C$6:$C$15,MATCH($J7,SCORING!$B$6:$B$15,0)),0)+IFERROR(INDEX(SCORING!$C$18:$C$20,MATCH($U7,SCORING!$B$18:$B$20,0)),0)+IFERROR(INDEX(SCORING!$C$23:$C$26,MATCH($X7,SCORING!$B$23:$B$26,0)),0)+IFERROR(INDEX(SCORING!$C$29:$C$32,MATCH($Q7,SCORING!$B$29:$B$32,0)),0)+IFERROR(INDEX(SCORING!$C$35:$C$37,MATCH($L7,SCORING!$B$35:$B$37,0)),0)+IF($AP7="",0,IF(AND($AQ7="Valid",$AO7="Decision maker"),SCORING!$C$40,IF($AQ7="Valid",SCORING!$C$41,SCORING!$C$42))))</f>
        <v/>
      </c>
      <c r="BD7" s="36" t="str">
        <f aca="false">IF($BC7="","",IF($BC7&gt;=SCORING!$C$46,"A",IF($BC7&gt;=SCORING!$C$47,"B",IF($BC7&gt;=SCORING!$C$48,"C","D"))))</f>
        <v/>
      </c>
      <c r="BE7" s="37"/>
    </row>
    <row r="8" customFormat="false" ht="15" hidden="false" customHeight="false" outlineLevel="0" collapsed="false">
      <c r="A8" s="37"/>
      <c r="B8" s="38"/>
      <c r="C8" s="37"/>
      <c r="D8" s="37"/>
      <c r="E8" s="17"/>
      <c r="F8" s="17"/>
      <c r="G8" s="37"/>
      <c r="H8" s="32" t="str">
        <f aca="false">IF($G8="","",IFERROR(INDEX(LISTS!$P$3:$P$145,MATCH($G8,LISTS!$O$3:$O$145,0)),"Other"))</f>
        <v/>
      </c>
      <c r="I8" s="37"/>
      <c r="J8" s="17"/>
      <c r="K8" s="17"/>
      <c r="L8" s="37"/>
      <c r="M8" s="37"/>
      <c r="N8" s="39"/>
      <c r="O8" s="37"/>
      <c r="P8" s="39"/>
      <c r="Q8" s="37"/>
      <c r="R8" s="39"/>
      <c r="S8" s="17"/>
      <c r="T8" s="17"/>
      <c r="U8" s="37"/>
      <c r="V8" s="37"/>
      <c r="W8" s="17"/>
      <c r="X8" s="37"/>
      <c r="Y8" s="17"/>
      <c r="Z8" s="39"/>
      <c r="AA8" s="39"/>
      <c r="AB8" s="37"/>
      <c r="AC8" s="37"/>
      <c r="AD8" s="38"/>
      <c r="AE8" s="37"/>
      <c r="AF8" s="37"/>
      <c r="AG8" s="37"/>
      <c r="AH8" s="37"/>
      <c r="AI8" s="17"/>
      <c r="AJ8" s="37"/>
      <c r="AK8" s="17"/>
      <c r="AL8" s="39"/>
      <c r="AM8" s="17"/>
      <c r="AN8" s="17"/>
      <c r="AO8" s="37"/>
      <c r="AP8" s="17"/>
      <c r="AQ8" s="37"/>
      <c r="AR8" s="37"/>
      <c r="AS8" s="37"/>
      <c r="AT8" s="17"/>
      <c r="AU8" s="37"/>
      <c r="AV8" s="37"/>
      <c r="AW8" s="38"/>
      <c r="AX8" s="37"/>
      <c r="AY8" s="38"/>
      <c r="AZ8" s="34" t="str">
        <f aca="false">IF($E8="","",COUNTA($E8,$F8,$G8,$J8,$L8,$Q8,$U8,$X8,$AM8,$AN8,$AP8,$AR8)/12)</f>
        <v/>
      </c>
      <c r="BA8" s="32" t="str">
        <f aca="false">IF($E8="","",IF(COUNTIF($E$3:$E$402,$E8)&gt;1,"DUPLICATE",""))</f>
        <v/>
      </c>
      <c r="BB8" s="17"/>
      <c r="BC8" s="35" t="str">
        <f aca="false">IF($E8="","",IFERROR(INDEX(SCORING!$C$6:$C$15,MATCH($J8,SCORING!$B$6:$B$15,0)),0)+IFERROR(INDEX(SCORING!$C$18:$C$20,MATCH($U8,SCORING!$B$18:$B$20,0)),0)+IFERROR(INDEX(SCORING!$C$23:$C$26,MATCH($X8,SCORING!$B$23:$B$26,0)),0)+IFERROR(INDEX(SCORING!$C$29:$C$32,MATCH($Q8,SCORING!$B$29:$B$32,0)),0)+IFERROR(INDEX(SCORING!$C$35:$C$37,MATCH($L8,SCORING!$B$35:$B$37,0)),0)+IF($AP8="",0,IF(AND($AQ8="Valid",$AO8="Decision maker"),SCORING!$C$40,IF($AQ8="Valid",SCORING!$C$41,SCORING!$C$42))))</f>
        <v/>
      </c>
      <c r="BD8" s="36" t="str">
        <f aca="false">IF($BC8="","",IF($BC8&gt;=SCORING!$C$46,"A",IF($BC8&gt;=SCORING!$C$47,"B",IF($BC8&gt;=SCORING!$C$48,"C","D"))))</f>
        <v/>
      </c>
      <c r="BE8" s="37"/>
    </row>
    <row r="9" customFormat="false" ht="15" hidden="false" customHeight="false" outlineLevel="0" collapsed="false">
      <c r="A9" s="37"/>
      <c r="B9" s="38"/>
      <c r="C9" s="37"/>
      <c r="D9" s="37"/>
      <c r="E9" s="17"/>
      <c r="F9" s="17"/>
      <c r="G9" s="37"/>
      <c r="H9" s="32" t="str">
        <f aca="false">IF($G9="","",IFERROR(INDEX(LISTS!$P$3:$P$145,MATCH($G9,LISTS!$O$3:$O$145,0)),"Other"))</f>
        <v/>
      </c>
      <c r="I9" s="37"/>
      <c r="J9" s="17"/>
      <c r="K9" s="17"/>
      <c r="L9" s="37"/>
      <c r="M9" s="37"/>
      <c r="N9" s="39"/>
      <c r="O9" s="37"/>
      <c r="P9" s="39"/>
      <c r="Q9" s="37"/>
      <c r="R9" s="39"/>
      <c r="S9" s="17"/>
      <c r="T9" s="17"/>
      <c r="U9" s="37"/>
      <c r="V9" s="37"/>
      <c r="W9" s="17"/>
      <c r="X9" s="37"/>
      <c r="Y9" s="17"/>
      <c r="Z9" s="39"/>
      <c r="AA9" s="39"/>
      <c r="AB9" s="37"/>
      <c r="AC9" s="37"/>
      <c r="AD9" s="38"/>
      <c r="AE9" s="37"/>
      <c r="AF9" s="37"/>
      <c r="AG9" s="37"/>
      <c r="AH9" s="37"/>
      <c r="AI9" s="17"/>
      <c r="AJ9" s="37"/>
      <c r="AK9" s="17"/>
      <c r="AL9" s="39"/>
      <c r="AM9" s="17"/>
      <c r="AN9" s="17"/>
      <c r="AO9" s="37"/>
      <c r="AP9" s="17"/>
      <c r="AQ9" s="37"/>
      <c r="AR9" s="37"/>
      <c r="AS9" s="37"/>
      <c r="AT9" s="17"/>
      <c r="AU9" s="37"/>
      <c r="AV9" s="37"/>
      <c r="AW9" s="38"/>
      <c r="AX9" s="37"/>
      <c r="AY9" s="38"/>
      <c r="AZ9" s="34" t="str">
        <f aca="false">IF($E9="","",COUNTA($E9,$F9,$G9,$J9,$L9,$Q9,$U9,$X9,$AM9,$AN9,$AP9,$AR9)/12)</f>
        <v/>
      </c>
      <c r="BA9" s="32" t="str">
        <f aca="false">IF($E9="","",IF(COUNTIF($E$3:$E$402,$E9)&gt;1,"DUPLICATE",""))</f>
        <v/>
      </c>
      <c r="BB9" s="17"/>
      <c r="BC9" s="35" t="str">
        <f aca="false">IF($E9="","",IFERROR(INDEX(SCORING!$C$6:$C$15,MATCH($J9,SCORING!$B$6:$B$15,0)),0)+IFERROR(INDEX(SCORING!$C$18:$C$20,MATCH($U9,SCORING!$B$18:$B$20,0)),0)+IFERROR(INDEX(SCORING!$C$23:$C$26,MATCH($X9,SCORING!$B$23:$B$26,0)),0)+IFERROR(INDEX(SCORING!$C$29:$C$32,MATCH($Q9,SCORING!$B$29:$B$32,0)),0)+IFERROR(INDEX(SCORING!$C$35:$C$37,MATCH($L9,SCORING!$B$35:$B$37,0)),0)+IF($AP9="",0,IF(AND($AQ9="Valid",$AO9="Decision maker"),SCORING!$C$40,IF($AQ9="Valid",SCORING!$C$41,SCORING!$C$42))))</f>
        <v/>
      </c>
      <c r="BD9" s="36" t="str">
        <f aca="false">IF($BC9="","",IF($BC9&gt;=SCORING!$C$46,"A",IF($BC9&gt;=SCORING!$C$47,"B",IF($BC9&gt;=SCORING!$C$48,"C","D"))))</f>
        <v/>
      </c>
      <c r="BE9" s="37"/>
    </row>
    <row r="10" customFormat="false" ht="15" hidden="false" customHeight="false" outlineLevel="0" collapsed="false">
      <c r="A10" s="37"/>
      <c r="B10" s="38"/>
      <c r="C10" s="37"/>
      <c r="D10" s="37"/>
      <c r="E10" s="17"/>
      <c r="F10" s="17"/>
      <c r="G10" s="37"/>
      <c r="H10" s="32" t="str">
        <f aca="false">IF($G10="","",IFERROR(INDEX(LISTS!$P$3:$P$145,MATCH($G10,LISTS!$O$3:$O$145,0)),"Other"))</f>
        <v/>
      </c>
      <c r="I10" s="37"/>
      <c r="J10" s="17"/>
      <c r="K10" s="17"/>
      <c r="L10" s="37"/>
      <c r="M10" s="37"/>
      <c r="N10" s="39"/>
      <c r="O10" s="37"/>
      <c r="P10" s="39"/>
      <c r="Q10" s="37"/>
      <c r="R10" s="39"/>
      <c r="S10" s="17"/>
      <c r="T10" s="17"/>
      <c r="U10" s="37"/>
      <c r="V10" s="37"/>
      <c r="W10" s="17"/>
      <c r="X10" s="37"/>
      <c r="Y10" s="17"/>
      <c r="Z10" s="39"/>
      <c r="AA10" s="39"/>
      <c r="AB10" s="37"/>
      <c r="AC10" s="37"/>
      <c r="AD10" s="38"/>
      <c r="AE10" s="37"/>
      <c r="AF10" s="37"/>
      <c r="AG10" s="37"/>
      <c r="AH10" s="37"/>
      <c r="AI10" s="17"/>
      <c r="AJ10" s="37"/>
      <c r="AK10" s="17"/>
      <c r="AL10" s="39"/>
      <c r="AM10" s="17"/>
      <c r="AN10" s="17"/>
      <c r="AO10" s="37"/>
      <c r="AP10" s="17"/>
      <c r="AQ10" s="37"/>
      <c r="AR10" s="37"/>
      <c r="AS10" s="37"/>
      <c r="AT10" s="17"/>
      <c r="AU10" s="37"/>
      <c r="AV10" s="37"/>
      <c r="AW10" s="38"/>
      <c r="AX10" s="37"/>
      <c r="AY10" s="38"/>
      <c r="AZ10" s="34" t="str">
        <f aca="false">IF($E10="","",COUNTA($E10,$F10,$G10,$J10,$L10,$Q10,$U10,$X10,$AM10,$AN10,$AP10,$AR10)/12)</f>
        <v/>
      </c>
      <c r="BA10" s="32" t="str">
        <f aca="false">IF($E10="","",IF(COUNTIF($E$3:$E$402,$E10)&gt;1,"DUPLICATE",""))</f>
        <v/>
      </c>
      <c r="BB10" s="17"/>
      <c r="BC10" s="35" t="str">
        <f aca="false">IF($E10="","",IFERROR(INDEX(SCORING!$C$6:$C$15,MATCH($J10,SCORING!$B$6:$B$15,0)),0)+IFERROR(INDEX(SCORING!$C$18:$C$20,MATCH($U10,SCORING!$B$18:$B$20,0)),0)+IFERROR(INDEX(SCORING!$C$23:$C$26,MATCH($X10,SCORING!$B$23:$B$26,0)),0)+IFERROR(INDEX(SCORING!$C$29:$C$32,MATCH($Q10,SCORING!$B$29:$B$32,0)),0)+IFERROR(INDEX(SCORING!$C$35:$C$37,MATCH($L10,SCORING!$B$35:$B$37,0)),0)+IF($AP10="",0,IF(AND($AQ10="Valid",$AO10="Decision maker"),SCORING!$C$40,IF($AQ10="Valid",SCORING!$C$41,SCORING!$C$42))))</f>
        <v/>
      </c>
      <c r="BD10" s="36" t="str">
        <f aca="false">IF($BC10="","",IF($BC10&gt;=SCORING!$C$46,"A",IF($BC10&gt;=SCORING!$C$47,"B",IF($BC10&gt;=SCORING!$C$48,"C","D"))))</f>
        <v/>
      </c>
      <c r="BE10" s="37"/>
    </row>
    <row r="11" customFormat="false" ht="15" hidden="false" customHeight="false" outlineLevel="0" collapsed="false">
      <c r="A11" s="37"/>
      <c r="B11" s="38"/>
      <c r="C11" s="37"/>
      <c r="D11" s="37"/>
      <c r="E11" s="17"/>
      <c r="F11" s="17"/>
      <c r="G11" s="37"/>
      <c r="H11" s="32" t="str">
        <f aca="false">IF($G11="","",IFERROR(INDEX(LISTS!$P$3:$P$145,MATCH($G11,LISTS!$O$3:$O$145,0)),"Other"))</f>
        <v/>
      </c>
      <c r="I11" s="37"/>
      <c r="J11" s="17"/>
      <c r="K11" s="17"/>
      <c r="L11" s="37"/>
      <c r="M11" s="37"/>
      <c r="N11" s="39"/>
      <c r="O11" s="37"/>
      <c r="P11" s="39"/>
      <c r="Q11" s="37"/>
      <c r="R11" s="39"/>
      <c r="S11" s="17"/>
      <c r="T11" s="17"/>
      <c r="U11" s="37"/>
      <c r="V11" s="37"/>
      <c r="W11" s="17"/>
      <c r="X11" s="37"/>
      <c r="Y11" s="17"/>
      <c r="Z11" s="39"/>
      <c r="AA11" s="39"/>
      <c r="AB11" s="37"/>
      <c r="AC11" s="37"/>
      <c r="AD11" s="38"/>
      <c r="AE11" s="37"/>
      <c r="AF11" s="37"/>
      <c r="AG11" s="37"/>
      <c r="AH11" s="37"/>
      <c r="AI11" s="17"/>
      <c r="AJ11" s="37"/>
      <c r="AK11" s="17"/>
      <c r="AL11" s="39"/>
      <c r="AM11" s="17"/>
      <c r="AN11" s="17"/>
      <c r="AO11" s="37"/>
      <c r="AP11" s="17"/>
      <c r="AQ11" s="37"/>
      <c r="AR11" s="37"/>
      <c r="AS11" s="37"/>
      <c r="AT11" s="17"/>
      <c r="AU11" s="37"/>
      <c r="AV11" s="37"/>
      <c r="AW11" s="38"/>
      <c r="AX11" s="37"/>
      <c r="AY11" s="38"/>
      <c r="AZ11" s="34" t="str">
        <f aca="false">IF($E11="","",COUNTA($E11,$F11,$G11,$J11,$L11,$Q11,$U11,$X11,$AM11,$AN11,$AP11,$AR11)/12)</f>
        <v/>
      </c>
      <c r="BA11" s="32" t="str">
        <f aca="false">IF($E11="","",IF(COUNTIF($E$3:$E$402,$E11)&gt;1,"DUPLICATE",""))</f>
        <v/>
      </c>
      <c r="BB11" s="17"/>
      <c r="BC11" s="35" t="str">
        <f aca="false">IF($E11="","",IFERROR(INDEX(SCORING!$C$6:$C$15,MATCH($J11,SCORING!$B$6:$B$15,0)),0)+IFERROR(INDEX(SCORING!$C$18:$C$20,MATCH($U11,SCORING!$B$18:$B$20,0)),0)+IFERROR(INDEX(SCORING!$C$23:$C$26,MATCH($X11,SCORING!$B$23:$B$26,0)),0)+IFERROR(INDEX(SCORING!$C$29:$C$32,MATCH($Q11,SCORING!$B$29:$B$32,0)),0)+IFERROR(INDEX(SCORING!$C$35:$C$37,MATCH($L11,SCORING!$B$35:$B$37,0)),0)+IF($AP11="",0,IF(AND($AQ11="Valid",$AO11="Decision maker"),SCORING!$C$40,IF($AQ11="Valid",SCORING!$C$41,SCORING!$C$42))))</f>
        <v/>
      </c>
      <c r="BD11" s="36" t="str">
        <f aca="false">IF($BC11="","",IF($BC11&gt;=SCORING!$C$46,"A",IF($BC11&gt;=SCORING!$C$47,"B",IF($BC11&gt;=SCORING!$C$48,"C","D"))))</f>
        <v/>
      </c>
      <c r="BE11" s="37"/>
    </row>
    <row r="12" customFormat="false" ht="15" hidden="false" customHeight="false" outlineLevel="0" collapsed="false">
      <c r="A12" s="37"/>
      <c r="B12" s="38"/>
      <c r="C12" s="37"/>
      <c r="D12" s="37"/>
      <c r="E12" s="17"/>
      <c r="F12" s="17"/>
      <c r="G12" s="37"/>
      <c r="H12" s="32" t="str">
        <f aca="false">IF($G12="","",IFERROR(INDEX(LISTS!$P$3:$P$145,MATCH($G12,LISTS!$O$3:$O$145,0)),"Other"))</f>
        <v/>
      </c>
      <c r="I12" s="37"/>
      <c r="J12" s="17"/>
      <c r="K12" s="17"/>
      <c r="L12" s="37"/>
      <c r="M12" s="37"/>
      <c r="N12" s="39"/>
      <c r="O12" s="37"/>
      <c r="P12" s="39"/>
      <c r="Q12" s="37"/>
      <c r="R12" s="39"/>
      <c r="S12" s="17"/>
      <c r="T12" s="17"/>
      <c r="U12" s="37"/>
      <c r="V12" s="37"/>
      <c r="W12" s="17"/>
      <c r="X12" s="37"/>
      <c r="Y12" s="17"/>
      <c r="Z12" s="39"/>
      <c r="AA12" s="39"/>
      <c r="AB12" s="37"/>
      <c r="AC12" s="37"/>
      <c r="AD12" s="38"/>
      <c r="AE12" s="37"/>
      <c r="AF12" s="37"/>
      <c r="AG12" s="37"/>
      <c r="AH12" s="37"/>
      <c r="AI12" s="17"/>
      <c r="AJ12" s="37"/>
      <c r="AK12" s="17"/>
      <c r="AL12" s="39"/>
      <c r="AM12" s="17"/>
      <c r="AN12" s="17"/>
      <c r="AO12" s="37"/>
      <c r="AP12" s="17"/>
      <c r="AQ12" s="37"/>
      <c r="AR12" s="37"/>
      <c r="AS12" s="37"/>
      <c r="AT12" s="17"/>
      <c r="AU12" s="37"/>
      <c r="AV12" s="37"/>
      <c r="AW12" s="38"/>
      <c r="AX12" s="37"/>
      <c r="AY12" s="38"/>
      <c r="AZ12" s="34" t="str">
        <f aca="false">IF($E12="","",COUNTA($E12,$F12,$G12,$J12,$L12,$Q12,$U12,$X12,$AM12,$AN12,$AP12,$AR12)/12)</f>
        <v/>
      </c>
      <c r="BA12" s="32" t="str">
        <f aca="false">IF($E12="","",IF(COUNTIF($E$3:$E$402,$E12)&gt;1,"DUPLICATE",""))</f>
        <v/>
      </c>
      <c r="BB12" s="17"/>
      <c r="BC12" s="35" t="str">
        <f aca="false">IF($E12="","",IFERROR(INDEX(SCORING!$C$6:$C$15,MATCH($J12,SCORING!$B$6:$B$15,0)),0)+IFERROR(INDEX(SCORING!$C$18:$C$20,MATCH($U12,SCORING!$B$18:$B$20,0)),0)+IFERROR(INDEX(SCORING!$C$23:$C$26,MATCH($X12,SCORING!$B$23:$B$26,0)),0)+IFERROR(INDEX(SCORING!$C$29:$C$32,MATCH($Q12,SCORING!$B$29:$B$32,0)),0)+IFERROR(INDEX(SCORING!$C$35:$C$37,MATCH($L12,SCORING!$B$35:$B$37,0)),0)+IF($AP12="",0,IF(AND($AQ12="Valid",$AO12="Decision maker"),SCORING!$C$40,IF($AQ12="Valid",SCORING!$C$41,SCORING!$C$42))))</f>
        <v/>
      </c>
      <c r="BD12" s="36" t="str">
        <f aca="false">IF($BC12="","",IF($BC12&gt;=SCORING!$C$46,"A",IF($BC12&gt;=SCORING!$C$47,"B",IF($BC12&gt;=SCORING!$C$48,"C","D"))))</f>
        <v/>
      </c>
      <c r="BE12" s="37"/>
    </row>
    <row r="13" customFormat="false" ht="15" hidden="false" customHeight="false" outlineLevel="0" collapsed="false">
      <c r="A13" s="37"/>
      <c r="B13" s="38"/>
      <c r="C13" s="37"/>
      <c r="D13" s="37"/>
      <c r="E13" s="17"/>
      <c r="F13" s="17"/>
      <c r="G13" s="37"/>
      <c r="H13" s="32" t="str">
        <f aca="false">IF($G13="","",IFERROR(INDEX(LISTS!$P$3:$P$145,MATCH($G13,LISTS!$O$3:$O$145,0)),"Other"))</f>
        <v/>
      </c>
      <c r="I13" s="37"/>
      <c r="J13" s="17"/>
      <c r="K13" s="17"/>
      <c r="L13" s="37"/>
      <c r="M13" s="37"/>
      <c r="N13" s="39"/>
      <c r="O13" s="37"/>
      <c r="P13" s="39"/>
      <c r="Q13" s="37"/>
      <c r="R13" s="39"/>
      <c r="S13" s="17"/>
      <c r="T13" s="17"/>
      <c r="U13" s="37"/>
      <c r="V13" s="37"/>
      <c r="W13" s="17"/>
      <c r="X13" s="37"/>
      <c r="Y13" s="17"/>
      <c r="Z13" s="39"/>
      <c r="AA13" s="39"/>
      <c r="AB13" s="37"/>
      <c r="AC13" s="37"/>
      <c r="AD13" s="38"/>
      <c r="AE13" s="37"/>
      <c r="AF13" s="37"/>
      <c r="AG13" s="37"/>
      <c r="AH13" s="37"/>
      <c r="AI13" s="17"/>
      <c r="AJ13" s="37"/>
      <c r="AK13" s="17"/>
      <c r="AL13" s="39"/>
      <c r="AM13" s="17"/>
      <c r="AN13" s="17"/>
      <c r="AO13" s="37"/>
      <c r="AP13" s="17"/>
      <c r="AQ13" s="37"/>
      <c r="AR13" s="37"/>
      <c r="AS13" s="37"/>
      <c r="AT13" s="17"/>
      <c r="AU13" s="37"/>
      <c r="AV13" s="37"/>
      <c r="AW13" s="38"/>
      <c r="AX13" s="37"/>
      <c r="AY13" s="38"/>
      <c r="AZ13" s="34" t="str">
        <f aca="false">IF($E13="","",COUNTA($E13,$F13,$G13,$J13,$L13,$Q13,$U13,$X13,$AM13,$AN13,$AP13,$AR13)/12)</f>
        <v/>
      </c>
      <c r="BA13" s="32" t="str">
        <f aca="false">IF($E13="","",IF(COUNTIF($E$3:$E$402,$E13)&gt;1,"DUPLICATE",""))</f>
        <v/>
      </c>
      <c r="BB13" s="17"/>
      <c r="BC13" s="35" t="str">
        <f aca="false">IF($E13="","",IFERROR(INDEX(SCORING!$C$6:$C$15,MATCH($J13,SCORING!$B$6:$B$15,0)),0)+IFERROR(INDEX(SCORING!$C$18:$C$20,MATCH($U13,SCORING!$B$18:$B$20,0)),0)+IFERROR(INDEX(SCORING!$C$23:$C$26,MATCH($X13,SCORING!$B$23:$B$26,0)),0)+IFERROR(INDEX(SCORING!$C$29:$C$32,MATCH($Q13,SCORING!$B$29:$B$32,0)),0)+IFERROR(INDEX(SCORING!$C$35:$C$37,MATCH($L13,SCORING!$B$35:$B$37,0)),0)+IF($AP13="",0,IF(AND($AQ13="Valid",$AO13="Decision maker"),SCORING!$C$40,IF($AQ13="Valid",SCORING!$C$41,SCORING!$C$42))))</f>
        <v/>
      </c>
      <c r="BD13" s="36" t="str">
        <f aca="false">IF($BC13="","",IF($BC13&gt;=SCORING!$C$46,"A",IF($BC13&gt;=SCORING!$C$47,"B",IF($BC13&gt;=SCORING!$C$48,"C","D"))))</f>
        <v/>
      </c>
      <c r="BE13" s="37"/>
    </row>
    <row r="14" customFormat="false" ht="15" hidden="false" customHeight="false" outlineLevel="0" collapsed="false">
      <c r="A14" s="37"/>
      <c r="B14" s="38"/>
      <c r="C14" s="37"/>
      <c r="D14" s="37"/>
      <c r="E14" s="17"/>
      <c r="F14" s="17"/>
      <c r="G14" s="37"/>
      <c r="H14" s="32" t="str">
        <f aca="false">IF($G14="","",IFERROR(INDEX(LISTS!$P$3:$P$145,MATCH($G14,LISTS!$O$3:$O$145,0)),"Other"))</f>
        <v/>
      </c>
      <c r="I14" s="37"/>
      <c r="J14" s="17"/>
      <c r="K14" s="17"/>
      <c r="L14" s="37"/>
      <c r="M14" s="37"/>
      <c r="N14" s="39"/>
      <c r="O14" s="37"/>
      <c r="P14" s="39"/>
      <c r="Q14" s="37"/>
      <c r="R14" s="39"/>
      <c r="S14" s="17"/>
      <c r="T14" s="17"/>
      <c r="U14" s="37"/>
      <c r="V14" s="37"/>
      <c r="W14" s="17"/>
      <c r="X14" s="37"/>
      <c r="Y14" s="17"/>
      <c r="Z14" s="39"/>
      <c r="AA14" s="39"/>
      <c r="AB14" s="37"/>
      <c r="AC14" s="37"/>
      <c r="AD14" s="38"/>
      <c r="AE14" s="37"/>
      <c r="AF14" s="37"/>
      <c r="AG14" s="37"/>
      <c r="AH14" s="37"/>
      <c r="AI14" s="17"/>
      <c r="AJ14" s="37"/>
      <c r="AK14" s="17"/>
      <c r="AL14" s="39"/>
      <c r="AM14" s="17"/>
      <c r="AN14" s="17"/>
      <c r="AO14" s="37"/>
      <c r="AP14" s="17"/>
      <c r="AQ14" s="37"/>
      <c r="AR14" s="37"/>
      <c r="AS14" s="37"/>
      <c r="AT14" s="17"/>
      <c r="AU14" s="37"/>
      <c r="AV14" s="37"/>
      <c r="AW14" s="38"/>
      <c r="AX14" s="37"/>
      <c r="AY14" s="38"/>
      <c r="AZ14" s="34" t="str">
        <f aca="false">IF($E14="","",COUNTA($E14,$F14,$G14,$J14,$L14,$Q14,$U14,$X14,$AM14,$AN14,$AP14,$AR14)/12)</f>
        <v/>
      </c>
      <c r="BA14" s="32" t="str">
        <f aca="false">IF($E14="","",IF(COUNTIF($E$3:$E$402,$E14)&gt;1,"DUPLICATE",""))</f>
        <v/>
      </c>
      <c r="BB14" s="17"/>
      <c r="BC14" s="35" t="str">
        <f aca="false">IF($E14="","",IFERROR(INDEX(SCORING!$C$6:$C$15,MATCH($J14,SCORING!$B$6:$B$15,0)),0)+IFERROR(INDEX(SCORING!$C$18:$C$20,MATCH($U14,SCORING!$B$18:$B$20,0)),0)+IFERROR(INDEX(SCORING!$C$23:$C$26,MATCH($X14,SCORING!$B$23:$B$26,0)),0)+IFERROR(INDEX(SCORING!$C$29:$C$32,MATCH($Q14,SCORING!$B$29:$B$32,0)),0)+IFERROR(INDEX(SCORING!$C$35:$C$37,MATCH($L14,SCORING!$B$35:$B$37,0)),0)+IF($AP14="",0,IF(AND($AQ14="Valid",$AO14="Decision maker"),SCORING!$C$40,IF($AQ14="Valid",SCORING!$C$41,SCORING!$C$42))))</f>
        <v/>
      </c>
      <c r="BD14" s="36" t="str">
        <f aca="false">IF($BC14="","",IF($BC14&gt;=SCORING!$C$46,"A",IF($BC14&gt;=SCORING!$C$47,"B",IF($BC14&gt;=SCORING!$C$48,"C","D"))))</f>
        <v/>
      </c>
      <c r="BE14" s="37"/>
    </row>
    <row r="15" customFormat="false" ht="15" hidden="false" customHeight="false" outlineLevel="0" collapsed="false">
      <c r="A15" s="37"/>
      <c r="B15" s="38"/>
      <c r="C15" s="37"/>
      <c r="D15" s="37"/>
      <c r="E15" s="17"/>
      <c r="F15" s="17"/>
      <c r="G15" s="37"/>
      <c r="H15" s="32" t="str">
        <f aca="false">IF($G15="","",IFERROR(INDEX(LISTS!$P$3:$P$145,MATCH($G15,LISTS!$O$3:$O$145,0)),"Other"))</f>
        <v/>
      </c>
      <c r="I15" s="37"/>
      <c r="J15" s="17"/>
      <c r="K15" s="17"/>
      <c r="L15" s="37"/>
      <c r="M15" s="37"/>
      <c r="N15" s="39"/>
      <c r="O15" s="37"/>
      <c r="P15" s="39"/>
      <c r="Q15" s="37"/>
      <c r="R15" s="39"/>
      <c r="S15" s="17"/>
      <c r="T15" s="17"/>
      <c r="U15" s="37"/>
      <c r="V15" s="37"/>
      <c r="W15" s="17"/>
      <c r="X15" s="37"/>
      <c r="Y15" s="17"/>
      <c r="Z15" s="39"/>
      <c r="AA15" s="39"/>
      <c r="AB15" s="37"/>
      <c r="AC15" s="37"/>
      <c r="AD15" s="38"/>
      <c r="AE15" s="37"/>
      <c r="AF15" s="37"/>
      <c r="AG15" s="37"/>
      <c r="AH15" s="37"/>
      <c r="AI15" s="17"/>
      <c r="AJ15" s="37"/>
      <c r="AK15" s="17"/>
      <c r="AL15" s="39"/>
      <c r="AM15" s="17"/>
      <c r="AN15" s="17"/>
      <c r="AO15" s="37"/>
      <c r="AP15" s="17"/>
      <c r="AQ15" s="37"/>
      <c r="AR15" s="37"/>
      <c r="AS15" s="37"/>
      <c r="AT15" s="17"/>
      <c r="AU15" s="37"/>
      <c r="AV15" s="37"/>
      <c r="AW15" s="38"/>
      <c r="AX15" s="37"/>
      <c r="AY15" s="38"/>
      <c r="AZ15" s="34" t="str">
        <f aca="false">IF($E15="","",COUNTA($E15,$F15,$G15,$J15,$L15,$Q15,$U15,$X15,$AM15,$AN15,$AP15,$AR15)/12)</f>
        <v/>
      </c>
      <c r="BA15" s="32" t="str">
        <f aca="false">IF($E15="","",IF(COUNTIF($E$3:$E$402,$E15)&gt;1,"DUPLICATE",""))</f>
        <v/>
      </c>
      <c r="BB15" s="17"/>
      <c r="BC15" s="35" t="str">
        <f aca="false">IF($E15="","",IFERROR(INDEX(SCORING!$C$6:$C$15,MATCH($J15,SCORING!$B$6:$B$15,0)),0)+IFERROR(INDEX(SCORING!$C$18:$C$20,MATCH($U15,SCORING!$B$18:$B$20,0)),0)+IFERROR(INDEX(SCORING!$C$23:$C$26,MATCH($X15,SCORING!$B$23:$B$26,0)),0)+IFERROR(INDEX(SCORING!$C$29:$C$32,MATCH($Q15,SCORING!$B$29:$B$32,0)),0)+IFERROR(INDEX(SCORING!$C$35:$C$37,MATCH($L15,SCORING!$B$35:$B$37,0)),0)+IF($AP15="",0,IF(AND($AQ15="Valid",$AO15="Decision maker"),SCORING!$C$40,IF($AQ15="Valid",SCORING!$C$41,SCORING!$C$42))))</f>
        <v/>
      </c>
      <c r="BD15" s="36" t="str">
        <f aca="false">IF($BC15="","",IF($BC15&gt;=SCORING!$C$46,"A",IF($BC15&gt;=SCORING!$C$47,"B",IF($BC15&gt;=SCORING!$C$48,"C","D"))))</f>
        <v/>
      </c>
      <c r="BE15" s="37"/>
    </row>
    <row r="16" customFormat="false" ht="15" hidden="false" customHeight="false" outlineLevel="0" collapsed="false">
      <c r="A16" s="37"/>
      <c r="B16" s="38"/>
      <c r="C16" s="37"/>
      <c r="D16" s="37"/>
      <c r="E16" s="17"/>
      <c r="F16" s="17"/>
      <c r="G16" s="37"/>
      <c r="H16" s="32" t="str">
        <f aca="false">IF($G16="","",IFERROR(INDEX(LISTS!$P$3:$P$145,MATCH($G16,LISTS!$O$3:$O$145,0)),"Other"))</f>
        <v/>
      </c>
      <c r="I16" s="37"/>
      <c r="J16" s="17"/>
      <c r="K16" s="17"/>
      <c r="L16" s="37"/>
      <c r="M16" s="37"/>
      <c r="N16" s="39"/>
      <c r="O16" s="37"/>
      <c r="P16" s="39"/>
      <c r="Q16" s="37"/>
      <c r="R16" s="39"/>
      <c r="S16" s="17"/>
      <c r="T16" s="17"/>
      <c r="U16" s="37"/>
      <c r="V16" s="37"/>
      <c r="W16" s="17"/>
      <c r="X16" s="37"/>
      <c r="Y16" s="17"/>
      <c r="Z16" s="39"/>
      <c r="AA16" s="39"/>
      <c r="AB16" s="37"/>
      <c r="AC16" s="37"/>
      <c r="AD16" s="38"/>
      <c r="AE16" s="37"/>
      <c r="AF16" s="37"/>
      <c r="AG16" s="37"/>
      <c r="AH16" s="37"/>
      <c r="AI16" s="17"/>
      <c r="AJ16" s="37"/>
      <c r="AK16" s="17"/>
      <c r="AL16" s="39"/>
      <c r="AM16" s="17"/>
      <c r="AN16" s="17"/>
      <c r="AO16" s="37"/>
      <c r="AP16" s="17"/>
      <c r="AQ16" s="37"/>
      <c r="AR16" s="37"/>
      <c r="AS16" s="37"/>
      <c r="AT16" s="17"/>
      <c r="AU16" s="37"/>
      <c r="AV16" s="37"/>
      <c r="AW16" s="38"/>
      <c r="AX16" s="37"/>
      <c r="AY16" s="38"/>
      <c r="AZ16" s="34" t="str">
        <f aca="false">IF($E16="","",COUNTA($E16,$F16,$G16,$J16,$L16,$Q16,$U16,$X16,$AM16,$AN16,$AP16,$AR16)/12)</f>
        <v/>
      </c>
      <c r="BA16" s="32" t="str">
        <f aca="false">IF($E16="","",IF(COUNTIF($E$3:$E$402,$E16)&gt;1,"DUPLICATE",""))</f>
        <v/>
      </c>
      <c r="BB16" s="17"/>
      <c r="BC16" s="35" t="str">
        <f aca="false">IF($E16="","",IFERROR(INDEX(SCORING!$C$6:$C$15,MATCH($J16,SCORING!$B$6:$B$15,0)),0)+IFERROR(INDEX(SCORING!$C$18:$C$20,MATCH($U16,SCORING!$B$18:$B$20,0)),0)+IFERROR(INDEX(SCORING!$C$23:$C$26,MATCH($X16,SCORING!$B$23:$B$26,0)),0)+IFERROR(INDEX(SCORING!$C$29:$C$32,MATCH($Q16,SCORING!$B$29:$B$32,0)),0)+IFERROR(INDEX(SCORING!$C$35:$C$37,MATCH($L16,SCORING!$B$35:$B$37,0)),0)+IF($AP16="",0,IF(AND($AQ16="Valid",$AO16="Decision maker"),SCORING!$C$40,IF($AQ16="Valid",SCORING!$C$41,SCORING!$C$42))))</f>
        <v/>
      </c>
      <c r="BD16" s="36" t="str">
        <f aca="false">IF($BC16="","",IF($BC16&gt;=SCORING!$C$46,"A",IF($BC16&gt;=SCORING!$C$47,"B",IF($BC16&gt;=SCORING!$C$48,"C","D"))))</f>
        <v/>
      </c>
      <c r="BE16" s="37"/>
    </row>
    <row r="17" customFormat="false" ht="15" hidden="false" customHeight="false" outlineLevel="0" collapsed="false">
      <c r="A17" s="37"/>
      <c r="B17" s="38"/>
      <c r="C17" s="37"/>
      <c r="D17" s="37"/>
      <c r="E17" s="17"/>
      <c r="F17" s="17"/>
      <c r="G17" s="37"/>
      <c r="H17" s="32" t="str">
        <f aca="false">IF($G17="","",IFERROR(INDEX(LISTS!$P$3:$P$145,MATCH($G17,LISTS!$O$3:$O$145,0)),"Other"))</f>
        <v/>
      </c>
      <c r="I17" s="37"/>
      <c r="J17" s="17"/>
      <c r="K17" s="17"/>
      <c r="L17" s="37"/>
      <c r="M17" s="37"/>
      <c r="N17" s="39"/>
      <c r="O17" s="37"/>
      <c r="P17" s="39"/>
      <c r="Q17" s="37"/>
      <c r="R17" s="39"/>
      <c r="S17" s="17"/>
      <c r="T17" s="17"/>
      <c r="U17" s="37"/>
      <c r="V17" s="37"/>
      <c r="W17" s="17"/>
      <c r="X17" s="37"/>
      <c r="Y17" s="17"/>
      <c r="Z17" s="39"/>
      <c r="AA17" s="39"/>
      <c r="AB17" s="37"/>
      <c r="AC17" s="37"/>
      <c r="AD17" s="38"/>
      <c r="AE17" s="37"/>
      <c r="AF17" s="37"/>
      <c r="AG17" s="37"/>
      <c r="AH17" s="37"/>
      <c r="AI17" s="17"/>
      <c r="AJ17" s="37"/>
      <c r="AK17" s="17"/>
      <c r="AL17" s="39"/>
      <c r="AM17" s="17"/>
      <c r="AN17" s="17"/>
      <c r="AO17" s="37"/>
      <c r="AP17" s="17"/>
      <c r="AQ17" s="37"/>
      <c r="AR17" s="37"/>
      <c r="AS17" s="37"/>
      <c r="AT17" s="17"/>
      <c r="AU17" s="37"/>
      <c r="AV17" s="37"/>
      <c r="AW17" s="38"/>
      <c r="AX17" s="37"/>
      <c r="AY17" s="38"/>
      <c r="AZ17" s="34" t="str">
        <f aca="false">IF($E17="","",COUNTA($E17,$F17,$G17,$J17,$L17,$Q17,$U17,$X17,$AM17,$AN17,$AP17,$AR17)/12)</f>
        <v/>
      </c>
      <c r="BA17" s="32" t="str">
        <f aca="false">IF($E17="","",IF(COUNTIF($E$3:$E$402,$E17)&gt;1,"DUPLICATE",""))</f>
        <v/>
      </c>
      <c r="BB17" s="17"/>
      <c r="BC17" s="35" t="str">
        <f aca="false">IF($E17="","",IFERROR(INDEX(SCORING!$C$6:$C$15,MATCH($J17,SCORING!$B$6:$B$15,0)),0)+IFERROR(INDEX(SCORING!$C$18:$C$20,MATCH($U17,SCORING!$B$18:$B$20,0)),0)+IFERROR(INDEX(SCORING!$C$23:$C$26,MATCH($X17,SCORING!$B$23:$B$26,0)),0)+IFERROR(INDEX(SCORING!$C$29:$C$32,MATCH($Q17,SCORING!$B$29:$B$32,0)),0)+IFERROR(INDEX(SCORING!$C$35:$C$37,MATCH($L17,SCORING!$B$35:$B$37,0)),0)+IF($AP17="",0,IF(AND($AQ17="Valid",$AO17="Decision maker"),SCORING!$C$40,IF($AQ17="Valid",SCORING!$C$41,SCORING!$C$42))))</f>
        <v/>
      </c>
      <c r="BD17" s="36" t="str">
        <f aca="false">IF($BC17="","",IF($BC17&gt;=SCORING!$C$46,"A",IF($BC17&gt;=SCORING!$C$47,"B",IF($BC17&gt;=SCORING!$C$48,"C","D"))))</f>
        <v/>
      </c>
      <c r="BE17" s="37"/>
    </row>
    <row r="18" customFormat="false" ht="15" hidden="false" customHeight="false" outlineLevel="0" collapsed="false">
      <c r="A18" s="37"/>
      <c r="B18" s="38"/>
      <c r="C18" s="37"/>
      <c r="D18" s="37"/>
      <c r="E18" s="17"/>
      <c r="F18" s="17"/>
      <c r="G18" s="37"/>
      <c r="H18" s="32" t="str">
        <f aca="false">IF($G18="","",IFERROR(INDEX(LISTS!$P$3:$P$145,MATCH($G18,LISTS!$O$3:$O$145,0)),"Other"))</f>
        <v/>
      </c>
      <c r="I18" s="37"/>
      <c r="J18" s="17"/>
      <c r="K18" s="17"/>
      <c r="L18" s="37"/>
      <c r="M18" s="37"/>
      <c r="N18" s="39"/>
      <c r="O18" s="37"/>
      <c r="P18" s="39"/>
      <c r="Q18" s="37"/>
      <c r="R18" s="39"/>
      <c r="S18" s="17"/>
      <c r="T18" s="17"/>
      <c r="U18" s="37"/>
      <c r="V18" s="37"/>
      <c r="W18" s="17"/>
      <c r="X18" s="37"/>
      <c r="Y18" s="17"/>
      <c r="Z18" s="39"/>
      <c r="AA18" s="39"/>
      <c r="AB18" s="37"/>
      <c r="AC18" s="37"/>
      <c r="AD18" s="38"/>
      <c r="AE18" s="37"/>
      <c r="AF18" s="37"/>
      <c r="AG18" s="37"/>
      <c r="AH18" s="37"/>
      <c r="AI18" s="17"/>
      <c r="AJ18" s="37"/>
      <c r="AK18" s="17"/>
      <c r="AL18" s="39"/>
      <c r="AM18" s="17"/>
      <c r="AN18" s="17"/>
      <c r="AO18" s="37"/>
      <c r="AP18" s="17"/>
      <c r="AQ18" s="37"/>
      <c r="AR18" s="37"/>
      <c r="AS18" s="37"/>
      <c r="AT18" s="17"/>
      <c r="AU18" s="37"/>
      <c r="AV18" s="37"/>
      <c r="AW18" s="38"/>
      <c r="AX18" s="37"/>
      <c r="AY18" s="38"/>
      <c r="AZ18" s="34" t="str">
        <f aca="false">IF($E18="","",COUNTA($E18,$F18,$G18,$J18,$L18,$Q18,$U18,$X18,$AM18,$AN18,$AP18,$AR18)/12)</f>
        <v/>
      </c>
      <c r="BA18" s="32" t="str">
        <f aca="false">IF($E18="","",IF(COUNTIF($E$3:$E$402,$E18)&gt;1,"DUPLICATE",""))</f>
        <v/>
      </c>
      <c r="BB18" s="17"/>
      <c r="BC18" s="35" t="str">
        <f aca="false">IF($E18="","",IFERROR(INDEX(SCORING!$C$6:$C$15,MATCH($J18,SCORING!$B$6:$B$15,0)),0)+IFERROR(INDEX(SCORING!$C$18:$C$20,MATCH($U18,SCORING!$B$18:$B$20,0)),0)+IFERROR(INDEX(SCORING!$C$23:$C$26,MATCH($X18,SCORING!$B$23:$B$26,0)),0)+IFERROR(INDEX(SCORING!$C$29:$C$32,MATCH($Q18,SCORING!$B$29:$B$32,0)),0)+IFERROR(INDEX(SCORING!$C$35:$C$37,MATCH($L18,SCORING!$B$35:$B$37,0)),0)+IF($AP18="",0,IF(AND($AQ18="Valid",$AO18="Decision maker"),SCORING!$C$40,IF($AQ18="Valid",SCORING!$C$41,SCORING!$C$42))))</f>
        <v/>
      </c>
      <c r="BD18" s="36" t="str">
        <f aca="false">IF($BC18="","",IF($BC18&gt;=SCORING!$C$46,"A",IF($BC18&gt;=SCORING!$C$47,"B",IF($BC18&gt;=SCORING!$C$48,"C","D"))))</f>
        <v/>
      </c>
      <c r="BE18" s="37"/>
    </row>
    <row r="19" customFormat="false" ht="15" hidden="false" customHeight="false" outlineLevel="0" collapsed="false">
      <c r="A19" s="37"/>
      <c r="B19" s="38"/>
      <c r="C19" s="37"/>
      <c r="D19" s="37"/>
      <c r="E19" s="17"/>
      <c r="F19" s="17"/>
      <c r="G19" s="37"/>
      <c r="H19" s="32" t="str">
        <f aca="false">IF($G19="","",IFERROR(INDEX(LISTS!$P$3:$P$145,MATCH($G19,LISTS!$O$3:$O$145,0)),"Other"))</f>
        <v/>
      </c>
      <c r="I19" s="37"/>
      <c r="J19" s="17"/>
      <c r="K19" s="17"/>
      <c r="L19" s="37"/>
      <c r="M19" s="37"/>
      <c r="N19" s="39"/>
      <c r="O19" s="37"/>
      <c r="P19" s="39"/>
      <c r="Q19" s="37"/>
      <c r="R19" s="39"/>
      <c r="S19" s="17"/>
      <c r="T19" s="17"/>
      <c r="U19" s="37"/>
      <c r="V19" s="37"/>
      <c r="W19" s="17"/>
      <c r="X19" s="37"/>
      <c r="Y19" s="17"/>
      <c r="Z19" s="39"/>
      <c r="AA19" s="39"/>
      <c r="AB19" s="37"/>
      <c r="AC19" s="37"/>
      <c r="AD19" s="38"/>
      <c r="AE19" s="37"/>
      <c r="AF19" s="37"/>
      <c r="AG19" s="37"/>
      <c r="AH19" s="37"/>
      <c r="AI19" s="17"/>
      <c r="AJ19" s="37"/>
      <c r="AK19" s="17"/>
      <c r="AL19" s="39"/>
      <c r="AM19" s="17"/>
      <c r="AN19" s="17"/>
      <c r="AO19" s="37"/>
      <c r="AP19" s="17"/>
      <c r="AQ19" s="37"/>
      <c r="AR19" s="37"/>
      <c r="AS19" s="37"/>
      <c r="AT19" s="17"/>
      <c r="AU19" s="37"/>
      <c r="AV19" s="37"/>
      <c r="AW19" s="38"/>
      <c r="AX19" s="37"/>
      <c r="AY19" s="38"/>
      <c r="AZ19" s="34" t="str">
        <f aca="false">IF($E19="","",COUNTA($E19,$F19,$G19,$J19,$L19,$Q19,$U19,$X19,$AM19,$AN19,$AP19,$AR19)/12)</f>
        <v/>
      </c>
      <c r="BA19" s="32" t="str">
        <f aca="false">IF($E19="","",IF(COUNTIF($E$3:$E$402,$E19)&gt;1,"DUPLICATE",""))</f>
        <v/>
      </c>
      <c r="BB19" s="17"/>
      <c r="BC19" s="35" t="str">
        <f aca="false">IF($E19="","",IFERROR(INDEX(SCORING!$C$6:$C$15,MATCH($J19,SCORING!$B$6:$B$15,0)),0)+IFERROR(INDEX(SCORING!$C$18:$C$20,MATCH($U19,SCORING!$B$18:$B$20,0)),0)+IFERROR(INDEX(SCORING!$C$23:$C$26,MATCH($X19,SCORING!$B$23:$B$26,0)),0)+IFERROR(INDEX(SCORING!$C$29:$C$32,MATCH($Q19,SCORING!$B$29:$B$32,0)),0)+IFERROR(INDEX(SCORING!$C$35:$C$37,MATCH($L19,SCORING!$B$35:$B$37,0)),0)+IF($AP19="",0,IF(AND($AQ19="Valid",$AO19="Decision maker"),SCORING!$C$40,IF($AQ19="Valid",SCORING!$C$41,SCORING!$C$42))))</f>
        <v/>
      </c>
      <c r="BD19" s="36" t="str">
        <f aca="false">IF($BC19="","",IF($BC19&gt;=SCORING!$C$46,"A",IF($BC19&gt;=SCORING!$C$47,"B",IF($BC19&gt;=SCORING!$C$48,"C","D"))))</f>
        <v/>
      </c>
      <c r="BE19" s="37"/>
    </row>
    <row r="20" customFormat="false" ht="15" hidden="false" customHeight="false" outlineLevel="0" collapsed="false">
      <c r="A20" s="37"/>
      <c r="B20" s="38"/>
      <c r="C20" s="37"/>
      <c r="D20" s="37"/>
      <c r="E20" s="17"/>
      <c r="F20" s="17"/>
      <c r="G20" s="37"/>
      <c r="H20" s="32" t="str">
        <f aca="false">IF($G20="","",IFERROR(INDEX(LISTS!$P$3:$P$145,MATCH($G20,LISTS!$O$3:$O$145,0)),"Other"))</f>
        <v/>
      </c>
      <c r="I20" s="37"/>
      <c r="J20" s="17"/>
      <c r="K20" s="17"/>
      <c r="L20" s="37"/>
      <c r="M20" s="37"/>
      <c r="N20" s="39"/>
      <c r="O20" s="37"/>
      <c r="P20" s="39"/>
      <c r="Q20" s="37"/>
      <c r="R20" s="39"/>
      <c r="S20" s="17"/>
      <c r="T20" s="17"/>
      <c r="U20" s="37"/>
      <c r="V20" s="37"/>
      <c r="W20" s="17"/>
      <c r="X20" s="37"/>
      <c r="Y20" s="17"/>
      <c r="Z20" s="39"/>
      <c r="AA20" s="39"/>
      <c r="AB20" s="37"/>
      <c r="AC20" s="37"/>
      <c r="AD20" s="38"/>
      <c r="AE20" s="37"/>
      <c r="AF20" s="37"/>
      <c r="AG20" s="37"/>
      <c r="AH20" s="37"/>
      <c r="AI20" s="17"/>
      <c r="AJ20" s="37"/>
      <c r="AK20" s="17"/>
      <c r="AL20" s="39"/>
      <c r="AM20" s="17"/>
      <c r="AN20" s="17"/>
      <c r="AO20" s="37"/>
      <c r="AP20" s="17"/>
      <c r="AQ20" s="37"/>
      <c r="AR20" s="37"/>
      <c r="AS20" s="37"/>
      <c r="AT20" s="17"/>
      <c r="AU20" s="37"/>
      <c r="AV20" s="37"/>
      <c r="AW20" s="38"/>
      <c r="AX20" s="37"/>
      <c r="AY20" s="38"/>
      <c r="AZ20" s="34" t="str">
        <f aca="false">IF($E20="","",COUNTA($E20,$F20,$G20,$J20,$L20,$Q20,$U20,$X20,$AM20,$AN20,$AP20,$AR20)/12)</f>
        <v/>
      </c>
      <c r="BA20" s="32" t="str">
        <f aca="false">IF($E20="","",IF(COUNTIF($E$3:$E$402,$E20)&gt;1,"DUPLICATE",""))</f>
        <v/>
      </c>
      <c r="BB20" s="17"/>
      <c r="BC20" s="35" t="str">
        <f aca="false">IF($E20="","",IFERROR(INDEX(SCORING!$C$6:$C$15,MATCH($J20,SCORING!$B$6:$B$15,0)),0)+IFERROR(INDEX(SCORING!$C$18:$C$20,MATCH($U20,SCORING!$B$18:$B$20,0)),0)+IFERROR(INDEX(SCORING!$C$23:$C$26,MATCH($X20,SCORING!$B$23:$B$26,0)),0)+IFERROR(INDEX(SCORING!$C$29:$C$32,MATCH($Q20,SCORING!$B$29:$B$32,0)),0)+IFERROR(INDEX(SCORING!$C$35:$C$37,MATCH($L20,SCORING!$B$35:$B$37,0)),0)+IF($AP20="",0,IF(AND($AQ20="Valid",$AO20="Decision maker"),SCORING!$C$40,IF($AQ20="Valid",SCORING!$C$41,SCORING!$C$42))))</f>
        <v/>
      </c>
      <c r="BD20" s="36" t="str">
        <f aca="false">IF($BC20="","",IF($BC20&gt;=SCORING!$C$46,"A",IF($BC20&gt;=SCORING!$C$47,"B",IF($BC20&gt;=SCORING!$C$48,"C","D"))))</f>
        <v/>
      </c>
      <c r="BE20" s="37"/>
    </row>
    <row r="21" customFormat="false" ht="15" hidden="false" customHeight="false" outlineLevel="0" collapsed="false">
      <c r="A21" s="37"/>
      <c r="B21" s="38"/>
      <c r="C21" s="37"/>
      <c r="D21" s="37"/>
      <c r="E21" s="17"/>
      <c r="F21" s="17"/>
      <c r="G21" s="37"/>
      <c r="H21" s="32" t="str">
        <f aca="false">IF($G21="","",IFERROR(INDEX(LISTS!$P$3:$P$145,MATCH($G21,LISTS!$O$3:$O$145,0)),"Other"))</f>
        <v/>
      </c>
      <c r="I21" s="37"/>
      <c r="J21" s="17"/>
      <c r="K21" s="17"/>
      <c r="L21" s="37"/>
      <c r="M21" s="37"/>
      <c r="N21" s="39"/>
      <c r="O21" s="37"/>
      <c r="P21" s="39"/>
      <c r="Q21" s="37"/>
      <c r="R21" s="39"/>
      <c r="S21" s="17"/>
      <c r="T21" s="17"/>
      <c r="U21" s="37"/>
      <c r="V21" s="37"/>
      <c r="W21" s="17"/>
      <c r="X21" s="37"/>
      <c r="Y21" s="17"/>
      <c r="Z21" s="39"/>
      <c r="AA21" s="39"/>
      <c r="AB21" s="37"/>
      <c r="AC21" s="37"/>
      <c r="AD21" s="38"/>
      <c r="AE21" s="37"/>
      <c r="AF21" s="37"/>
      <c r="AG21" s="37"/>
      <c r="AH21" s="37"/>
      <c r="AI21" s="17"/>
      <c r="AJ21" s="37"/>
      <c r="AK21" s="17"/>
      <c r="AL21" s="39"/>
      <c r="AM21" s="17"/>
      <c r="AN21" s="17"/>
      <c r="AO21" s="37"/>
      <c r="AP21" s="17"/>
      <c r="AQ21" s="37"/>
      <c r="AR21" s="37"/>
      <c r="AS21" s="37"/>
      <c r="AT21" s="17"/>
      <c r="AU21" s="37"/>
      <c r="AV21" s="37"/>
      <c r="AW21" s="38"/>
      <c r="AX21" s="37"/>
      <c r="AY21" s="38"/>
      <c r="AZ21" s="34" t="str">
        <f aca="false">IF($E21="","",COUNTA($E21,$F21,$G21,$J21,$L21,$Q21,$U21,$X21,$AM21,$AN21,$AP21,$AR21)/12)</f>
        <v/>
      </c>
      <c r="BA21" s="32" t="str">
        <f aca="false">IF($E21="","",IF(COUNTIF($E$3:$E$402,$E21)&gt;1,"DUPLICATE",""))</f>
        <v/>
      </c>
      <c r="BB21" s="17"/>
      <c r="BC21" s="35" t="str">
        <f aca="false">IF($E21="","",IFERROR(INDEX(SCORING!$C$6:$C$15,MATCH($J21,SCORING!$B$6:$B$15,0)),0)+IFERROR(INDEX(SCORING!$C$18:$C$20,MATCH($U21,SCORING!$B$18:$B$20,0)),0)+IFERROR(INDEX(SCORING!$C$23:$C$26,MATCH($X21,SCORING!$B$23:$B$26,0)),0)+IFERROR(INDEX(SCORING!$C$29:$C$32,MATCH($Q21,SCORING!$B$29:$B$32,0)),0)+IFERROR(INDEX(SCORING!$C$35:$C$37,MATCH($L21,SCORING!$B$35:$B$37,0)),0)+IF($AP21="",0,IF(AND($AQ21="Valid",$AO21="Decision maker"),SCORING!$C$40,IF($AQ21="Valid",SCORING!$C$41,SCORING!$C$42))))</f>
        <v/>
      </c>
      <c r="BD21" s="36" t="str">
        <f aca="false">IF($BC21="","",IF($BC21&gt;=SCORING!$C$46,"A",IF($BC21&gt;=SCORING!$C$47,"B",IF($BC21&gt;=SCORING!$C$48,"C","D"))))</f>
        <v/>
      </c>
      <c r="BE21" s="37"/>
    </row>
    <row r="22" customFormat="false" ht="15" hidden="false" customHeight="false" outlineLevel="0" collapsed="false">
      <c r="A22" s="37"/>
      <c r="B22" s="38"/>
      <c r="C22" s="37"/>
      <c r="D22" s="37"/>
      <c r="E22" s="17"/>
      <c r="F22" s="17"/>
      <c r="G22" s="37"/>
      <c r="H22" s="32" t="str">
        <f aca="false">IF($G22="","",IFERROR(INDEX(LISTS!$P$3:$P$145,MATCH($G22,LISTS!$O$3:$O$145,0)),"Other"))</f>
        <v/>
      </c>
      <c r="I22" s="37"/>
      <c r="J22" s="17"/>
      <c r="K22" s="17"/>
      <c r="L22" s="37"/>
      <c r="M22" s="37"/>
      <c r="N22" s="39"/>
      <c r="O22" s="37"/>
      <c r="P22" s="39"/>
      <c r="Q22" s="37"/>
      <c r="R22" s="39"/>
      <c r="S22" s="17"/>
      <c r="T22" s="17"/>
      <c r="U22" s="37"/>
      <c r="V22" s="37"/>
      <c r="W22" s="17"/>
      <c r="X22" s="37"/>
      <c r="Y22" s="17"/>
      <c r="Z22" s="39"/>
      <c r="AA22" s="39"/>
      <c r="AB22" s="37"/>
      <c r="AC22" s="37"/>
      <c r="AD22" s="38"/>
      <c r="AE22" s="37"/>
      <c r="AF22" s="37"/>
      <c r="AG22" s="37"/>
      <c r="AH22" s="37"/>
      <c r="AI22" s="17"/>
      <c r="AJ22" s="37"/>
      <c r="AK22" s="17"/>
      <c r="AL22" s="39"/>
      <c r="AM22" s="17"/>
      <c r="AN22" s="17"/>
      <c r="AO22" s="37"/>
      <c r="AP22" s="17"/>
      <c r="AQ22" s="37"/>
      <c r="AR22" s="37"/>
      <c r="AS22" s="37"/>
      <c r="AT22" s="17"/>
      <c r="AU22" s="37"/>
      <c r="AV22" s="37"/>
      <c r="AW22" s="38"/>
      <c r="AX22" s="37"/>
      <c r="AY22" s="38"/>
      <c r="AZ22" s="34" t="str">
        <f aca="false">IF($E22="","",COUNTA($E22,$F22,$G22,$J22,$L22,$Q22,$U22,$X22,$AM22,$AN22,$AP22,$AR22)/12)</f>
        <v/>
      </c>
      <c r="BA22" s="32" t="str">
        <f aca="false">IF($E22="","",IF(COUNTIF($E$3:$E$402,$E22)&gt;1,"DUPLICATE",""))</f>
        <v/>
      </c>
      <c r="BB22" s="17"/>
      <c r="BC22" s="35" t="str">
        <f aca="false">IF($E22="","",IFERROR(INDEX(SCORING!$C$6:$C$15,MATCH($J22,SCORING!$B$6:$B$15,0)),0)+IFERROR(INDEX(SCORING!$C$18:$C$20,MATCH($U22,SCORING!$B$18:$B$20,0)),0)+IFERROR(INDEX(SCORING!$C$23:$C$26,MATCH($X22,SCORING!$B$23:$B$26,0)),0)+IFERROR(INDEX(SCORING!$C$29:$C$32,MATCH($Q22,SCORING!$B$29:$B$32,0)),0)+IFERROR(INDEX(SCORING!$C$35:$C$37,MATCH($L22,SCORING!$B$35:$B$37,0)),0)+IF($AP22="",0,IF(AND($AQ22="Valid",$AO22="Decision maker"),SCORING!$C$40,IF($AQ22="Valid",SCORING!$C$41,SCORING!$C$42))))</f>
        <v/>
      </c>
      <c r="BD22" s="36" t="str">
        <f aca="false">IF($BC22="","",IF($BC22&gt;=SCORING!$C$46,"A",IF($BC22&gt;=SCORING!$C$47,"B",IF($BC22&gt;=SCORING!$C$48,"C","D"))))</f>
        <v/>
      </c>
      <c r="BE22" s="37"/>
    </row>
    <row r="23" customFormat="false" ht="15" hidden="false" customHeight="false" outlineLevel="0" collapsed="false">
      <c r="A23" s="37"/>
      <c r="B23" s="38"/>
      <c r="C23" s="37"/>
      <c r="D23" s="37"/>
      <c r="E23" s="17"/>
      <c r="F23" s="17"/>
      <c r="G23" s="37"/>
      <c r="H23" s="32" t="str">
        <f aca="false">IF($G23="","",IFERROR(INDEX(LISTS!$P$3:$P$145,MATCH($G23,LISTS!$O$3:$O$145,0)),"Other"))</f>
        <v/>
      </c>
      <c r="I23" s="37"/>
      <c r="J23" s="17"/>
      <c r="K23" s="17"/>
      <c r="L23" s="37"/>
      <c r="M23" s="37"/>
      <c r="N23" s="39"/>
      <c r="O23" s="37"/>
      <c r="P23" s="39"/>
      <c r="Q23" s="37"/>
      <c r="R23" s="39"/>
      <c r="S23" s="17"/>
      <c r="T23" s="17"/>
      <c r="U23" s="37"/>
      <c r="V23" s="37"/>
      <c r="W23" s="17"/>
      <c r="X23" s="37"/>
      <c r="Y23" s="17"/>
      <c r="Z23" s="39"/>
      <c r="AA23" s="39"/>
      <c r="AB23" s="37"/>
      <c r="AC23" s="37"/>
      <c r="AD23" s="38"/>
      <c r="AE23" s="37"/>
      <c r="AF23" s="37"/>
      <c r="AG23" s="37"/>
      <c r="AH23" s="37"/>
      <c r="AI23" s="17"/>
      <c r="AJ23" s="37"/>
      <c r="AK23" s="17"/>
      <c r="AL23" s="39"/>
      <c r="AM23" s="17"/>
      <c r="AN23" s="17"/>
      <c r="AO23" s="37"/>
      <c r="AP23" s="17"/>
      <c r="AQ23" s="37"/>
      <c r="AR23" s="37"/>
      <c r="AS23" s="37"/>
      <c r="AT23" s="17"/>
      <c r="AU23" s="37"/>
      <c r="AV23" s="37"/>
      <c r="AW23" s="38"/>
      <c r="AX23" s="37"/>
      <c r="AY23" s="38"/>
      <c r="AZ23" s="34" t="str">
        <f aca="false">IF($E23="","",COUNTA($E23,$F23,$G23,$J23,$L23,$Q23,$U23,$X23,$AM23,$AN23,$AP23,$AR23)/12)</f>
        <v/>
      </c>
      <c r="BA23" s="32" t="str">
        <f aca="false">IF($E23="","",IF(COUNTIF($E$3:$E$402,$E23)&gt;1,"DUPLICATE",""))</f>
        <v/>
      </c>
      <c r="BB23" s="17"/>
      <c r="BC23" s="35" t="str">
        <f aca="false">IF($E23="","",IFERROR(INDEX(SCORING!$C$6:$C$15,MATCH($J23,SCORING!$B$6:$B$15,0)),0)+IFERROR(INDEX(SCORING!$C$18:$C$20,MATCH($U23,SCORING!$B$18:$B$20,0)),0)+IFERROR(INDEX(SCORING!$C$23:$C$26,MATCH($X23,SCORING!$B$23:$B$26,0)),0)+IFERROR(INDEX(SCORING!$C$29:$C$32,MATCH($Q23,SCORING!$B$29:$B$32,0)),0)+IFERROR(INDEX(SCORING!$C$35:$C$37,MATCH($L23,SCORING!$B$35:$B$37,0)),0)+IF($AP23="",0,IF(AND($AQ23="Valid",$AO23="Decision maker"),SCORING!$C$40,IF($AQ23="Valid",SCORING!$C$41,SCORING!$C$42))))</f>
        <v/>
      </c>
      <c r="BD23" s="36" t="str">
        <f aca="false">IF($BC23="","",IF($BC23&gt;=SCORING!$C$46,"A",IF($BC23&gt;=SCORING!$C$47,"B",IF($BC23&gt;=SCORING!$C$48,"C","D"))))</f>
        <v/>
      </c>
      <c r="BE23" s="37"/>
    </row>
    <row r="24" customFormat="false" ht="15" hidden="false" customHeight="false" outlineLevel="0" collapsed="false">
      <c r="A24" s="37"/>
      <c r="B24" s="38"/>
      <c r="C24" s="37"/>
      <c r="D24" s="37"/>
      <c r="E24" s="17"/>
      <c r="F24" s="17"/>
      <c r="G24" s="37"/>
      <c r="H24" s="32" t="str">
        <f aca="false">IF($G24="","",IFERROR(INDEX(LISTS!$P$3:$P$145,MATCH($G24,LISTS!$O$3:$O$145,0)),"Other"))</f>
        <v/>
      </c>
      <c r="I24" s="37"/>
      <c r="J24" s="17"/>
      <c r="K24" s="17"/>
      <c r="L24" s="37"/>
      <c r="M24" s="37"/>
      <c r="N24" s="39"/>
      <c r="O24" s="37"/>
      <c r="P24" s="39"/>
      <c r="Q24" s="37"/>
      <c r="R24" s="39"/>
      <c r="S24" s="17"/>
      <c r="T24" s="17"/>
      <c r="U24" s="37"/>
      <c r="V24" s="37"/>
      <c r="W24" s="17"/>
      <c r="X24" s="37"/>
      <c r="Y24" s="17"/>
      <c r="Z24" s="39"/>
      <c r="AA24" s="39"/>
      <c r="AB24" s="37"/>
      <c r="AC24" s="37"/>
      <c r="AD24" s="38"/>
      <c r="AE24" s="37"/>
      <c r="AF24" s="37"/>
      <c r="AG24" s="37"/>
      <c r="AH24" s="37"/>
      <c r="AI24" s="17"/>
      <c r="AJ24" s="37"/>
      <c r="AK24" s="17"/>
      <c r="AL24" s="39"/>
      <c r="AM24" s="17"/>
      <c r="AN24" s="17"/>
      <c r="AO24" s="37"/>
      <c r="AP24" s="17"/>
      <c r="AQ24" s="37"/>
      <c r="AR24" s="37"/>
      <c r="AS24" s="37"/>
      <c r="AT24" s="17"/>
      <c r="AU24" s="37"/>
      <c r="AV24" s="37"/>
      <c r="AW24" s="38"/>
      <c r="AX24" s="37"/>
      <c r="AY24" s="38"/>
      <c r="AZ24" s="34" t="str">
        <f aca="false">IF($E24="","",COUNTA($E24,$F24,$G24,$J24,$L24,$Q24,$U24,$X24,$AM24,$AN24,$AP24,$AR24)/12)</f>
        <v/>
      </c>
      <c r="BA24" s="32" t="str">
        <f aca="false">IF($E24="","",IF(COUNTIF($E$3:$E$402,$E24)&gt;1,"DUPLICATE",""))</f>
        <v/>
      </c>
      <c r="BB24" s="17"/>
      <c r="BC24" s="35" t="str">
        <f aca="false">IF($E24="","",IFERROR(INDEX(SCORING!$C$6:$C$15,MATCH($J24,SCORING!$B$6:$B$15,0)),0)+IFERROR(INDEX(SCORING!$C$18:$C$20,MATCH($U24,SCORING!$B$18:$B$20,0)),0)+IFERROR(INDEX(SCORING!$C$23:$C$26,MATCH($X24,SCORING!$B$23:$B$26,0)),0)+IFERROR(INDEX(SCORING!$C$29:$C$32,MATCH($Q24,SCORING!$B$29:$B$32,0)),0)+IFERROR(INDEX(SCORING!$C$35:$C$37,MATCH($L24,SCORING!$B$35:$B$37,0)),0)+IF($AP24="",0,IF(AND($AQ24="Valid",$AO24="Decision maker"),SCORING!$C$40,IF($AQ24="Valid",SCORING!$C$41,SCORING!$C$42))))</f>
        <v/>
      </c>
      <c r="BD24" s="36" t="str">
        <f aca="false">IF($BC24="","",IF($BC24&gt;=SCORING!$C$46,"A",IF($BC24&gt;=SCORING!$C$47,"B",IF($BC24&gt;=SCORING!$C$48,"C","D"))))</f>
        <v/>
      </c>
      <c r="BE24" s="37"/>
    </row>
    <row r="25" customFormat="false" ht="15" hidden="false" customHeight="false" outlineLevel="0" collapsed="false">
      <c r="A25" s="37"/>
      <c r="B25" s="38"/>
      <c r="C25" s="37"/>
      <c r="D25" s="37"/>
      <c r="E25" s="17"/>
      <c r="F25" s="17"/>
      <c r="G25" s="37"/>
      <c r="H25" s="32" t="str">
        <f aca="false">IF($G25="","",IFERROR(INDEX(LISTS!$P$3:$P$145,MATCH($G25,LISTS!$O$3:$O$145,0)),"Other"))</f>
        <v/>
      </c>
      <c r="I25" s="37"/>
      <c r="J25" s="17"/>
      <c r="K25" s="17"/>
      <c r="L25" s="37"/>
      <c r="M25" s="37"/>
      <c r="N25" s="39"/>
      <c r="O25" s="37"/>
      <c r="P25" s="39"/>
      <c r="Q25" s="37"/>
      <c r="R25" s="39"/>
      <c r="S25" s="17"/>
      <c r="T25" s="17"/>
      <c r="U25" s="37"/>
      <c r="V25" s="37"/>
      <c r="W25" s="17"/>
      <c r="X25" s="37"/>
      <c r="Y25" s="17"/>
      <c r="Z25" s="39"/>
      <c r="AA25" s="39"/>
      <c r="AB25" s="37"/>
      <c r="AC25" s="37"/>
      <c r="AD25" s="38"/>
      <c r="AE25" s="37"/>
      <c r="AF25" s="37"/>
      <c r="AG25" s="37"/>
      <c r="AH25" s="37"/>
      <c r="AI25" s="17"/>
      <c r="AJ25" s="37"/>
      <c r="AK25" s="17"/>
      <c r="AL25" s="39"/>
      <c r="AM25" s="17"/>
      <c r="AN25" s="17"/>
      <c r="AO25" s="37"/>
      <c r="AP25" s="17"/>
      <c r="AQ25" s="37"/>
      <c r="AR25" s="37"/>
      <c r="AS25" s="37"/>
      <c r="AT25" s="17"/>
      <c r="AU25" s="37"/>
      <c r="AV25" s="37"/>
      <c r="AW25" s="38"/>
      <c r="AX25" s="37"/>
      <c r="AY25" s="38"/>
      <c r="AZ25" s="34" t="str">
        <f aca="false">IF($E25="","",COUNTA($E25,$F25,$G25,$J25,$L25,$Q25,$U25,$X25,$AM25,$AN25,$AP25,$AR25)/12)</f>
        <v/>
      </c>
      <c r="BA25" s="32" t="str">
        <f aca="false">IF($E25="","",IF(COUNTIF($E$3:$E$402,$E25)&gt;1,"DUPLICATE",""))</f>
        <v/>
      </c>
      <c r="BB25" s="17"/>
      <c r="BC25" s="35" t="str">
        <f aca="false">IF($E25="","",IFERROR(INDEX(SCORING!$C$6:$C$15,MATCH($J25,SCORING!$B$6:$B$15,0)),0)+IFERROR(INDEX(SCORING!$C$18:$C$20,MATCH($U25,SCORING!$B$18:$B$20,0)),0)+IFERROR(INDEX(SCORING!$C$23:$C$26,MATCH($X25,SCORING!$B$23:$B$26,0)),0)+IFERROR(INDEX(SCORING!$C$29:$C$32,MATCH($Q25,SCORING!$B$29:$B$32,0)),0)+IFERROR(INDEX(SCORING!$C$35:$C$37,MATCH($L25,SCORING!$B$35:$B$37,0)),0)+IF($AP25="",0,IF(AND($AQ25="Valid",$AO25="Decision maker"),SCORING!$C$40,IF($AQ25="Valid",SCORING!$C$41,SCORING!$C$42))))</f>
        <v/>
      </c>
      <c r="BD25" s="36" t="str">
        <f aca="false">IF($BC25="","",IF($BC25&gt;=SCORING!$C$46,"A",IF($BC25&gt;=SCORING!$C$47,"B",IF($BC25&gt;=SCORING!$C$48,"C","D"))))</f>
        <v/>
      </c>
      <c r="BE25" s="37"/>
    </row>
    <row r="26" customFormat="false" ht="15" hidden="false" customHeight="false" outlineLevel="0" collapsed="false">
      <c r="A26" s="37"/>
      <c r="B26" s="38"/>
      <c r="C26" s="37"/>
      <c r="D26" s="37"/>
      <c r="E26" s="17"/>
      <c r="F26" s="17"/>
      <c r="G26" s="37"/>
      <c r="H26" s="32" t="str">
        <f aca="false">IF($G26="","",IFERROR(INDEX(LISTS!$P$3:$P$145,MATCH($G26,LISTS!$O$3:$O$145,0)),"Other"))</f>
        <v/>
      </c>
      <c r="I26" s="37"/>
      <c r="J26" s="17"/>
      <c r="K26" s="17"/>
      <c r="L26" s="37"/>
      <c r="M26" s="37"/>
      <c r="N26" s="39"/>
      <c r="O26" s="37"/>
      <c r="P26" s="39"/>
      <c r="Q26" s="37"/>
      <c r="R26" s="39"/>
      <c r="S26" s="17"/>
      <c r="T26" s="17"/>
      <c r="U26" s="37"/>
      <c r="V26" s="37"/>
      <c r="W26" s="17"/>
      <c r="X26" s="37"/>
      <c r="Y26" s="17"/>
      <c r="Z26" s="39"/>
      <c r="AA26" s="39"/>
      <c r="AB26" s="37"/>
      <c r="AC26" s="37"/>
      <c r="AD26" s="38"/>
      <c r="AE26" s="37"/>
      <c r="AF26" s="37"/>
      <c r="AG26" s="37"/>
      <c r="AH26" s="37"/>
      <c r="AI26" s="17"/>
      <c r="AJ26" s="37"/>
      <c r="AK26" s="17"/>
      <c r="AL26" s="39"/>
      <c r="AM26" s="17"/>
      <c r="AN26" s="17"/>
      <c r="AO26" s="37"/>
      <c r="AP26" s="17"/>
      <c r="AQ26" s="37"/>
      <c r="AR26" s="37"/>
      <c r="AS26" s="37"/>
      <c r="AT26" s="17"/>
      <c r="AU26" s="37"/>
      <c r="AV26" s="37"/>
      <c r="AW26" s="38"/>
      <c r="AX26" s="37"/>
      <c r="AY26" s="38"/>
      <c r="AZ26" s="34" t="str">
        <f aca="false">IF($E26="","",COUNTA($E26,$F26,$G26,$J26,$L26,$Q26,$U26,$X26,$AM26,$AN26,$AP26,$AR26)/12)</f>
        <v/>
      </c>
      <c r="BA26" s="32" t="str">
        <f aca="false">IF($E26="","",IF(COUNTIF($E$3:$E$402,$E26)&gt;1,"DUPLICATE",""))</f>
        <v/>
      </c>
      <c r="BB26" s="17"/>
      <c r="BC26" s="35" t="str">
        <f aca="false">IF($E26="","",IFERROR(INDEX(SCORING!$C$6:$C$15,MATCH($J26,SCORING!$B$6:$B$15,0)),0)+IFERROR(INDEX(SCORING!$C$18:$C$20,MATCH($U26,SCORING!$B$18:$B$20,0)),0)+IFERROR(INDEX(SCORING!$C$23:$C$26,MATCH($X26,SCORING!$B$23:$B$26,0)),0)+IFERROR(INDEX(SCORING!$C$29:$C$32,MATCH($Q26,SCORING!$B$29:$B$32,0)),0)+IFERROR(INDEX(SCORING!$C$35:$C$37,MATCH($L26,SCORING!$B$35:$B$37,0)),0)+IF($AP26="",0,IF(AND($AQ26="Valid",$AO26="Decision maker"),SCORING!$C$40,IF($AQ26="Valid",SCORING!$C$41,SCORING!$C$42))))</f>
        <v/>
      </c>
      <c r="BD26" s="36" t="str">
        <f aca="false">IF($BC26="","",IF($BC26&gt;=SCORING!$C$46,"A",IF($BC26&gt;=SCORING!$C$47,"B",IF($BC26&gt;=SCORING!$C$48,"C","D"))))</f>
        <v/>
      </c>
      <c r="BE26" s="37"/>
    </row>
    <row r="27" customFormat="false" ht="15" hidden="false" customHeight="false" outlineLevel="0" collapsed="false">
      <c r="A27" s="37"/>
      <c r="B27" s="38"/>
      <c r="C27" s="37"/>
      <c r="D27" s="37"/>
      <c r="E27" s="17"/>
      <c r="F27" s="17"/>
      <c r="G27" s="37"/>
      <c r="H27" s="32" t="str">
        <f aca="false">IF($G27="","",IFERROR(INDEX(LISTS!$P$3:$P$145,MATCH($G27,LISTS!$O$3:$O$145,0)),"Other"))</f>
        <v/>
      </c>
      <c r="I27" s="37"/>
      <c r="J27" s="17"/>
      <c r="K27" s="17"/>
      <c r="L27" s="37"/>
      <c r="M27" s="37"/>
      <c r="N27" s="39"/>
      <c r="O27" s="37"/>
      <c r="P27" s="39"/>
      <c r="Q27" s="37"/>
      <c r="R27" s="39"/>
      <c r="S27" s="17"/>
      <c r="T27" s="17"/>
      <c r="U27" s="37"/>
      <c r="V27" s="37"/>
      <c r="W27" s="17"/>
      <c r="X27" s="37"/>
      <c r="Y27" s="17"/>
      <c r="Z27" s="39"/>
      <c r="AA27" s="39"/>
      <c r="AB27" s="37"/>
      <c r="AC27" s="37"/>
      <c r="AD27" s="38"/>
      <c r="AE27" s="37"/>
      <c r="AF27" s="37"/>
      <c r="AG27" s="37"/>
      <c r="AH27" s="37"/>
      <c r="AI27" s="17"/>
      <c r="AJ27" s="37"/>
      <c r="AK27" s="17"/>
      <c r="AL27" s="39"/>
      <c r="AM27" s="17"/>
      <c r="AN27" s="17"/>
      <c r="AO27" s="37"/>
      <c r="AP27" s="17"/>
      <c r="AQ27" s="37"/>
      <c r="AR27" s="37"/>
      <c r="AS27" s="37"/>
      <c r="AT27" s="17"/>
      <c r="AU27" s="37"/>
      <c r="AV27" s="37"/>
      <c r="AW27" s="38"/>
      <c r="AX27" s="37"/>
      <c r="AY27" s="38"/>
      <c r="AZ27" s="34" t="str">
        <f aca="false">IF($E27="","",COUNTA($E27,$F27,$G27,$J27,$L27,$Q27,$U27,$X27,$AM27,$AN27,$AP27,$AR27)/12)</f>
        <v/>
      </c>
      <c r="BA27" s="32" t="str">
        <f aca="false">IF($E27="","",IF(COUNTIF($E$3:$E$402,$E27)&gt;1,"DUPLICATE",""))</f>
        <v/>
      </c>
      <c r="BB27" s="17"/>
      <c r="BC27" s="35" t="str">
        <f aca="false">IF($E27="","",IFERROR(INDEX(SCORING!$C$6:$C$15,MATCH($J27,SCORING!$B$6:$B$15,0)),0)+IFERROR(INDEX(SCORING!$C$18:$C$20,MATCH($U27,SCORING!$B$18:$B$20,0)),0)+IFERROR(INDEX(SCORING!$C$23:$C$26,MATCH($X27,SCORING!$B$23:$B$26,0)),0)+IFERROR(INDEX(SCORING!$C$29:$C$32,MATCH($Q27,SCORING!$B$29:$B$32,0)),0)+IFERROR(INDEX(SCORING!$C$35:$C$37,MATCH($L27,SCORING!$B$35:$B$37,0)),0)+IF($AP27="",0,IF(AND($AQ27="Valid",$AO27="Decision maker"),SCORING!$C$40,IF($AQ27="Valid",SCORING!$C$41,SCORING!$C$42))))</f>
        <v/>
      </c>
      <c r="BD27" s="36" t="str">
        <f aca="false">IF($BC27="","",IF($BC27&gt;=SCORING!$C$46,"A",IF($BC27&gt;=SCORING!$C$47,"B",IF($BC27&gt;=SCORING!$C$48,"C","D"))))</f>
        <v/>
      </c>
      <c r="BE27" s="37"/>
    </row>
    <row r="28" customFormat="false" ht="15" hidden="false" customHeight="false" outlineLevel="0" collapsed="false">
      <c r="A28" s="37"/>
      <c r="B28" s="38"/>
      <c r="C28" s="37"/>
      <c r="D28" s="37"/>
      <c r="E28" s="17"/>
      <c r="F28" s="17"/>
      <c r="G28" s="37"/>
      <c r="H28" s="32" t="str">
        <f aca="false">IF($G28="","",IFERROR(INDEX(LISTS!$P$3:$P$145,MATCH($G28,LISTS!$O$3:$O$145,0)),"Other"))</f>
        <v/>
      </c>
      <c r="I28" s="37"/>
      <c r="J28" s="17"/>
      <c r="K28" s="17"/>
      <c r="L28" s="37"/>
      <c r="M28" s="37"/>
      <c r="N28" s="39"/>
      <c r="O28" s="37"/>
      <c r="P28" s="39"/>
      <c r="Q28" s="37"/>
      <c r="R28" s="39"/>
      <c r="S28" s="17"/>
      <c r="T28" s="17"/>
      <c r="U28" s="37"/>
      <c r="V28" s="37"/>
      <c r="W28" s="17"/>
      <c r="X28" s="37"/>
      <c r="Y28" s="17"/>
      <c r="Z28" s="39"/>
      <c r="AA28" s="39"/>
      <c r="AB28" s="37"/>
      <c r="AC28" s="37"/>
      <c r="AD28" s="38"/>
      <c r="AE28" s="37"/>
      <c r="AF28" s="37"/>
      <c r="AG28" s="37"/>
      <c r="AH28" s="37"/>
      <c r="AI28" s="17"/>
      <c r="AJ28" s="37"/>
      <c r="AK28" s="17"/>
      <c r="AL28" s="39"/>
      <c r="AM28" s="17"/>
      <c r="AN28" s="17"/>
      <c r="AO28" s="37"/>
      <c r="AP28" s="17"/>
      <c r="AQ28" s="37"/>
      <c r="AR28" s="37"/>
      <c r="AS28" s="37"/>
      <c r="AT28" s="17"/>
      <c r="AU28" s="37"/>
      <c r="AV28" s="37"/>
      <c r="AW28" s="38"/>
      <c r="AX28" s="37"/>
      <c r="AY28" s="38"/>
      <c r="AZ28" s="34" t="str">
        <f aca="false">IF($E28="","",COUNTA($E28,$F28,$G28,$J28,$L28,$Q28,$U28,$X28,$AM28,$AN28,$AP28,$AR28)/12)</f>
        <v/>
      </c>
      <c r="BA28" s="32" t="str">
        <f aca="false">IF($E28="","",IF(COUNTIF($E$3:$E$402,$E28)&gt;1,"DUPLICATE",""))</f>
        <v/>
      </c>
      <c r="BB28" s="17"/>
      <c r="BC28" s="35" t="str">
        <f aca="false">IF($E28="","",IFERROR(INDEX(SCORING!$C$6:$C$15,MATCH($J28,SCORING!$B$6:$B$15,0)),0)+IFERROR(INDEX(SCORING!$C$18:$C$20,MATCH($U28,SCORING!$B$18:$B$20,0)),0)+IFERROR(INDEX(SCORING!$C$23:$C$26,MATCH($X28,SCORING!$B$23:$B$26,0)),0)+IFERROR(INDEX(SCORING!$C$29:$C$32,MATCH($Q28,SCORING!$B$29:$B$32,0)),0)+IFERROR(INDEX(SCORING!$C$35:$C$37,MATCH($L28,SCORING!$B$35:$B$37,0)),0)+IF($AP28="",0,IF(AND($AQ28="Valid",$AO28="Decision maker"),SCORING!$C$40,IF($AQ28="Valid",SCORING!$C$41,SCORING!$C$42))))</f>
        <v/>
      </c>
      <c r="BD28" s="36" t="str">
        <f aca="false">IF($BC28="","",IF($BC28&gt;=SCORING!$C$46,"A",IF($BC28&gt;=SCORING!$C$47,"B",IF($BC28&gt;=SCORING!$C$48,"C","D"))))</f>
        <v/>
      </c>
      <c r="BE28" s="37"/>
    </row>
    <row r="29" customFormat="false" ht="15" hidden="false" customHeight="false" outlineLevel="0" collapsed="false">
      <c r="A29" s="37"/>
      <c r="B29" s="38"/>
      <c r="C29" s="37"/>
      <c r="D29" s="37"/>
      <c r="E29" s="17"/>
      <c r="F29" s="17"/>
      <c r="G29" s="37"/>
      <c r="H29" s="32" t="str">
        <f aca="false">IF($G29="","",IFERROR(INDEX(LISTS!$P$3:$P$145,MATCH($G29,LISTS!$O$3:$O$145,0)),"Other"))</f>
        <v/>
      </c>
      <c r="I29" s="37"/>
      <c r="J29" s="17"/>
      <c r="K29" s="17"/>
      <c r="L29" s="37"/>
      <c r="M29" s="37"/>
      <c r="N29" s="39"/>
      <c r="O29" s="37"/>
      <c r="P29" s="39"/>
      <c r="Q29" s="37"/>
      <c r="R29" s="39"/>
      <c r="S29" s="17"/>
      <c r="T29" s="17"/>
      <c r="U29" s="37"/>
      <c r="V29" s="37"/>
      <c r="W29" s="17"/>
      <c r="X29" s="37"/>
      <c r="Y29" s="17"/>
      <c r="Z29" s="39"/>
      <c r="AA29" s="39"/>
      <c r="AB29" s="37"/>
      <c r="AC29" s="37"/>
      <c r="AD29" s="38"/>
      <c r="AE29" s="37"/>
      <c r="AF29" s="37"/>
      <c r="AG29" s="37"/>
      <c r="AH29" s="37"/>
      <c r="AI29" s="17"/>
      <c r="AJ29" s="37"/>
      <c r="AK29" s="17"/>
      <c r="AL29" s="39"/>
      <c r="AM29" s="17"/>
      <c r="AN29" s="17"/>
      <c r="AO29" s="37"/>
      <c r="AP29" s="17"/>
      <c r="AQ29" s="37"/>
      <c r="AR29" s="37"/>
      <c r="AS29" s="37"/>
      <c r="AT29" s="17"/>
      <c r="AU29" s="37"/>
      <c r="AV29" s="37"/>
      <c r="AW29" s="38"/>
      <c r="AX29" s="37"/>
      <c r="AY29" s="38"/>
      <c r="AZ29" s="34" t="str">
        <f aca="false">IF($E29="","",COUNTA($E29,$F29,$G29,$J29,$L29,$Q29,$U29,$X29,$AM29,$AN29,$AP29,$AR29)/12)</f>
        <v/>
      </c>
      <c r="BA29" s="32" t="str">
        <f aca="false">IF($E29="","",IF(COUNTIF($E$3:$E$402,$E29)&gt;1,"DUPLICATE",""))</f>
        <v/>
      </c>
      <c r="BB29" s="17"/>
      <c r="BC29" s="35" t="str">
        <f aca="false">IF($E29="","",IFERROR(INDEX(SCORING!$C$6:$C$15,MATCH($J29,SCORING!$B$6:$B$15,0)),0)+IFERROR(INDEX(SCORING!$C$18:$C$20,MATCH($U29,SCORING!$B$18:$B$20,0)),0)+IFERROR(INDEX(SCORING!$C$23:$C$26,MATCH($X29,SCORING!$B$23:$B$26,0)),0)+IFERROR(INDEX(SCORING!$C$29:$C$32,MATCH($Q29,SCORING!$B$29:$B$32,0)),0)+IFERROR(INDEX(SCORING!$C$35:$C$37,MATCH($L29,SCORING!$B$35:$B$37,0)),0)+IF($AP29="",0,IF(AND($AQ29="Valid",$AO29="Decision maker"),SCORING!$C$40,IF($AQ29="Valid",SCORING!$C$41,SCORING!$C$42))))</f>
        <v/>
      </c>
      <c r="BD29" s="36" t="str">
        <f aca="false">IF($BC29="","",IF($BC29&gt;=SCORING!$C$46,"A",IF($BC29&gt;=SCORING!$C$47,"B",IF($BC29&gt;=SCORING!$C$48,"C","D"))))</f>
        <v/>
      </c>
      <c r="BE29" s="37"/>
    </row>
    <row r="30" customFormat="false" ht="15" hidden="false" customHeight="false" outlineLevel="0" collapsed="false">
      <c r="A30" s="37"/>
      <c r="B30" s="38"/>
      <c r="C30" s="37"/>
      <c r="D30" s="37"/>
      <c r="E30" s="17"/>
      <c r="F30" s="17"/>
      <c r="G30" s="37"/>
      <c r="H30" s="32" t="str">
        <f aca="false">IF($G30="","",IFERROR(INDEX(LISTS!$P$3:$P$145,MATCH($G30,LISTS!$O$3:$O$145,0)),"Other"))</f>
        <v/>
      </c>
      <c r="I30" s="37"/>
      <c r="J30" s="17"/>
      <c r="K30" s="17"/>
      <c r="L30" s="37"/>
      <c r="M30" s="37"/>
      <c r="N30" s="39"/>
      <c r="O30" s="37"/>
      <c r="P30" s="39"/>
      <c r="Q30" s="37"/>
      <c r="R30" s="39"/>
      <c r="S30" s="17"/>
      <c r="T30" s="17"/>
      <c r="U30" s="37"/>
      <c r="V30" s="37"/>
      <c r="W30" s="17"/>
      <c r="X30" s="37"/>
      <c r="Y30" s="17"/>
      <c r="Z30" s="39"/>
      <c r="AA30" s="39"/>
      <c r="AB30" s="37"/>
      <c r="AC30" s="37"/>
      <c r="AD30" s="38"/>
      <c r="AE30" s="37"/>
      <c r="AF30" s="37"/>
      <c r="AG30" s="37"/>
      <c r="AH30" s="37"/>
      <c r="AI30" s="17"/>
      <c r="AJ30" s="37"/>
      <c r="AK30" s="17"/>
      <c r="AL30" s="39"/>
      <c r="AM30" s="17"/>
      <c r="AN30" s="17"/>
      <c r="AO30" s="37"/>
      <c r="AP30" s="17"/>
      <c r="AQ30" s="37"/>
      <c r="AR30" s="37"/>
      <c r="AS30" s="37"/>
      <c r="AT30" s="17"/>
      <c r="AU30" s="37"/>
      <c r="AV30" s="37"/>
      <c r="AW30" s="38"/>
      <c r="AX30" s="37"/>
      <c r="AY30" s="38"/>
      <c r="AZ30" s="34" t="str">
        <f aca="false">IF($E30="","",COUNTA($E30,$F30,$G30,$J30,$L30,$Q30,$U30,$X30,$AM30,$AN30,$AP30,$AR30)/12)</f>
        <v/>
      </c>
      <c r="BA30" s="32" t="str">
        <f aca="false">IF($E30="","",IF(COUNTIF($E$3:$E$402,$E30)&gt;1,"DUPLICATE",""))</f>
        <v/>
      </c>
      <c r="BB30" s="17"/>
      <c r="BC30" s="35" t="str">
        <f aca="false">IF($E30="","",IFERROR(INDEX(SCORING!$C$6:$C$15,MATCH($J30,SCORING!$B$6:$B$15,0)),0)+IFERROR(INDEX(SCORING!$C$18:$C$20,MATCH($U30,SCORING!$B$18:$B$20,0)),0)+IFERROR(INDEX(SCORING!$C$23:$C$26,MATCH($X30,SCORING!$B$23:$B$26,0)),0)+IFERROR(INDEX(SCORING!$C$29:$C$32,MATCH($Q30,SCORING!$B$29:$B$32,0)),0)+IFERROR(INDEX(SCORING!$C$35:$C$37,MATCH($L30,SCORING!$B$35:$B$37,0)),0)+IF($AP30="",0,IF(AND($AQ30="Valid",$AO30="Decision maker"),SCORING!$C$40,IF($AQ30="Valid",SCORING!$C$41,SCORING!$C$42))))</f>
        <v/>
      </c>
      <c r="BD30" s="36" t="str">
        <f aca="false">IF($BC30="","",IF($BC30&gt;=SCORING!$C$46,"A",IF($BC30&gt;=SCORING!$C$47,"B",IF($BC30&gt;=SCORING!$C$48,"C","D"))))</f>
        <v/>
      </c>
      <c r="BE30" s="37"/>
    </row>
    <row r="31" customFormat="false" ht="15" hidden="false" customHeight="false" outlineLevel="0" collapsed="false">
      <c r="A31" s="37"/>
      <c r="B31" s="38"/>
      <c r="C31" s="37"/>
      <c r="D31" s="37"/>
      <c r="E31" s="17"/>
      <c r="F31" s="17"/>
      <c r="G31" s="37"/>
      <c r="H31" s="32" t="str">
        <f aca="false">IF($G31="","",IFERROR(INDEX(LISTS!$P$3:$P$145,MATCH($G31,LISTS!$O$3:$O$145,0)),"Other"))</f>
        <v/>
      </c>
      <c r="I31" s="37"/>
      <c r="J31" s="17"/>
      <c r="K31" s="17"/>
      <c r="L31" s="37"/>
      <c r="M31" s="37"/>
      <c r="N31" s="39"/>
      <c r="O31" s="37"/>
      <c r="P31" s="39"/>
      <c r="Q31" s="37"/>
      <c r="R31" s="39"/>
      <c r="S31" s="17"/>
      <c r="T31" s="17"/>
      <c r="U31" s="37"/>
      <c r="V31" s="37"/>
      <c r="W31" s="17"/>
      <c r="X31" s="37"/>
      <c r="Y31" s="17"/>
      <c r="Z31" s="39"/>
      <c r="AA31" s="39"/>
      <c r="AB31" s="37"/>
      <c r="AC31" s="37"/>
      <c r="AD31" s="38"/>
      <c r="AE31" s="37"/>
      <c r="AF31" s="37"/>
      <c r="AG31" s="37"/>
      <c r="AH31" s="37"/>
      <c r="AI31" s="17"/>
      <c r="AJ31" s="37"/>
      <c r="AK31" s="17"/>
      <c r="AL31" s="39"/>
      <c r="AM31" s="17"/>
      <c r="AN31" s="17"/>
      <c r="AO31" s="37"/>
      <c r="AP31" s="17"/>
      <c r="AQ31" s="37"/>
      <c r="AR31" s="37"/>
      <c r="AS31" s="37"/>
      <c r="AT31" s="17"/>
      <c r="AU31" s="37"/>
      <c r="AV31" s="37"/>
      <c r="AW31" s="38"/>
      <c r="AX31" s="37"/>
      <c r="AY31" s="38"/>
      <c r="AZ31" s="34" t="str">
        <f aca="false">IF($E31="","",COUNTA($E31,$F31,$G31,$J31,$L31,$Q31,$U31,$X31,$AM31,$AN31,$AP31,$AR31)/12)</f>
        <v/>
      </c>
      <c r="BA31" s="32" t="str">
        <f aca="false">IF($E31="","",IF(COUNTIF($E$3:$E$402,$E31)&gt;1,"DUPLICATE",""))</f>
        <v/>
      </c>
      <c r="BB31" s="17"/>
      <c r="BC31" s="35" t="str">
        <f aca="false">IF($E31="","",IFERROR(INDEX(SCORING!$C$6:$C$15,MATCH($J31,SCORING!$B$6:$B$15,0)),0)+IFERROR(INDEX(SCORING!$C$18:$C$20,MATCH($U31,SCORING!$B$18:$B$20,0)),0)+IFERROR(INDEX(SCORING!$C$23:$C$26,MATCH($X31,SCORING!$B$23:$B$26,0)),0)+IFERROR(INDEX(SCORING!$C$29:$C$32,MATCH($Q31,SCORING!$B$29:$B$32,0)),0)+IFERROR(INDEX(SCORING!$C$35:$C$37,MATCH($L31,SCORING!$B$35:$B$37,0)),0)+IF($AP31="",0,IF(AND($AQ31="Valid",$AO31="Decision maker"),SCORING!$C$40,IF($AQ31="Valid",SCORING!$C$41,SCORING!$C$42))))</f>
        <v/>
      </c>
      <c r="BD31" s="36" t="str">
        <f aca="false">IF($BC31="","",IF($BC31&gt;=SCORING!$C$46,"A",IF($BC31&gt;=SCORING!$C$47,"B",IF($BC31&gt;=SCORING!$C$48,"C","D"))))</f>
        <v/>
      </c>
      <c r="BE31" s="37"/>
    </row>
    <row r="32" customFormat="false" ht="15" hidden="false" customHeight="false" outlineLevel="0" collapsed="false">
      <c r="A32" s="37"/>
      <c r="B32" s="38"/>
      <c r="C32" s="37"/>
      <c r="D32" s="37"/>
      <c r="E32" s="17"/>
      <c r="F32" s="17"/>
      <c r="G32" s="37"/>
      <c r="H32" s="32" t="str">
        <f aca="false">IF($G32="","",IFERROR(INDEX(LISTS!$P$3:$P$145,MATCH($G32,LISTS!$O$3:$O$145,0)),"Other"))</f>
        <v/>
      </c>
      <c r="I32" s="37"/>
      <c r="J32" s="17"/>
      <c r="K32" s="17"/>
      <c r="L32" s="37"/>
      <c r="M32" s="37"/>
      <c r="N32" s="39"/>
      <c r="O32" s="37"/>
      <c r="P32" s="39"/>
      <c r="Q32" s="37"/>
      <c r="R32" s="39"/>
      <c r="S32" s="17"/>
      <c r="T32" s="17"/>
      <c r="U32" s="37"/>
      <c r="V32" s="37"/>
      <c r="W32" s="17"/>
      <c r="X32" s="37"/>
      <c r="Y32" s="17"/>
      <c r="Z32" s="39"/>
      <c r="AA32" s="39"/>
      <c r="AB32" s="37"/>
      <c r="AC32" s="37"/>
      <c r="AD32" s="38"/>
      <c r="AE32" s="37"/>
      <c r="AF32" s="37"/>
      <c r="AG32" s="37"/>
      <c r="AH32" s="37"/>
      <c r="AI32" s="17"/>
      <c r="AJ32" s="37"/>
      <c r="AK32" s="17"/>
      <c r="AL32" s="39"/>
      <c r="AM32" s="17"/>
      <c r="AN32" s="17"/>
      <c r="AO32" s="37"/>
      <c r="AP32" s="17"/>
      <c r="AQ32" s="37"/>
      <c r="AR32" s="37"/>
      <c r="AS32" s="37"/>
      <c r="AT32" s="17"/>
      <c r="AU32" s="37"/>
      <c r="AV32" s="37"/>
      <c r="AW32" s="38"/>
      <c r="AX32" s="37"/>
      <c r="AY32" s="38"/>
      <c r="AZ32" s="34" t="str">
        <f aca="false">IF($E32="","",COUNTA($E32,$F32,$G32,$J32,$L32,$Q32,$U32,$X32,$AM32,$AN32,$AP32,$AR32)/12)</f>
        <v/>
      </c>
      <c r="BA32" s="32" t="str">
        <f aca="false">IF($E32="","",IF(COUNTIF($E$3:$E$402,$E32)&gt;1,"DUPLICATE",""))</f>
        <v/>
      </c>
      <c r="BB32" s="17"/>
      <c r="BC32" s="35" t="str">
        <f aca="false">IF($E32="","",IFERROR(INDEX(SCORING!$C$6:$C$15,MATCH($J32,SCORING!$B$6:$B$15,0)),0)+IFERROR(INDEX(SCORING!$C$18:$C$20,MATCH($U32,SCORING!$B$18:$B$20,0)),0)+IFERROR(INDEX(SCORING!$C$23:$C$26,MATCH($X32,SCORING!$B$23:$B$26,0)),0)+IFERROR(INDEX(SCORING!$C$29:$C$32,MATCH($Q32,SCORING!$B$29:$B$32,0)),0)+IFERROR(INDEX(SCORING!$C$35:$C$37,MATCH($L32,SCORING!$B$35:$B$37,0)),0)+IF($AP32="",0,IF(AND($AQ32="Valid",$AO32="Decision maker"),SCORING!$C$40,IF($AQ32="Valid",SCORING!$C$41,SCORING!$C$42))))</f>
        <v/>
      </c>
      <c r="BD32" s="36" t="str">
        <f aca="false">IF($BC32="","",IF($BC32&gt;=SCORING!$C$46,"A",IF($BC32&gt;=SCORING!$C$47,"B",IF($BC32&gt;=SCORING!$C$48,"C","D"))))</f>
        <v/>
      </c>
      <c r="BE32" s="37"/>
    </row>
    <row r="33" customFormat="false" ht="15" hidden="false" customHeight="false" outlineLevel="0" collapsed="false">
      <c r="A33" s="37"/>
      <c r="B33" s="38"/>
      <c r="C33" s="37"/>
      <c r="D33" s="37"/>
      <c r="E33" s="17"/>
      <c r="F33" s="17"/>
      <c r="G33" s="37"/>
      <c r="H33" s="32" t="str">
        <f aca="false">IF($G33="","",IFERROR(INDEX(LISTS!$P$3:$P$145,MATCH($G33,LISTS!$O$3:$O$145,0)),"Other"))</f>
        <v/>
      </c>
      <c r="I33" s="37"/>
      <c r="J33" s="17"/>
      <c r="K33" s="17"/>
      <c r="L33" s="37"/>
      <c r="M33" s="37"/>
      <c r="N33" s="39"/>
      <c r="O33" s="37"/>
      <c r="P33" s="39"/>
      <c r="Q33" s="37"/>
      <c r="R33" s="39"/>
      <c r="S33" s="17"/>
      <c r="T33" s="17"/>
      <c r="U33" s="37"/>
      <c r="V33" s="37"/>
      <c r="W33" s="17"/>
      <c r="X33" s="37"/>
      <c r="Y33" s="17"/>
      <c r="Z33" s="39"/>
      <c r="AA33" s="39"/>
      <c r="AB33" s="37"/>
      <c r="AC33" s="37"/>
      <c r="AD33" s="38"/>
      <c r="AE33" s="37"/>
      <c r="AF33" s="37"/>
      <c r="AG33" s="37"/>
      <c r="AH33" s="37"/>
      <c r="AI33" s="17"/>
      <c r="AJ33" s="37"/>
      <c r="AK33" s="17"/>
      <c r="AL33" s="39"/>
      <c r="AM33" s="17"/>
      <c r="AN33" s="17"/>
      <c r="AO33" s="37"/>
      <c r="AP33" s="17"/>
      <c r="AQ33" s="37"/>
      <c r="AR33" s="37"/>
      <c r="AS33" s="37"/>
      <c r="AT33" s="17"/>
      <c r="AU33" s="37"/>
      <c r="AV33" s="37"/>
      <c r="AW33" s="38"/>
      <c r="AX33" s="37"/>
      <c r="AY33" s="38"/>
      <c r="AZ33" s="34" t="str">
        <f aca="false">IF($E33="","",COUNTA($E33,$F33,$G33,$J33,$L33,$Q33,$U33,$X33,$AM33,$AN33,$AP33,$AR33)/12)</f>
        <v/>
      </c>
      <c r="BA33" s="32" t="str">
        <f aca="false">IF($E33="","",IF(COUNTIF($E$3:$E$402,$E33)&gt;1,"DUPLICATE",""))</f>
        <v/>
      </c>
      <c r="BB33" s="17"/>
      <c r="BC33" s="35" t="str">
        <f aca="false">IF($E33="","",IFERROR(INDEX(SCORING!$C$6:$C$15,MATCH($J33,SCORING!$B$6:$B$15,0)),0)+IFERROR(INDEX(SCORING!$C$18:$C$20,MATCH($U33,SCORING!$B$18:$B$20,0)),0)+IFERROR(INDEX(SCORING!$C$23:$C$26,MATCH($X33,SCORING!$B$23:$B$26,0)),0)+IFERROR(INDEX(SCORING!$C$29:$C$32,MATCH($Q33,SCORING!$B$29:$B$32,0)),0)+IFERROR(INDEX(SCORING!$C$35:$C$37,MATCH($L33,SCORING!$B$35:$B$37,0)),0)+IF($AP33="",0,IF(AND($AQ33="Valid",$AO33="Decision maker"),SCORING!$C$40,IF($AQ33="Valid",SCORING!$C$41,SCORING!$C$42))))</f>
        <v/>
      </c>
      <c r="BD33" s="36" t="str">
        <f aca="false">IF($BC33="","",IF($BC33&gt;=SCORING!$C$46,"A",IF($BC33&gt;=SCORING!$C$47,"B",IF($BC33&gt;=SCORING!$C$48,"C","D"))))</f>
        <v/>
      </c>
      <c r="BE33" s="37"/>
    </row>
    <row r="34" customFormat="false" ht="15" hidden="false" customHeight="false" outlineLevel="0" collapsed="false">
      <c r="A34" s="37"/>
      <c r="B34" s="38"/>
      <c r="C34" s="37"/>
      <c r="D34" s="37"/>
      <c r="E34" s="17"/>
      <c r="F34" s="17"/>
      <c r="G34" s="37"/>
      <c r="H34" s="32" t="str">
        <f aca="false">IF($G34="","",IFERROR(INDEX(LISTS!$P$3:$P$145,MATCH($G34,LISTS!$O$3:$O$145,0)),"Other"))</f>
        <v/>
      </c>
      <c r="I34" s="37"/>
      <c r="J34" s="17"/>
      <c r="K34" s="17"/>
      <c r="L34" s="37"/>
      <c r="M34" s="37"/>
      <c r="N34" s="39"/>
      <c r="O34" s="37"/>
      <c r="P34" s="39"/>
      <c r="Q34" s="37"/>
      <c r="R34" s="39"/>
      <c r="S34" s="17"/>
      <c r="T34" s="17"/>
      <c r="U34" s="37"/>
      <c r="V34" s="37"/>
      <c r="W34" s="17"/>
      <c r="X34" s="37"/>
      <c r="Y34" s="17"/>
      <c r="Z34" s="39"/>
      <c r="AA34" s="39"/>
      <c r="AB34" s="37"/>
      <c r="AC34" s="37"/>
      <c r="AD34" s="38"/>
      <c r="AE34" s="37"/>
      <c r="AF34" s="37"/>
      <c r="AG34" s="37"/>
      <c r="AH34" s="37"/>
      <c r="AI34" s="17"/>
      <c r="AJ34" s="37"/>
      <c r="AK34" s="17"/>
      <c r="AL34" s="39"/>
      <c r="AM34" s="17"/>
      <c r="AN34" s="17"/>
      <c r="AO34" s="37"/>
      <c r="AP34" s="17"/>
      <c r="AQ34" s="37"/>
      <c r="AR34" s="37"/>
      <c r="AS34" s="37"/>
      <c r="AT34" s="17"/>
      <c r="AU34" s="37"/>
      <c r="AV34" s="37"/>
      <c r="AW34" s="38"/>
      <c r="AX34" s="37"/>
      <c r="AY34" s="38"/>
      <c r="AZ34" s="34" t="str">
        <f aca="false">IF($E34="","",COUNTA($E34,$F34,$G34,$J34,$L34,$Q34,$U34,$X34,$AM34,$AN34,$AP34,$AR34)/12)</f>
        <v/>
      </c>
      <c r="BA34" s="32" t="str">
        <f aca="false">IF($E34="","",IF(COUNTIF($E$3:$E$402,$E34)&gt;1,"DUPLICATE",""))</f>
        <v/>
      </c>
      <c r="BB34" s="17"/>
      <c r="BC34" s="35" t="str">
        <f aca="false">IF($E34="","",IFERROR(INDEX(SCORING!$C$6:$C$15,MATCH($J34,SCORING!$B$6:$B$15,0)),0)+IFERROR(INDEX(SCORING!$C$18:$C$20,MATCH($U34,SCORING!$B$18:$B$20,0)),0)+IFERROR(INDEX(SCORING!$C$23:$C$26,MATCH($X34,SCORING!$B$23:$B$26,0)),0)+IFERROR(INDEX(SCORING!$C$29:$C$32,MATCH($Q34,SCORING!$B$29:$B$32,0)),0)+IFERROR(INDEX(SCORING!$C$35:$C$37,MATCH($L34,SCORING!$B$35:$B$37,0)),0)+IF($AP34="",0,IF(AND($AQ34="Valid",$AO34="Decision maker"),SCORING!$C$40,IF($AQ34="Valid",SCORING!$C$41,SCORING!$C$42))))</f>
        <v/>
      </c>
      <c r="BD34" s="36" t="str">
        <f aca="false">IF($BC34="","",IF($BC34&gt;=SCORING!$C$46,"A",IF($BC34&gt;=SCORING!$C$47,"B",IF($BC34&gt;=SCORING!$C$48,"C","D"))))</f>
        <v/>
      </c>
      <c r="BE34" s="37"/>
    </row>
    <row r="35" customFormat="false" ht="15" hidden="false" customHeight="false" outlineLevel="0" collapsed="false">
      <c r="A35" s="37"/>
      <c r="B35" s="38"/>
      <c r="C35" s="37"/>
      <c r="D35" s="37"/>
      <c r="E35" s="17"/>
      <c r="F35" s="17"/>
      <c r="G35" s="37"/>
      <c r="H35" s="32" t="str">
        <f aca="false">IF($G35="","",IFERROR(INDEX(LISTS!$P$3:$P$145,MATCH($G35,LISTS!$O$3:$O$145,0)),"Other"))</f>
        <v/>
      </c>
      <c r="I35" s="37"/>
      <c r="J35" s="17"/>
      <c r="K35" s="17"/>
      <c r="L35" s="37"/>
      <c r="M35" s="37"/>
      <c r="N35" s="39"/>
      <c r="O35" s="37"/>
      <c r="P35" s="39"/>
      <c r="Q35" s="37"/>
      <c r="R35" s="39"/>
      <c r="S35" s="17"/>
      <c r="T35" s="17"/>
      <c r="U35" s="37"/>
      <c r="V35" s="37"/>
      <c r="W35" s="17"/>
      <c r="X35" s="37"/>
      <c r="Y35" s="17"/>
      <c r="Z35" s="39"/>
      <c r="AA35" s="39"/>
      <c r="AB35" s="37"/>
      <c r="AC35" s="37"/>
      <c r="AD35" s="38"/>
      <c r="AE35" s="37"/>
      <c r="AF35" s="37"/>
      <c r="AG35" s="37"/>
      <c r="AH35" s="37"/>
      <c r="AI35" s="17"/>
      <c r="AJ35" s="37"/>
      <c r="AK35" s="17"/>
      <c r="AL35" s="39"/>
      <c r="AM35" s="17"/>
      <c r="AN35" s="17"/>
      <c r="AO35" s="37"/>
      <c r="AP35" s="17"/>
      <c r="AQ35" s="37"/>
      <c r="AR35" s="37"/>
      <c r="AS35" s="37"/>
      <c r="AT35" s="17"/>
      <c r="AU35" s="37"/>
      <c r="AV35" s="37"/>
      <c r="AW35" s="38"/>
      <c r="AX35" s="37"/>
      <c r="AY35" s="38"/>
      <c r="AZ35" s="34" t="str">
        <f aca="false">IF($E35="","",COUNTA($E35,$F35,$G35,$J35,$L35,$Q35,$U35,$X35,$AM35,$AN35,$AP35,$AR35)/12)</f>
        <v/>
      </c>
      <c r="BA35" s="32" t="str">
        <f aca="false">IF($E35="","",IF(COUNTIF($E$3:$E$402,$E35)&gt;1,"DUPLICATE",""))</f>
        <v/>
      </c>
      <c r="BB35" s="17"/>
      <c r="BC35" s="35" t="str">
        <f aca="false">IF($E35="","",IFERROR(INDEX(SCORING!$C$6:$C$15,MATCH($J35,SCORING!$B$6:$B$15,0)),0)+IFERROR(INDEX(SCORING!$C$18:$C$20,MATCH($U35,SCORING!$B$18:$B$20,0)),0)+IFERROR(INDEX(SCORING!$C$23:$C$26,MATCH($X35,SCORING!$B$23:$B$26,0)),0)+IFERROR(INDEX(SCORING!$C$29:$C$32,MATCH($Q35,SCORING!$B$29:$B$32,0)),0)+IFERROR(INDEX(SCORING!$C$35:$C$37,MATCH($L35,SCORING!$B$35:$B$37,0)),0)+IF($AP35="",0,IF(AND($AQ35="Valid",$AO35="Decision maker"),SCORING!$C$40,IF($AQ35="Valid",SCORING!$C$41,SCORING!$C$42))))</f>
        <v/>
      </c>
      <c r="BD35" s="36" t="str">
        <f aca="false">IF($BC35="","",IF($BC35&gt;=SCORING!$C$46,"A",IF($BC35&gt;=SCORING!$C$47,"B",IF($BC35&gt;=SCORING!$C$48,"C","D"))))</f>
        <v/>
      </c>
      <c r="BE35" s="37"/>
    </row>
    <row r="36" customFormat="false" ht="15" hidden="false" customHeight="false" outlineLevel="0" collapsed="false">
      <c r="A36" s="37"/>
      <c r="B36" s="38"/>
      <c r="C36" s="37"/>
      <c r="D36" s="37"/>
      <c r="E36" s="17"/>
      <c r="F36" s="17"/>
      <c r="G36" s="37"/>
      <c r="H36" s="32" t="str">
        <f aca="false">IF($G36="","",IFERROR(INDEX(LISTS!$P$3:$P$145,MATCH($G36,LISTS!$O$3:$O$145,0)),"Other"))</f>
        <v/>
      </c>
      <c r="I36" s="37"/>
      <c r="J36" s="17"/>
      <c r="K36" s="17"/>
      <c r="L36" s="37"/>
      <c r="M36" s="37"/>
      <c r="N36" s="39"/>
      <c r="O36" s="37"/>
      <c r="P36" s="39"/>
      <c r="Q36" s="37"/>
      <c r="R36" s="39"/>
      <c r="S36" s="17"/>
      <c r="T36" s="17"/>
      <c r="U36" s="37"/>
      <c r="V36" s="37"/>
      <c r="W36" s="17"/>
      <c r="X36" s="37"/>
      <c r="Y36" s="17"/>
      <c r="Z36" s="39"/>
      <c r="AA36" s="39"/>
      <c r="AB36" s="37"/>
      <c r="AC36" s="37"/>
      <c r="AD36" s="38"/>
      <c r="AE36" s="37"/>
      <c r="AF36" s="37"/>
      <c r="AG36" s="37"/>
      <c r="AH36" s="37"/>
      <c r="AI36" s="17"/>
      <c r="AJ36" s="37"/>
      <c r="AK36" s="17"/>
      <c r="AL36" s="39"/>
      <c r="AM36" s="17"/>
      <c r="AN36" s="17"/>
      <c r="AO36" s="37"/>
      <c r="AP36" s="17"/>
      <c r="AQ36" s="37"/>
      <c r="AR36" s="37"/>
      <c r="AS36" s="37"/>
      <c r="AT36" s="17"/>
      <c r="AU36" s="37"/>
      <c r="AV36" s="37"/>
      <c r="AW36" s="38"/>
      <c r="AX36" s="37"/>
      <c r="AY36" s="38"/>
      <c r="AZ36" s="34" t="str">
        <f aca="false">IF($E36="","",COUNTA($E36,$F36,$G36,$J36,$L36,$Q36,$U36,$X36,$AM36,$AN36,$AP36,$AR36)/12)</f>
        <v/>
      </c>
      <c r="BA36" s="32" t="str">
        <f aca="false">IF($E36="","",IF(COUNTIF($E$3:$E$402,$E36)&gt;1,"DUPLICATE",""))</f>
        <v/>
      </c>
      <c r="BB36" s="17"/>
      <c r="BC36" s="35" t="str">
        <f aca="false">IF($E36="","",IFERROR(INDEX(SCORING!$C$6:$C$15,MATCH($J36,SCORING!$B$6:$B$15,0)),0)+IFERROR(INDEX(SCORING!$C$18:$C$20,MATCH($U36,SCORING!$B$18:$B$20,0)),0)+IFERROR(INDEX(SCORING!$C$23:$C$26,MATCH($X36,SCORING!$B$23:$B$26,0)),0)+IFERROR(INDEX(SCORING!$C$29:$C$32,MATCH($Q36,SCORING!$B$29:$B$32,0)),0)+IFERROR(INDEX(SCORING!$C$35:$C$37,MATCH($L36,SCORING!$B$35:$B$37,0)),0)+IF($AP36="",0,IF(AND($AQ36="Valid",$AO36="Decision maker"),SCORING!$C$40,IF($AQ36="Valid",SCORING!$C$41,SCORING!$C$42))))</f>
        <v/>
      </c>
      <c r="BD36" s="36" t="str">
        <f aca="false">IF($BC36="","",IF($BC36&gt;=SCORING!$C$46,"A",IF($BC36&gt;=SCORING!$C$47,"B",IF($BC36&gt;=SCORING!$C$48,"C","D"))))</f>
        <v/>
      </c>
      <c r="BE36" s="37"/>
    </row>
    <row r="37" customFormat="false" ht="15" hidden="false" customHeight="false" outlineLevel="0" collapsed="false">
      <c r="A37" s="37"/>
      <c r="B37" s="38"/>
      <c r="C37" s="37"/>
      <c r="D37" s="37"/>
      <c r="E37" s="17"/>
      <c r="F37" s="17"/>
      <c r="G37" s="37"/>
      <c r="H37" s="32" t="str">
        <f aca="false">IF($G37="","",IFERROR(INDEX(LISTS!$P$3:$P$145,MATCH($G37,LISTS!$O$3:$O$145,0)),"Other"))</f>
        <v/>
      </c>
      <c r="I37" s="37"/>
      <c r="J37" s="17"/>
      <c r="K37" s="17"/>
      <c r="L37" s="37"/>
      <c r="M37" s="37"/>
      <c r="N37" s="39"/>
      <c r="O37" s="37"/>
      <c r="P37" s="39"/>
      <c r="Q37" s="37"/>
      <c r="R37" s="39"/>
      <c r="S37" s="17"/>
      <c r="T37" s="17"/>
      <c r="U37" s="37"/>
      <c r="V37" s="37"/>
      <c r="W37" s="17"/>
      <c r="X37" s="37"/>
      <c r="Y37" s="17"/>
      <c r="Z37" s="39"/>
      <c r="AA37" s="39"/>
      <c r="AB37" s="37"/>
      <c r="AC37" s="37"/>
      <c r="AD37" s="38"/>
      <c r="AE37" s="37"/>
      <c r="AF37" s="37"/>
      <c r="AG37" s="37"/>
      <c r="AH37" s="37"/>
      <c r="AI37" s="17"/>
      <c r="AJ37" s="37"/>
      <c r="AK37" s="17"/>
      <c r="AL37" s="39"/>
      <c r="AM37" s="17"/>
      <c r="AN37" s="17"/>
      <c r="AO37" s="37"/>
      <c r="AP37" s="17"/>
      <c r="AQ37" s="37"/>
      <c r="AR37" s="37"/>
      <c r="AS37" s="37"/>
      <c r="AT37" s="17"/>
      <c r="AU37" s="37"/>
      <c r="AV37" s="37"/>
      <c r="AW37" s="38"/>
      <c r="AX37" s="37"/>
      <c r="AY37" s="38"/>
      <c r="AZ37" s="34" t="str">
        <f aca="false">IF($E37="","",COUNTA($E37,$F37,$G37,$J37,$L37,$Q37,$U37,$X37,$AM37,$AN37,$AP37,$AR37)/12)</f>
        <v/>
      </c>
      <c r="BA37" s="32" t="str">
        <f aca="false">IF($E37="","",IF(COUNTIF($E$3:$E$402,$E37)&gt;1,"DUPLICATE",""))</f>
        <v/>
      </c>
      <c r="BB37" s="17"/>
      <c r="BC37" s="35" t="str">
        <f aca="false">IF($E37="","",IFERROR(INDEX(SCORING!$C$6:$C$15,MATCH($J37,SCORING!$B$6:$B$15,0)),0)+IFERROR(INDEX(SCORING!$C$18:$C$20,MATCH($U37,SCORING!$B$18:$B$20,0)),0)+IFERROR(INDEX(SCORING!$C$23:$C$26,MATCH($X37,SCORING!$B$23:$B$26,0)),0)+IFERROR(INDEX(SCORING!$C$29:$C$32,MATCH($Q37,SCORING!$B$29:$B$32,0)),0)+IFERROR(INDEX(SCORING!$C$35:$C$37,MATCH($L37,SCORING!$B$35:$B$37,0)),0)+IF($AP37="",0,IF(AND($AQ37="Valid",$AO37="Decision maker"),SCORING!$C$40,IF($AQ37="Valid",SCORING!$C$41,SCORING!$C$42))))</f>
        <v/>
      </c>
      <c r="BD37" s="36" t="str">
        <f aca="false">IF($BC37="","",IF($BC37&gt;=SCORING!$C$46,"A",IF($BC37&gt;=SCORING!$C$47,"B",IF($BC37&gt;=SCORING!$C$48,"C","D"))))</f>
        <v/>
      </c>
      <c r="BE37" s="37"/>
    </row>
    <row r="38" customFormat="false" ht="15" hidden="false" customHeight="false" outlineLevel="0" collapsed="false">
      <c r="A38" s="37"/>
      <c r="B38" s="38"/>
      <c r="C38" s="37"/>
      <c r="D38" s="37"/>
      <c r="E38" s="17"/>
      <c r="F38" s="17"/>
      <c r="G38" s="37"/>
      <c r="H38" s="32" t="str">
        <f aca="false">IF($G38="","",IFERROR(INDEX(LISTS!$P$3:$P$145,MATCH($G38,LISTS!$O$3:$O$145,0)),"Other"))</f>
        <v/>
      </c>
      <c r="I38" s="37"/>
      <c r="J38" s="17"/>
      <c r="K38" s="17"/>
      <c r="L38" s="37"/>
      <c r="M38" s="37"/>
      <c r="N38" s="39"/>
      <c r="O38" s="37"/>
      <c r="P38" s="39"/>
      <c r="Q38" s="37"/>
      <c r="R38" s="39"/>
      <c r="S38" s="17"/>
      <c r="T38" s="17"/>
      <c r="U38" s="37"/>
      <c r="V38" s="37"/>
      <c r="W38" s="17"/>
      <c r="X38" s="37"/>
      <c r="Y38" s="17"/>
      <c r="Z38" s="39"/>
      <c r="AA38" s="39"/>
      <c r="AB38" s="37"/>
      <c r="AC38" s="37"/>
      <c r="AD38" s="38"/>
      <c r="AE38" s="37"/>
      <c r="AF38" s="37"/>
      <c r="AG38" s="37"/>
      <c r="AH38" s="37"/>
      <c r="AI38" s="17"/>
      <c r="AJ38" s="37"/>
      <c r="AK38" s="17"/>
      <c r="AL38" s="39"/>
      <c r="AM38" s="17"/>
      <c r="AN38" s="17"/>
      <c r="AO38" s="37"/>
      <c r="AP38" s="17"/>
      <c r="AQ38" s="37"/>
      <c r="AR38" s="37"/>
      <c r="AS38" s="37"/>
      <c r="AT38" s="17"/>
      <c r="AU38" s="37"/>
      <c r="AV38" s="37"/>
      <c r="AW38" s="38"/>
      <c r="AX38" s="37"/>
      <c r="AY38" s="38"/>
      <c r="AZ38" s="34" t="str">
        <f aca="false">IF($E38="","",COUNTA($E38,$F38,$G38,$J38,$L38,$Q38,$U38,$X38,$AM38,$AN38,$AP38,$AR38)/12)</f>
        <v/>
      </c>
      <c r="BA38" s="32" t="str">
        <f aca="false">IF($E38="","",IF(COUNTIF($E$3:$E$402,$E38)&gt;1,"DUPLICATE",""))</f>
        <v/>
      </c>
      <c r="BB38" s="17"/>
      <c r="BC38" s="35" t="str">
        <f aca="false">IF($E38="","",IFERROR(INDEX(SCORING!$C$6:$C$15,MATCH($J38,SCORING!$B$6:$B$15,0)),0)+IFERROR(INDEX(SCORING!$C$18:$C$20,MATCH($U38,SCORING!$B$18:$B$20,0)),0)+IFERROR(INDEX(SCORING!$C$23:$C$26,MATCH($X38,SCORING!$B$23:$B$26,0)),0)+IFERROR(INDEX(SCORING!$C$29:$C$32,MATCH($Q38,SCORING!$B$29:$B$32,0)),0)+IFERROR(INDEX(SCORING!$C$35:$C$37,MATCH($L38,SCORING!$B$35:$B$37,0)),0)+IF($AP38="",0,IF(AND($AQ38="Valid",$AO38="Decision maker"),SCORING!$C$40,IF($AQ38="Valid",SCORING!$C$41,SCORING!$C$42))))</f>
        <v/>
      </c>
      <c r="BD38" s="36" t="str">
        <f aca="false">IF($BC38="","",IF($BC38&gt;=SCORING!$C$46,"A",IF($BC38&gt;=SCORING!$C$47,"B",IF($BC38&gt;=SCORING!$C$48,"C","D"))))</f>
        <v/>
      </c>
      <c r="BE38" s="37"/>
    </row>
    <row r="39" customFormat="false" ht="15" hidden="false" customHeight="false" outlineLevel="0" collapsed="false">
      <c r="A39" s="37"/>
      <c r="B39" s="38"/>
      <c r="C39" s="37"/>
      <c r="D39" s="37"/>
      <c r="E39" s="17"/>
      <c r="F39" s="17"/>
      <c r="G39" s="37"/>
      <c r="H39" s="32" t="str">
        <f aca="false">IF($G39="","",IFERROR(INDEX(LISTS!$P$3:$P$145,MATCH($G39,LISTS!$O$3:$O$145,0)),"Other"))</f>
        <v/>
      </c>
      <c r="I39" s="37"/>
      <c r="J39" s="17"/>
      <c r="K39" s="17"/>
      <c r="L39" s="37"/>
      <c r="M39" s="37"/>
      <c r="N39" s="39"/>
      <c r="O39" s="37"/>
      <c r="P39" s="39"/>
      <c r="Q39" s="37"/>
      <c r="R39" s="39"/>
      <c r="S39" s="17"/>
      <c r="T39" s="17"/>
      <c r="U39" s="37"/>
      <c r="V39" s="37"/>
      <c r="W39" s="17"/>
      <c r="X39" s="37"/>
      <c r="Y39" s="17"/>
      <c r="Z39" s="39"/>
      <c r="AA39" s="39"/>
      <c r="AB39" s="37"/>
      <c r="AC39" s="37"/>
      <c r="AD39" s="38"/>
      <c r="AE39" s="37"/>
      <c r="AF39" s="37"/>
      <c r="AG39" s="37"/>
      <c r="AH39" s="37"/>
      <c r="AI39" s="17"/>
      <c r="AJ39" s="37"/>
      <c r="AK39" s="17"/>
      <c r="AL39" s="39"/>
      <c r="AM39" s="17"/>
      <c r="AN39" s="17"/>
      <c r="AO39" s="37"/>
      <c r="AP39" s="17"/>
      <c r="AQ39" s="37"/>
      <c r="AR39" s="37"/>
      <c r="AS39" s="37"/>
      <c r="AT39" s="17"/>
      <c r="AU39" s="37"/>
      <c r="AV39" s="37"/>
      <c r="AW39" s="38"/>
      <c r="AX39" s="37"/>
      <c r="AY39" s="38"/>
      <c r="AZ39" s="34" t="str">
        <f aca="false">IF($E39="","",COUNTA($E39,$F39,$G39,$J39,$L39,$Q39,$U39,$X39,$AM39,$AN39,$AP39,$AR39)/12)</f>
        <v/>
      </c>
      <c r="BA39" s="32" t="str">
        <f aca="false">IF($E39="","",IF(COUNTIF($E$3:$E$402,$E39)&gt;1,"DUPLICATE",""))</f>
        <v/>
      </c>
      <c r="BB39" s="17"/>
      <c r="BC39" s="35" t="str">
        <f aca="false">IF($E39="","",IFERROR(INDEX(SCORING!$C$6:$C$15,MATCH($J39,SCORING!$B$6:$B$15,0)),0)+IFERROR(INDEX(SCORING!$C$18:$C$20,MATCH($U39,SCORING!$B$18:$B$20,0)),0)+IFERROR(INDEX(SCORING!$C$23:$C$26,MATCH($X39,SCORING!$B$23:$B$26,0)),0)+IFERROR(INDEX(SCORING!$C$29:$C$32,MATCH($Q39,SCORING!$B$29:$B$32,0)),0)+IFERROR(INDEX(SCORING!$C$35:$C$37,MATCH($L39,SCORING!$B$35:$B$37,0)),0)+IF($AP39="",0,IF(AND($AQ39="Valid",$AO39="Decision maker"),SCORING!$C$40,IF($AQ39="Valid",SCORING!$C$41,SCORING!$C$42))))</f>
        <v/>
      </c>
      <c r="BD39" s="36" t="str">
        <f aca="false">IF($BC39="","",IF($BC39&gt;=SCORING!$C$46,"A",IF($BC39&gt;=SCORING!$C$47,"B",IF($BC39&gt;=SCORING!$C$48,"C","D"))))</f>
        <v/>
      </c>
      <c r="BE39" s="37"/>
    </row>
    <row r="40" customFormat="false" ht="15" hidden="false" customHeight="false" outlineLevel="0" collapsed="false">
      <c r="A40" s="37"/>
      <c r="B40" s="38"/>
      <c r="C40" s="37"/>
      <c r="D40" s="37"/>
      <c r="E40" s="17"/>
      <c r="F40" s="17"/>
      <c r="G40" s="37"/>
      <c r="H40" s="32" t="str">
        <f aca="false">IF($G40="","",IFERROR(INDEX(LISTS!$P$3:$P$145,MATCH($G40,LISTS!$O$3:$O$145,0)),"Other"))</f>
        <v/>
      </c>
      <c r="I40" s="37"/>
      <c r="J40" s="17"/>
      <c r="K40" s="17"/>
      <c r="L40" s="37"/>
      <c r="M40" s="37"/>
      <c r="N40" s="39"/>
      <c r="O40" s="37"/>
      <c r="P40" s="39"/>
      <c r="Q40" s="37"/>
      <c r="R40" s="39"/>
      <c r="S40" s="17"/>
      <c r="T40" s="17"/>
      <c r="U40" s="37"/>
      <c r="V40" s="37"/>
      <c r="W40" s="17"/>
      <c r="X40" s="37"/>
      <c r="Y40" s="17"/>
      <c r="Z40" s="39"/>
      <c r="AA40" s="39"/>
      <c r="AB40" s="37"/>
      <c r="AC40" s="37"/>
      <c r="AD40" s="38"/>
      <c r="AE40" s="37"/>
      <c r="AF40" s="37"/>
      <c r="AG40" s="37"/>
      <c r="AH40" s="37"/>
      <c r="AI40" s="17"/>
      <c r="AJ40" s="37"/>
      <c r="AK40" s="17"/>
      <c r="AL40" s="39"/>
      <c r="AM40" s="17"/>
      <c r="AN40" s="17"/>
      <c r="AO40" s="37"/>
      <c r="AP40" s="17"/>
      <c r="AQ40" s="37"/>
      <c r="AR40" s="37"/>
      <c r="AS40" s="37"/>
      <c r="AT40" s="17"/>
      <c r="AU40" s="37"/>
      <c r="AV40" s="37"/>
      <c r="AW40" s="38"/>
      <c r="AX40" s="37"/>
      <c r="AY40" s="38"/>
      <c r="AZ40" s="34" t="str">
        <f aca="false">IF($E40="","",COUNTA($E40,$F40,$G40,$J40,$L40,$Q40,$U40,$X40,$AM40,$AN40,$AP40,$AR40)/12)</f>
        <v/>
      </c>
      <c r="BA40" s="32" t="str">
        <f aca="false">IF($E40="","",IF(COUNTIF($E$3:$E$402,$E40)&gt;1,"DUPLICATE",""))</f>
        <v/>
      </c>
      <c r="BB40" s="17"/>
      <c r="BC40" s="35" t="str">
        <f aca="false">IF($E40="","",IFERROR(INDEX(SCORING!$C$6:$C$15,MATCH($J40,SCORING!$B$6:$B$15,0)),0)+IFERROR(INDEX(SCORING!$C$18:$C$20,MATCH($U40,SCORING!$B$18:$B$20,0)),0)+IFERROR(INDEX(SCORING!$C$23:$C$26,MATCH($X40,SCORING!$B$23:$B$26,0)),0)+IFERROR(INDEX(SCORING!$C$29:$C$32,MATCH($Q40,SCORING!$B$29:$B$32,0)),0)+IFERROR(INDEX(SCORING!$C$35:$C$37,MATCH($L40,SCORING!$B$35:$B$37,0)),0)+IF($AP40="",0,IF(AND($AQ40="Valid",$AO40="Decision maker"),SCORING!$C$40,IF($AQ40="Valid",SCORING!$C$41,SCORING!$C$42))))</f>
        <v/>
      </c>
      <c r="BD40" s="36" t="str">
        <f aca="false">IF($BC40="","",IF($BC40&gt;=SCORING!$C$46,"A",IF($BC40&gt;=SCORING!$C$47,"B",IF($BC40&gt;=SCORING!$C$48,"C","D"))))</f>
        <v/>
      </c>
      <c r="BE40" s="37"/>
    </row>
    <row r="41" customFormat="false" ht="15" hidden="false" customHeight="false" outlineLevel="0" collapsed="false">
      <c r="A41" s="37"/>
      <c r="B41" s="38"/>
      <c r="C41" s="37"/>
      <c r="D41" s="37"/>
      <c r="E41" s="17"/>
      <c r="F41" s="17"/>
      <c r="G41" s="37"/>
      <c r="H41" s="32" t="str">
        <f aca="false">IF($G41="","",IFERROR(INDEX(LISTS!$P$3:$P$145,MATCH($G41,LISTS!$O$3:$O$145,0)),"Other"))</f>
        <v/>
      </c>
      <c r="I41" s="37"/>
      <c r="J41" s="17"/>
      <c r="K41" s="17"/>
      <c r="L41" s="37"/>
      <c r="M41" s="37"/>
      <c r="N41" s="39"/>
      <c r="O41" s="37"/>
      <c r="P41" s="39"/>
      <c r="Q41" s="37"/>
      <c r="R41" s="39"/>
      <c r="S41" s="17"/>
      <c r="T41" s="17"/>
      <c r="U41" s="37"/>
      <c r="V41" s="37"/>
      <c r="W41" s="17"/>
      <c r="X41" s="37"/>
      <c r="Y41" s="17"/>
      <c r="Z41" s="39"/>
      <c r="AA41" s="39"/>
      <c r="AB41" s="37"/>
      <c r="AC41" s="37"/>
      <c r="AD41" s="38"/>
      <c r="AE41" s="37"/>
      <c r="AF41" s="37"/>
      <c r="AG41" s="37"/>
      <c r="AH41" s="37"/>
      <c r="AI41" s="17"/>
      <c r="AJ41" s="37"/>
      <c r="AK41" s="17"/>
      <c r="AL41" s="39"/>
      <c r="AM41" s="17"/>
      <c r="AN41" s="17"/>
      <c r="AO41" s="37"/>
      <c r="AP41" s="17"/>
      <c r="AQ41" s="37"/>
      <c r="AR41" s="37"/>
      <c r="AS41" s="37"/>
      <c r="AT41" s="17"/>
      <c r="AU41" s="37"/>
      <c r="AV41" s="37"/>
      <c r="AW41" s="38"/>
      <c r="AX41" s="37"/>
      <c r="AY41" s="38"/>
      <c r="AZ41" s="34" t="str">
        <f aca="false">IF($E41="","",COUNTA($E41,$F41,$G41,$J41,$L41,$Q41,$U41,$X41,$AM41,$AN41,$AP41,$AR41)/12)</f>
        <v/>
      </c>
      <c r="BA41" s="32" t="str">
        <f aca="false">IF($E41="","",IF(COUNTIF($E$3:$E$402,$E41)&gt;1,"DUPLICATE",""))</f>
        <v/>
      </c>
      <c r="BB41" s="17"/>
      <c r="BC41" s="35" t="str">
        <f aca="false">IF($E41="","",IFERROR(INDEX(SCORING!$C$6:$C$15,MATCH($J41,SCORING!$B$6:$B$15,0)),0)+IFERROR(INDEX(SCORING!$C$18:$C$20,MATCH($U41,SCORING!$B$18:$B$20,0)),0)+IFERROR(INDEX(SCORING!$C$23:$C$26,MATCH($X41,SCORING!$B$23:$B$26,0)),0)+IFERROR(INDEX(SCORING!$C$29:$C$32,MATCH($Q41,SCORING!$B$29:$B$32,0)),0)+IFERROR(INDEX(SCORING!$C$35:$C$37,MATCH($L41,SCORING!$B$35:$B$37,0)),0)+IF($AP41="",0,IF(AND($AQ41="Valid",$AO41="Decision maker"),SCORING!$C$40,IF($AQ41="Valid",SCORING!$C$41,SCORING!$C$42))))</f>
        <v/>
      </c>
      <c r="BD41" s="36" t="str">
        <f aca="false">IF($BC41="","",IF($BC41&gt;=SCORING!$C$46,"A",IF($BC41&gt;=SCORING!$C$47,"B",IF($BC41&gt;=SCORING!$C$48,"C","D"))))</f>
        <v/>
      </c>
      <c r="BE41" s="37"/>
    </row>
    <row r="42" customFormat="false" ht="15" hidden="false" customHeight="false" outlineLevel="0" collapsed="false">
      <c r="A42" s="37"/>
      <c r="B42" s="38"/>
      <c r="C42" s="37"/>
      <c r="D42" s="37"/>
      <c r="E42" s="17"/>
      <c r="F42" s="17"/>
      <c r="G42" s="37"/>
      <c r="H42" s="32" t="str">
        <f aca="false">IF($G42="","",IFERROR(INDEX(LISTS!$P$3:$P$145,MATCH($G42,LISTS!$O$3:$O$145,0)),"Other"))</f>
        <v/>
      </c>
      <c r="I42" s="37"/>
      <c r="J42" s="17"/>
      <c r="K42" s="17"/>
      <c r="L42" s="37"/>
      <c r="M42" s="37"/>
      <c r="N42" s="39"/>
      <c r="O42" s="37"/>
      <c r="P42" s="39"/>
      <c r="Q42" s="37"/>
      <c r="R42" s="39"/>
      <c r="S42" s="17"/>
      <c r="T42" s="17"/>
      <c r="U42" s="37"/>
      <c r="V42" s="37"/>
      <c r="W42" s="17"/>
      <c r="X42" s="37"/>
      <c r="Y42" s="17"/>
      <c r="Z42" s="39"/>
      <c r="AA42" s="39"/>
      <c r="AB42" s="37"/>
      <c r="AC42" s="37"/>
      <c r="AD42" s="38"/>
      <c r="AE42" s="37"/>
      <c r="AF42" s="37"/>
      <c r="AG42" s="37"/>
      <c r="AH42" s="37"/>
      <c r="AI42" s="17"/>
      <c r="AJ42" s="37"/>
      <c r="AK42" s="17"/>
      <c r="AL42" s="39"/>
      <c r="AM42" s="17"/>
      <c r="AN42" s="17"/>
      <c r="AO42" s="37"/>
      <c r="AP42" s="17"/>
      <c r="AQ42" s="37"/>
      <c r="AR42" s="37"/>
      <c r="AS42" s="37"/>
      <c r="AT42" s="17"/>
      <c r="AU42" s="37"/>
      <c r="AV42" s="37"/>
      <c r="AW42" s="38"/>
      <c r="AX42" s="37"/>
      <c r="AY42" s="38"/>
      <c r="AZ42" s="34" t="str">
        <f aca="false">IF($E42="","",COUNTA($E42,$F42,$G42,$J42,$L42,$Q42,$U42,$X42,$AM42,$AN42,$AP42,$AR42)/12)</f>
        <v/>
      </c>
      <c r="BA42" s="32" t="str">
        <f aca="false">IF($E42="","",IF(COUNTIF($E$3:$E$402,$E42)&gt;1,"DUPLICATE",""))</f>
        <v/>
      </c>
      <c r="BB42" s="17"/>
      <c r="BC42" s="35" t="str">
        <f aca="false">IF($E42="","",IFERROR(INDEX(SCORING!$C$6:$C$15,MATCH($J42,SCORING!$B$6:$B$15,0)),0)+IFERROR(INDEX(SCORING!$C$18:$C$20,MATCH($U42,SCORING!$B$18:$B$20,0)),0)+IFERROR(INDEX(SCORING!$C$23:$C$26,MATCH($X42,SCORING!$B$23:$B$26,0)),0)+IFERROR(INDEX(SCORING!$C$29:$C$32,MATCH($Q42,SCORING!$B$29:$B$32,0)),0)+IFERROR(INDEX(SCORING!$C$35:$C$37,MATCH($L42,SCORING!$B$35:$B$37,0)),0)+IF($AP42="",0,IF(AND($AQ42="Valid",$AO42="Decision maker"),SCORING!$C$40,IF($AQ42="Valid",SCORING!$C$41,SCORING!$C$42))))</f>
        <v/>
      </c>
      <c r="BD42" s="36" t="str">
        <f aca="false">IF($BC42="","",IF($BC42&gt;=SCORING!$C$46,"A",IF($BC42&gt;=SCORING!$C$47,"B",IF($BC42&gt;=SCORING!$C$48,"C","D"))))</f>
        <v/>
      </c>
      <c r="BE42" s="37"/>
    </row>
    <row r="43" customFormat="false" ht="15" hidden="false" customHeight="false" outlineLevel="0" collapsed="false">
      <c r="A43" s="37"/>
      <c r="B43" s="38"/>
      <c r="C43" s="37"/>
      <c r="D43" s="37"/>
      <c r="E43" s="17"/>
      <c r="F43" s="17"/>
      <c r="G43" s="37"/>
      <c r="H43" s="32" t="str">
        <f aca="false">IF($G43="","",IFERROR(INDEX(LISTS!$P$3:$P$145,MATCH($G43,LISTS!$O$3:$O$145,0)),"Other"))</f>
        <v/>
      </c>
      <c r="I43" s="37"/>
      <c r="J43" s="17"/>
      <c r="K43" s="17"/>
      <c r="L43" s="37"/>
      <c r="M43" s="37"/>
      <c r="N43" s="39"/>
      <c r="O43" s="37"/>
      <c r="P43" s="39"/>
      <c r="Q43" s="37"/>
      <c r="R43" s="39"/>
      <c r="S43" s="17"/>
      <c r="T43" s="17"/>
      <c r="U43" s="37"/>
      <c r="V43" s="37"/>
      <c r="W43" s="17"/>
      <c r="X43" s="37"/>
      <c r="Y43" s="17"/>
      <c r="Z43" s="39"/>
      <c r="AA43" s="39"/>
      <c r="AB43" s="37"/>
      <c r="AC43" s="37"/>
      <c r="AD43" s="38"/>
      <c r="AE43" s="37"/>
      <c r="AF43" s="37"/>
      <c r="AG43" s="37"/>
      <c r="AH43" s="37"/>
      <c r="AI43" s="17"/>
      <c r="AJ43" s="37"/>
      <c r="AK43" s="17"/>
      <c r="AL43" s="39"/>
      <c r="AM43" s="17"/>
      <c r="AN43" s="17"/>
      <c r="AO43" s="37"/>
      <c r="AP43" s="17"/>
      <c r="AQ43" s="37"/>
      <c r="AR43" s="37"/>
      <c r="AS43" s="37"/>
      <c r="AT43" s="17"/>
      <c r="AU43" s="37"/>
      <c r="AV43" s="37"/>
      <c r="AW43" s="38"/>
      <c r="AX43" s="37"/>
      <c r="AY43" s="38"/>
      <c r="AZ43" s="34" t="str">
        <f aca="false">IF($E43="","",COUNTA($E43,$F43,$G43,$J43,$L43,$Q43,$U43,$X43,$AM43,$AN43,$AP43,$AR43)/12)</f>
        <v/>
      </c>
      <c r="BA43" s="32" t="str">
        <f aca="false">IF($E43="","",IF(COUNTIF($E$3:$E$402,$E43)&gt;1,"DUPLICATE",""))</f>
        <v/>
      </c>
      <c r="BB43" s="17"/>
      <c r="BC43" s="35" t="str">
        <f aca="false">IF($E43="","",IFERROR(INDEX(SCORING!$C$6:$C$15,MATCH($J43,SCORING!$B$6:$B$15,0)),0)+IFERROR(INDEX(SCORING!$C$18:$C$20,MATCH($U43,SCORING!$B$18:$B$20,0)),0)+IFERROR(INDEX(SCORING!$C$23:$C$26,MATCH($X43,SCORING!$B$23:$B$26,0)),0)+IFERROR(INDEX(SCORING!$C$29:$C$32,MATCH($Q43,SCORING!$B$29:$B$32,0)),0)+IFERROR(INDEX(SCORING!$C$35:$C$37,MATCH($L43,SCORING!$B$35:$B$37,0)),0)+IF($AP43="",0,IF(AND($AQ43="Valid",$AO43="Decision maker"),SCORING!$C$40,IF($AQ43="Valid",SCORING!$C$41,SCORING!$C$42))))</f>
        <v/>
      </c>
      <c r="BD43" s="36" t="str">
        <f aca="false">IF($BC43="","",IF($BC43&gt;=SCORING!$C$46,"A",IF($BC43&gt;=SCORING!$C$47,"B",IF($BC43&gt;=SCORING!$C$48,"C","D"))))</f>
        <v/>
      </c>
      <c r="BE43" s="37"/>
    </row>
    <row r="44" customFormat="false" ht="15" hidden="false" customHeight="false" outlineLevel="0" collapsed="false">
      <c r="A44" s="37"/>
      <c r="B44" s="38"/>
      <c r="C44" s="37"/>
      <c r="D44" s="37"/>
      <c r="E44" s="17"/>
      <c r="F44" s="17"/>
      <c r="G44" s="37"/>
      <c r="H44" s="32" t="str">
        <f aca="false">IF($G44="","",IFERROR(INDEX(LISTS!$P$3:$P$145,MATCH($G44,LISTS!$O$3:$O$145,0)),"Other"))</f>
        <v/>
      </c>
      <c r="I44" s="37"/>
      <c r="J44" s="17"/>
      <c r="K44" s="17"/>
      <c r="L44" s="37"/>
      <c r="M44" s="37"/>
      <c r="N44" s="39"/>
      <c r="O44" s="37"/>
      <c r="P44" s="39"/>
      <c r="Q44" s="37"/>
      <c r="R44" s="39"/>
      <c r="S44" s="17"/>
      <c r="T44" s="17"/>
      <c r="U44" s="37"/>
      <c r="V44" s="37"/>
      <c r="W44" s="17"/>
      <c r="X44" s="37"/>
      <c r="Y44" s="17"/>
      <c r="Z44" s="39"/>
      <c r="AA44" s="39"/>
      <c r="AB44" s="37"/>
      <c r="AC44" s="37"/>
      <c r="AD44" s="38"/>
      <c r="AE44" s="37"/>
      <c r="AF44" s="37"/>
      <c r="AG44" s="37"/>
      <c r="AH44" s="37"/>
      <c r="AI44" s="17"/>
      <c r="AJ44" s="37"/>
      <c r="AK44" s="17"/>
      <c r="AL44" s="39"/>
      <c r="AM44" s="17"/>
      <c r="AN44" s="17"/>
      <c r="AO44" s="37"/>
      <c r="AP44" s="17"/>
      <c r="AQ44" s="37"/>
      <c r="AR44" s="37"/>
      <c r="AS44" s="37"/>
      <c r="AT44" s="17"/>
      <c r="AU44" s="37"/>
      <c r="AV44" s="37"/>
      <c r="AW44" s="38"/>
      <c r="AX44" s="37"/>
      <c r="AY44" s="38"/>
      <c r="AZ44" s="34" t="str">
        <f aca="false">IF($E44="","",COUNTA($E44,$F44,$G44,$J44,$L44,$Q44,$U44,$X44,$AM44,$AN44,$AP44,$AR44)/12)</f>
        <v/>
      </c>
      <c r="BA44" s="32" t="str">
        <f aca="false">IF($E44="","",IF(COUNTIF($E$3:$E$402,$E44)&gt;1,"DUPLICATE",""))</f>
        <v/>
      </c>
      <c r="BB44" s="17"/>
      <c r="BC44" s="35" t="str">
        <f aca="false">IF($E44="","",IFERROR(INDEX(SCORING!$C$6:$C$15,MATCH($J44,SCORING!$B$6:$B$15,0)),0)+IFERROR(INDEX(SCORING!$C$18:$C$20,MATCH($U44,SCORING!$B$18:$B$20,0)),0)+IFERROR(INDEX(SCORING!$C$23:$C$26,MATCH($X44,SCORING!$B$23:$B$26,0)),0)+IFERROR(INDEX(SCORING!$C$29:$C$32,MATCH($Q44,SCORING!$B$29:$B$32,0)),0)+IFERROR(INDEX(SCORING!$C$35:$C$37,MATCH($L44,SCORING!$B$35:$B$37,0)),0)+IF($AP44="",0,IF(AND($AQ44="Valid",$AO44="Decision maker"),SCORING!$C$40,IF($AQ44="Valid",SCORING!$C$41,SCORING!$C$42))))</f>
        <v/>
      </c>
      <c r="BD44" s="36" t="str">
        <f aca="false">IF($BC44="","",IF($BC44&gt;=SCORING!$C$46,"A",IF($BC44&gt;=SCORING!$C$47,"B",IF($BC44&gt;=SCORING!$C$48,"C","D"))))</f>
        <v/>
      </c>
      <c r="BE44" s="37"/>
    </row>
    <row r="45" customFormat="false" ht="15" hidden="false" customHeight="false" outlineLevel="0" collapsed="false">
      <c r="A45" s="37"/>
      <c r="B45" s="38"/>
      <c r="C45" s="37"/>
      <c r="D45" s="37"/>
      <c r="E45" s="17"/>
      <c r="F45" s="17"/>
      <c r="G45" s="37"/>
      <c r="H45" s="32" t="str">
        <f aca="false">IF($G45="","",IFERROR(INDEX(LISTS!$P$3:$P$145,MATCH($G45,LISTS!$O$3:$O$145,0)),"Other"))</f>
        <v/>
      </c>
      <c r="I45" s="37"/>
      <c r="J45" s="17"/>
      <c r="K45" s="17"/>
      <c r="L45" s="37"/>
      <c r="M45" s="37"/>
      <c r="N45" s="39"/>
      <c r="O45" s="37"/>
      <c r="P45" s="39"/>
      <c r="Q45" s="37"/>
      <c r="R45" s="39"/>
      <c r="S45" s="17"/>
      <c r="T45" s="17"/>
      <c r="U45" s="37"/>
      <c r="V45" s="37"/>
      <c r="W45" s="17"/>
      <c r="X45" s="37"/>
      <c r="Y45" s="17"/>
      <c r="Z45" s="39"/>
      <c r="AA45" s="39"/>
      <c r="AB45" s="37"/>
      <c r="AC45" s="37"/>
      <c r="AD45" s="38"/>
      <c r="AE45" s="37"/>
      <c r="AF45" s="37"/>
      <c r="AG45" s="37"/>
      <c r="AH45" s="37"/>
      <c r="AI45" s="17"/>
      <c r="AJ45" s="37"/>
      <c r="AK45" s="17"/>
      <c r="AL45" s="39"/>
      <c r="AM45" s="17"/>
      <c r="AN45" s="17"/>
      <c r="AO45" s="37"/>
      <c r="AP45" s="17"/>
      <c r="AQ45" s="37"/>
      <c r="AR45" s="37"/>
      <c r="AS45" s="37"/>
      <c r="AT45" s="17"/>
      <c r="AU45" s="37"/>
      <c r="AV45" s="37"/>
      <c r="AW45" s="38"/>
      <c r="AX45" s="37"/>
      <c r="AY45" s="38"/>
      <c r="AZ45" s="34" t="str">
        <f aca="false">IF($E45="","",COUNTA($E45,$F45,$G45,$J45,$L45,$Q45,$U45,$X45,$AM45,$AN45,$AP45,$AR45)/12)</f>
        <v/>
      </c>
      <c r="BA45" s="32" t="str">
        <f aca="false">IF($E45="","",IF(COUNTIF($E$3:$E$402,$E45)&gt;1,"DUPLICATE",""))</f>
        <v/>
      </c>
      <c r="BB45" s="17"/>
      <c r="BC45" s="35" t="str">
        <f aca="false">IF($E45="","",IFERROR(INDEX(SCORING!$C$6:$C$15,MATCH($J45,SCORING!$B$6:$B$15,0)),0)+IFERROR(INDEX(SCORING!$C$18:$C$20,MATCH($U45,SCORING!$B$18:$B$20,0)),0)+IFERROR(INDEX(SCORING!$C$23:$C$26,MATCH($X45,SCORING!$B$23:$B$26,0)),0)+IFERROR(INDEX(SCORING!$C$29:$C$32,MATCH($Q45,SCORING!$B$29:$B$32,0)),0)+IFERROR(INDEX(SCORING!$C$35:$C$37,MATCH($L45,SCORING!$B$35:$B$37,0)),0)+IF($AP45="",0,IF(AND($AQ45="Valid",$AO45="Decision maker"),SCORING!$C$40,IF($AQ45="Valid",SCORING!$C$41,SCORING!$C$42))))</f>
        <v/>
      </c>
      <c r="BD45" s="36" t="str">
        <f aca="false">IF($BC45="","",IF($BC45&gt;=SCORING!$C$46,"A",IF($BC45&gt;=SCORING!$C$47,"B",IF($BC45&gt;=SCORING!$C$48,"C","D"))))</f>
        <v/>
      </c>
      <c r="BE45" s="37"/>
    </row>
    <row r="46" customFormat="false" ht="15" hidden="false" customHeight="false" outlineLevel="0" collapsed="false">
      <c r="A46" s="37"/>
      <c r="B46" s="38"/>
      <c r="C46" s="37"/>
      <c r="D46" s="37"/>
      <c r="E46" s="17"/>
      <c r="F46" s="17"/>
      <c r="G46" s="37"/>
      <c r="H46" s="32" t="str">
        <f aca="false">IF($G46="","",IFERROR(INDEX(LISTS!$P$3:$P$145,MATCH($G46,LISTS!$O$3:$O$145,0)),"Other"))</f>
        <v/>
      </c>
      <c r="I46" s="37"/>
      <c r="J46" s="17"/>
      <c r="K46" s="17"/>
      <c r="L46" s="37"/>
      <c r="M46" s="37"/>
      <c r="N46" s="39"/>
      <c r="O46" s="37"/>
      <c r="P46" s="39"/>
      <c r="Q46" s="37"/>
      <c r="R46" s="39"/>
      <c r="S46" s="17"/>
      <c r="T46" s="17"/>
      <c r="U46" s="37"/>
      <c r="V46" s="37"/>
      <c r="W46" s="17"/>
      <c r="X46" s="37"/>
      <c r="Y46" s="17"/>
      <c r="Z46" s="39"/>
      <c r="AA46" s="39"/>
      <c r="AB46" s="37"/>
      <c r="AC46" s="37"/>
      <c r="AD46" s="38"/>
      <c r="AE46" s="37"/>
      <c r="AF46" s="37"/>
      <c r="AG46" s="37"/>
      <c r="AH46" s="37"/>
      <c r="AI46" s="17"/>
      <c r="AJ46" s="37"/>
      <c r="AK46" s="17"/>
      <c r="AL46" s="39"/>
      <c r="AM46" s="17"/>
      <c r="AN46" s="17"/>
      <c r="AO46" s="37"/>
      <c r="AP46" s="17"/>
      <c r="AQ46" s="37"/>
      <c r="AR46" s="37"/>
      <c r="AS46" s="37"/>
      <c r="AT46" s="17"/>
      <c r="AU46" s="37"/>
      <c r="AV46" s="37"/>
      <c r="AW46" s="38"/>
      <c r="AX46" s="37"/>
      <c r="AY46" s="38"/>
      <c r="AZ46" s="34" t="str">
        <f aca="false">IF($E46="","",COUNTA($E46,$F46,$G46,$J46,$L46,$Q46,$U46,$X46,$AM46,$AN46,$AP46,$AR46)/12)</f>
        <v/>
      </c>
      <c r="BA46" s="32" t="str">
        <f aca="false">IF($E46="","",IF(COUNTIF($E$3:$E$402,$E46)&gt;1,"DUPLICATE",""))</f>
        <v/>
      </c>
      <c r="BB46" s="17"/>
      <c r="BC46" s="35" t="str">
        <f aca="false">IF($E46="","",IFERROR(INDEX(SCORING!$C$6:$C$15,MATCH($J46,SCORING!$B$6:$B$15,0)),0)+IFERROR(INDEX(SCORING!$C$18:$C$20,MATCH($U46,SCORING!$B$18:$B$20,0)),0)+IFERROR(INDEX(SCORING!$C$23:$C$26,MATCH($X46,SCORING!$B$23:$B$26,0)),0)+IFERROR(INDEX(SCORING!$C$29:$C$32,MATCH($Q46,SCORING!$B$29:$B$32,0)),0)+IFERROR(INDEX(SCORING!$C$35:$C$37,MATCH($L46,SCORING!$B$35:$B$37,0)),0)+IF($AP46="",0,IF(AND($AQ46="Valid",$AO46="Decision maker"),SCORING!$C$40,IF($AQ46="Valid",SCORING!$C$41,SCORING!$C$42))))</f>
        <v/>
      </c>
      <c r="BD46" s="36" t="str">
        <f aca="false">IF($BC46="","",IF($BC46&gt;=SCORING!$C$46,"A",IF($BC46&gt;=SCORING!$C$47,"B",IF($BC46&gt;=SCORING!$C$48,"C","D"))))</f>
        <v/>
      </c>
      <c r="BE46" s="37"/>
    </row>
    <row r="47" customFormat="false" ht="15" hidden="false" customHeight="false" outlineLevel="0" collapsed="false">
      <c r="A47" s="37"/>
      <c r="B47" s="38"/>
      <c r="C47" s="37"/>
      <c r="D47" s="37"/>
      <c r="E47" s="17"/>
      <c r="F47" s="17"/>
      <c r="G47" s="37"/>
      <c r="H47" s="32" t="str">
        <f aca="false">IF($G47="","",IFERROR(INDEX(LISTS!$P$3:$P$145,MATCH($G47,LISTS!$O$3:$O$145,0)),"Other"))</f>
        <v/>
      </c>
      <c r="I47" s="37"/>
      <c r="J47" s="17"/>
      <c r="K47" s="17"/>
      <c r="L47" s="37"/>
      <c r="M47" s="37"/>
      <c r="N47" s="39"/>
      <c r="O47" s="37"/>
      <c r="P47" s="39"/>
      <c r="Q47" s="37"/>
      <c r="R47" s="39"/>
      <c r="S47" s="17"/>
      <c r="T47" s="17"/>
      <c r="U47" s="37"/>
      <c r="V47" s="37"/>
      <c r="W47" s="17"/>
      <c r="X47" s="37"/>
      <c r="Y47" s="17"/>
      <c r="Z47" s="39"/>
      <c r="AA47" s="39"/>
      <c r="AB47" s="37"/>
      <c r="AC47" s="37"/>
      <c r="AD47" s="38"/>
      <c r="AE47" s="37"/>
      <c r="AF47" s="37"/>
      <c r="AG47" s="37"/>
      <c r="AH47" s="37"/>
      <c r="AI47" s="17"/>
      <c r="AJ47" s="37"/>
      <c r="AK47" s="17"/>
      <c r="AL47" s="39"/>
      <c r="AM47" s="17"/>
      <c r="AN47" s="17"/>
      <c r="AO47" s="37"/>
      <c r="AP47" s="17"/>
      <c r="AQ47" s="37"/>
      <c r="AR47" s="37"/>
      <c r="AS47" s="37"/>
      <c r="AT47" s="17"/>
      <c r="AU47" s="37"/>
      <c r="AV47" s="37"/>
      <c r="AW47" s="38"/>
      <c r="AX47" s="37"/>
      <c r="AY47" s="38"/>
      <c r="AZ47" s="34" t="str">
        <f aca="false">IF($E47="","",COUNTA($E47,$F47,$G47,$J47,$L47,$Q47,$U47,$X47,$AM47,$AN47,$AP47,$AR47)/12)</f>
        <v/>
      </c>
      <c r="BA47" s="32" t="str">
        <f aca="false">IF($E47="","",IF(COUNTIF($E$3:$E$402,$E47)&gt;1,"DUPLICATE",""))</f>
        <v/>
      </c>
      <c r="BB47" s="17"/>
      <c r="BC47" s="35" t="str">
        <f aca="false">IF($E47="","",IFERROR(INDEX(SCORING!$C$6:$C$15,MATCH($J47,SCORING!$B$6:$B$15,0)),0)+IFERROR(INDEX(SCORING!$C$18:$C$20,MATCH($U47,SCORING!$B$18:$B$20,0)),0)+IFERROR(INDEX(SCORING!$C$23:$C$26,MATCH($X47,SCORING!$B$23:$B$26,0)),0)+IFERROR(INDEX(SCORING!$C$29:$C$32,MATCH($Q47,SCORING!$B$29:$B$32,0)),0)+IFERROR(INDEX(SCORING!$C$35:$C$37,MATCH($L47,SCORING!$B$35:$B$37,0)),0)+IF($AP47="",0,IF(AND($AQ47="Valid",$AO47="Decision maker"),SCORING!$C$40,IF($AQ47="Valid",SCORING!$C$41,SCORING!$C$42))))</f>
        <v/>
      </c>
      <c r="BD47" s="36" t="str">
        <f aca="false">IF($BC47="","",IF($BC47&gt;=SCORING!$C$46,"A",IF($BC47&gt;=SCORING!$C$47,"B",IF($BC47&gt;=SCORING!$C$48,"C","D"))))</f>
        <v/>
      </c>
      <c r="BE47" s="37"/>
    </row>
    <row r="48" customFormat="false" ht="15" hidden="false" customHeight="false" outlineLevel="0" collapsed="false">
      <c r="A48" s="37"/>
      <c r="B48" s="38"/>
      <c r="C48" s="37"/>
      <c r="D48" s="37"/>
      <c r="E48" s="17"/>
      <c r="F48" s="17"/>
      <c r="G48" s="37"/>
      <c r="H48" s="32" t="str">
        <f aca="false">IF($G48="","",IFERROR(INDEX(LISTS!$P$3:$P$145,MATCH($G48,LISTS!$O$3:$O$145,0)),"Other"))</f>
        <v/>
      </c>
      <c r="I48" s="37"/>
      <c r="J48" s="17"/>
      <c r="K48" s="17"/>
      <c r="L48" s="37"/>
      <c r="M48" s="37"/>
      <c r="N48" s="39"/>
      <c r="O48" s="37"/>
      <c r="P48" s="39"/>
      <c r="Q48" s="37"/>
      <c r="R48" s="39"/>
      <c r="S48" s="17"/>
      <c r="T48" s="17"/>
      <c r="U48" s="37"/>
      <c r="V48" s="37"/>
      <c r="W48" s="17"/>
      <c r="X48" s="37"/>
      <c r="Y48" s="17"/>
      <c r="Z48" s="39"/>
      <c r="AA48" s="39"/>
      <c r="AB48" s="37"/>
      <c r="AC48" s="37"/>
      <c r="AD48" s="38"/>
      <c r="AE48" s="37"/>
      <c r="AF48" s="37"/>
      <c r="AG48" s="37"/>
      <c r="AH48" s="37"/>
      <c r="AI48" s="17"/>
      <c r="AJ48" s="37"/>
      <c r="AK48" s="17"/>
      <c r="AL48" s="39"/>
      <c r="AM48" s="17"/>
      <c r="AN48" s="17"/>
      <c r="AO48" s="37"/>
      <c r="AP48" s="17"/>
      <c r="AQ48" s="37"/>
      <c r="AR48" s="37"/>
      <c r="AS48" s="37"/>
      <c r="AT48" s="17"/>
      <c r="AU48" s="37"/>
      <c r="AV48" s="37"/>
      <c r="AW48" s="38"/>
      <c r="AX48" s="37"/>
      <c r="AY48" s="38"/>
      <c r="AZ48" s="34" t="str">
        <f aca="false">IF($E48="","",COUNTA($E48,$F48,$G48,$J48,$L48,$Q48,$U48,$X48,$AM48,$AN48,$AP48,$AR48)/12)</f>
        <v/>
      </c>
      <c r="BA48" s="32" t="str">
        <f aca="false">IF($E48="","",IF(COUNTIF($E$3:$E$402,$E48)&gt;1,"DUPLICATE",""))</f>
        <v/>
      </c>
      <c r="BB48" s="17"/>
      <c r="BC48" s="35" t="str">
        <f aca="false">IF($E48="","",IFERROR(INDEX(SCORING!$C$6:$C$15,MATCH($J48,SCORING!$B$6:$B$15,0)),0)+IFERROR(INDEX(SCORING!$C$18:$C$20,MATCH($U48,SCORING!$B$18:$B$20,0)),0)+IFERROR(INDEX(SCORING!$C$23:$C$26,MATCH($X48,SCORING!$B$23:$B$26,0)),0)+IFERROR(INDEX(SCORING!$C$29:$C$32,MATCH($Q48,SCORING!$B$29:$B$32,0)),0)+IFERROR(INDEX(SCORING!$C$35:$C$37,MATCH($L48,SCORING!$B$35:$B$37,0)),0)+IF($AP48="",0,IF(AND($AQ48="Valid",$AO48="Decision maker"),SCORING!$C$40,IF($AQ48="Valid",SCORING!$C$41,SCORING!$C$42))))</f>
        <v/>
      </c>
      <c r="BD48" s="36" t="str">
        <f aca="false">IF($BC48="","",IF($BC48&gt;=SCORING!$C$46,"A",IF($BC48&gt;=SCORING!$C$47,"B",IF($BC48&gt;=SCORING!$C$48,"C","D"))))</f>
        <v/>
      </c>
      <c r="BE48" s="37"/>
    </row>
    <row r="49" customFormat="false" ht="15" hidden="false" customHeight="false" outlineLevel="0" collapsed="false">
      <c r="A49" s="37"/>
      <c r="B49" s="38"/>
      <c r="C49" s="37"/>
      <c r="D49" s="37"/>
      <c r="E49" s="17"/>
      <c r="F49" s="17"/>
      <c r="G49" s="37"/>
      <c r="H49" s="32" t="str">
        <f aca="false">IF($G49="","",IFERROR(INDEX(LISTS!$P$3:$P$145,MATCH($G49,LISTS!$O$3:$O$145,0)),"Other"))</f>
        <v/>
      </c>
      <c r="I49" s="37"/>
      <c r="J49" s="17"/>
      <c r="K49" s="17"/>
      <c r="L49" s="37"/>
      <c r="M49" s="37"/>
      <c r="N49" s="39"/>
      <c r="O49" s="37"/>
      <c r="P49" s="39"/>
      <c r="Q49" s="37"/>
      <c r="R49" s="39"/>
      <c r="S49" s="17"/>
      <c r="T49" s="17"/>
      <c r="U49" s="37"/>
      <c r="V49" s="37"/>
      <c r="W49" s="17"/>
      <c r="X49" s="37"/>
      <c r="Y49" s="17"/>
      <c r="Z49" s="39"/>
      <c r="AA49" s="39"/>
      <c r="AB49" s="37"/>
      <c r="AC49" s="37"/>
      <c r="AD49" s="38"/>
      <c r="AE49" s="37"/>
      <c r="AF49" s="37"/>
      <c r="AG49" s="37"/>
      <c r="AH49" s="37"/>
      <c r="AI49" s="17"/>
      <c r="AJ49" s="37"/>
      <c r="AK49" s="17"/>
      <c r="AL49" s="39"/>
      <c r="AM49" s="17"/>
      <c r="AN49" s="17"/>
      <c r="AO49" s="37"/>
      <c r="AP49" s="17"/>
      <c r="AQ49" s="37"/>
      <c r="AR49" s="37"/>
      <c r="AS49" s="37"/>
      <c r="AT49" s="17"/>
      <c r="AU49" s="37"/>
      <c r="AV49" s="37"/>
      <c r="AW49" s="38"/>
      <c r="AX49" s="37"/>
      <c r="AY49" s="38"/>
      <c r="AZ49" s="34" t="str">
        <f aca="false">IF($E49="","",COUNTA($E49,$F49,$G49,$J49,$L49,$Q49,$U49,$X49,$AM49,$AN49,$AP49,$AR49)/12)</f>
        <v/>
      </c>
      <c r="BA49" s="32" t="str">
        <f aca="false">IF($E49="","",IF(COUNTIF($E$3:$E$402,$E49)&gt;1,"DUPLICATE",""))</f>
        <v/>
      </c>
      <c r="BB49" s="17"/>
      <c r="BC49" s="35" t="str">
        <f aca="false">IF($E49="","",IFERROR(INDEX(SCORING!$C$6:$C$15,MATCH($J49,SCORING!$B$6:$B$15,0)),0)+IFERROR(INDEX(SCORING!$C$18:$C$20,MATCH($U49,SCORING!$B$18:$B$20,0)),0)+IFERROR(INDEX(SCORING!$C$23:$C$26,MATCH($X49,SCORING!$B$23:$B$26,0)),0)+IFERROR(INDEX(SCORING!$C$29:$C$32,MATCH($Q49,SCORING!$B$29:$B$32,0)),0)+IFERROR(INDEX(SCORING!$C$35:$C$37,MATCH($L49,SCORING!$B$35:$B$37,0)),0)+IF($AP49="",0,IF(AND($AQ49="Valid",$AO49="Decision maker"),SCORING!$C$40,IF($AQ49="Valid",SCORING!$C$41,SCORING!$C$42))))</f>
        <v/>
      </c>
      <c r="BD49" s="36" t="str">
        <f aca="false">IF($BC49="","",IF($BC49&gt;=SCORING!$C$46,"A",IF($BC49&gt;=SCORING!$C$47,"B",IF($BC49&gt;=SCORING!$C$48,"C","D"))))</f>
        <v/>
      </c>
      <c r="BE49" s="37"/>
    </row>
    <row r="50" customFormat="false" ht="15" hidden="false" customHeight="false" outlineLevel="0" collapsed="false">
      <c r="A50" s="37"/>
      <c r="B50" s="38"/>
      <c r="C50" s="37"/>
      <c r="D50" s="37"/>
      <c r="E50" s="17"/>
      <c r="F50" s="17"/>
      <c r="G50" s="37"/>
      <c r="H50" s="32" t="str">
        <f aca="false">IF($G50="","",IFERROR(INDEX(LISTS!$P$3:$P$145,MATCH($G50,LISTS!$O$3:$O$145,0)),"Other"))</f>
        <v/>
      </c>
      <c r="I50" s="37"/>
      <c r="J50" s="17"/>
      <c r="K50" s="17"/>
      <c r="L50" s="37"/>
      <c r="M50" s="37"/>
      <c r="N50" s="39"/>
      <c r="O50" s="37"/>
      <c r="P50" s="39"/>
      <c r="Q50" s="37"/>
      <c r="R50" s="39"/>
      <c r="S50" s="17"/>
      <c r="T50" s="17"/>
      <c r="U50" s="37"/>
      <c r="V50" s="37"/>
      <c r="W50" s="17"/>
      <c r="X50" s="37"/>
      <c r="Y50" s="17"/>
      <c r="Z50" s="39"/>
      <c r="AA50" s="39"/>
      <c r="AB50" s="37"/>
      <c r="AC50" s="37"/>
      <c r="AD50" s="38"/>
      <c r="AE50" s="37"/>
      <c r="AF50" s="37"/>
      <c r="AG50" s="37"/>
      <c r="AH50" s="37"/>
      <c r="AI50" s="17"/>
      <c r="AJ50" s="37"/>
      <c r="AK50" s="17"/>
      <c r="AL50" s="39"/>
      <c r="AM50" s="17"/>
      <c r="AN50" s="17"/>
      <c r="AO50" s="37"/>
      <c r="AP50" s="17"/>
      <c r="AQ50" s="37"/>
      <c r="AR50" s="37"/>
      <c r="AS50" s="37"/>
      <c r="AT50" s="17"/>
      <c r="AU50" s="37"/>
      <c r="AV50" s="37"/>
      <c r="AW50" s="38"/>
      <c r="AX50" s="37"/>
      <c r="AY50" s="38"/>
      <c r="AZ50" s="34" t="str">
        <f aca="false">IF($E50="","",COUNTA($E50,$F50,$G50,$J50,$L50,$Q50,$U50,$X50,$AM50,$AN50,$AP50,$AR50)/12)</f>
        <v/>
      </c>
      <c r="BA50" s="32" t="str">
        <f aca="false">IF($E50="","",IF(COUNTIF($E$3:$E$402,$E50)&gt;1,"DUPLICATE",""))</f>
        <v/>
      </c>
      <c r="BB50" s="17"/>
      <c r="BC50" s="35" t="str">
        <f aca="false">IF($E50="","",IFERROR(INDEX(SCORING!$C$6:$C$15,MATCH($J50,SCORING!$B$6:$B$15,0)),0)+IFERROR(INDEX(SCORING!$C$18:$C$20,MATCH($U50,SCORING!$B$18:$B$20,0)),0)+IFERROR(INDEX(SCORING!$C$23:$C$26,MATCH($X50,SCORING!$B$23:$B$26,0)),0)+IFERROR(INDEX(SCORING!$C$29:$C$32,MATCH($Q50,SCORING!$B$29:$B$32,0)),0)+IFERROR(INDEX(SCORING!$C$35:$C$37,MATCH($L50,SCORING!$B$35:$B$37,0)),0)+IF($AP50="",0,IF(AND($AQ50="Valid",$AO50="Decision maker"),SCORING!$C$40,IF($AQ50="Valid",SCORING!$C$41,SCORING!$C$42))))</f>
        <v/>
      </c>
      <c r="BD50" s="36" t="str">
        <f aca="false">IF($BC50="","",IF($BC50&gt;=SCORING!$C$46,"A",IF($BC50&gt;=SCORING!$C$47,"B",IF($BC50&gt;=SCORING!$C$48,"C","D"))))</f>
        <v/>
      </c>
      <c r="BE50" s="37"/>
    </row>
    <row r="51" customFormat="false" ht="15" hidden="false" customHeight="false" outlineLevel="0" collapsed="false">
      <c r="A51" s="37"/>
      <c r="B51" s="38"/>
      <c r="C51" s="37"/>
      <c r="D51" s="37"/>
      <c r="E51" s="17"/>
      <c r="F51" s="17"/>
      <c r="G51" s="37"/>
      <c r="H51" s="32" t="str">
        <f aca="false">IF($G51="","",IFERROR(INDEX(LISTS!$P$3:$P$145,MATCH($G51,LISTS!$O$3:$O$145,0)),"Other"))</f>
        <v/>
      </c>
      <c r="I51" s="37"/>
      <c r="J51" s="17"/>
      <c r="K51" s="17"/>
      <c r="L51" s="37"/>
      <c r="M51" s="37"/>
      <c r="N51" s="39"/>
      <c r="O51" s="37"/>
      <c r="P51" s="39"/>
      <c r="Q51" s="37"/>
      <c r="R51" s="39"/>
      <c r="S51" s="17"/>
      <c r="T51" s="17"/>
      <c r="U51" s="37"/>
      <c r="V51" s="37"/>
      <c r="W51" s="17"/>
      <c r="X51" s="37"/>
      <c r="Y51" s="17"/>
      <c r="Z51" s="39"/>
      <c r="AA51" s="39"/>
      <c r="AB51" s="37"/>
      <c r="AC51" s="37"/>
      <c r="AD51" s="38"/>
      <c r="AE51" s="37"/>
      <c r="AF51" s="37"/>
      <c r="AG51" s="37"/>
      <c r="AH51" s="37"/>
      <c r="AI51" s="17"/>
      <c r="AJ51" s="37"/>
      <c r="AK51" s="17"/>
      <c r="AL51" s="39"/>
      <c r="AM51" s="17"/>
      <c r="AN51" s="17"/>
      <c r="AO51" s="37"/>
      <c r="AP51" s="17"/>
      <c r="AQ51" s="37"/>
      <c r="AR51" s="37"/>
      <c r="AS51" s="37"/>
      <c r="AT51" s="17"/>
      <c r="AU51" s="37"/>
      <c r="AV51" s="37"/>
      <c r="AW51" s="38"/>
      <c r="AX51" s="37"/>
      <c r="AY51" s="38"/>
      <c r="AZ51" s="34" t="str">
        <f aca="false">IF($E51="","",COUNTA($E51,$F51,$G51,$J51,$L51,$Q51,$U51,$X51,$AM51,$AN51,$AP51,$AR51)/12)</f>
        <v/>
      </c>
      <c r="BA51" s="32" t="str">
        <f aca="false">IF($E51="","",IF(COUNTIF($E$3:$E$402,$E51)&gt;1,"DUPLICATE",""))</f>
        <v/>
      </c>
      <c r="BB51" s="17"/>
      <c r="BC51" s="35" t="str">
        <f aca="false">IF($E51="","",IFERROR(INDEX(SCORING!$C$6:$C$15,MATCH($J51,SCORING!$B$6:$B$15,0)),0)+IFERROR(INDEX(SCORING!$C$18:$C$20,MATCH($U51,SCORING!$B$18:$B$20,0)),0)+IFERROR(INDEX(SCORING!$C$23:$C$26,MATCH($X51,SCORING!$B$23:$B$26,0)),0)+IFERROR(INDEX(SCORING!$C$29:$C$32,MATCH($Q51,SCORING!$B$29:$B$32,0)),0)+IFERROR(INDEX(SCORING!$C$35:$C$37,MATCH($L51,SCORING!$B$35:$B$37,0)),0)+IF($AP51="",0,IF(AND($AQ51="Valid",$AO51="Decision maker"),SCORING!$C$40,IF($AQ51="Valid",SCORING!$C$41,SCORING!$C$42))))</f>
        <v/>
      </c>
      <c r="BD51" s="36" t="str">
        <f aca="false">IF($BC51="","",IF($BC51&gt;=SCORING!$C$46,"A",IF($BC51&gt;=SCORING!$C$47,"B",IF($BC51&gt;=SCORING!$C$48,"C","D"))))</f>
        <v/>
      </c>
      <c r="BE51" s="37"/>
    </row>
    <row r="52" customFormat="false" ht="15" hidden="false" customHeight="false" outlineLevel="0" collapsed="false">
      <c r="A52" s="37"/>
      <c r="B52" s="38"/>
      <c r="C52" s="37"/>
      <c r="D52" s="37"/>
      <c r="E52" s="17"/>
      <c r="F52" s="17"/>
      <c r="G52" s="37"/>
      <c r="H52" s="32" t="str">
        <f aca="false">IF($G52="","",IFERROR(INDEX(LISTS!$P$3:$P$145,MATCH($G52,LISTS!$O$3:$O$145,0)),"Other"))</f>
        <v/>
      </c>
      <c r="I52" s="37"/>
      <c r="J52" s="17"/>
      <c r="K52" s="17"/>
      <c r="L52" s="37"/>
      <c r="M52" s="37"/>
      <c r="N52" s="39"/>
      <c r="O52" s="37"/>
      <c r="P52" s="39"/>
      <c r="Q52" s="37"/>
      <c r="R52" s="39"/>
      <c r="S52" s="17"/>
      <c r="T52" s="17"/>
      <c r="U52" s="37"/>
      <c r="V52" s="37"/>
      <c r="W52" s="17"/>
      <c r="X52" s="37"/>
      <c r="Y52" s="17"/>
      <c r="Z52" s="39"/>
      <c r="AA52" s="39"/>
      <c r="AB52" s="37"/>
      <c r="AC52" s="37"/>
      <c r="AD52" s="38"/>
      <c r="AE52" s="37"/>
      <c r="AF52" s="37"/>
      <c r="AG52" s="37"/>
      <c r="AH52" s="37"/>
      <c r="AI52" s="17"/>
      <c r="AJ52" s="37"/>
      <c r="AK52" s="17"/>
      <c r="AL52" s="39"/>
      <c r="AM52" s="17"/>
      <c r="AN52" s="17"/>
      <c r="AO52" s="37"/>
      <c r="AP52" s="17"/>
      <c r="AQ52" s="37"/>
      <c r="AR52" s="37"/>
      <c r="AS52" s="37"/>
      <c r="AT52" s="17"/>
      <c r="AU52" s="37"/>
      <c r="AV52" s="37"/>
      <c r="AW52" s="38"/>
      <c r="AX52" s="37"/>
      <c r="AY52" s="38"/>
      <c r="AZ52" s="34" t="str">
        <f aca="false">IF($E52="","",COUNTA($E52,$F52,$G52,$J52,$L52,$Q52,$U52,$X52,$AM52,$AN52,$AP52,$AR52)/12)</f>
        <v/>
      </c>
      <c r="BA52" s="32" t="str">
        <f aca="false">IF($E52="","",IF(COUNTIF($E$3:$E$402,$E52)&gt;1,"DUPLICATE",""))</f>
        <v/>
      </c>
      <c r="BB52" s="17"/>
      <c r="BC52" s="35" t="str">
        <f aca="false">IF($E52="","",IFERROR(INDEX(SCORING!$C$6:$C$15,MATCH($J52,SCORING!$B$6:$B$15,0)),0)+IFERROR(INDEX(SCORING!$C$18:$C$20,MATCH($U52,SCORING!$B$18:$B$20,0)),0)+IFERROR(INDEX(SCORING!$C$23:$C$26,MATCH($X52,SCORING!$B$23:$B$26,0)),0)+IFERROR(INDEX(SCORING!$C$29:$C$32,MATCH($Q52,SCORING!$B$29:$B$32,0)),0)+IFERROR(INDEX(SCORING!$C$35:$C$37,MATCH($L52,SCORING!$B$35:$B$37,0)),0)+IF($AP52="",0,IF(AND($AQ52="Valid",$AO52="Decision maker"),SCORING!$C$40,IF($AQ52="Valid",SCORING!$C$41,SCORING!$C$42))))</f>
        <v/>
      </c>
      <c r="BD52" s="36" t="str">
        <f aca="false">IF($BC52="","",IF($BC52&gt;=SCORING!$C$46,"A",IF($BC52&gt;=SCORING!$C$47,"B",IF($BC52&gt;=SCORING!$C$48,"C","D"))))</f>
        <v/>
      </c>
      <c r="BE52" s="37"/>
    </row>
    <row r="53" customFormat="false" ht="15" hidden="false" customHeight="false" outlineLevel="0" collapsed="false">
      <c r="A53" s="37"/>
      <c r="B53" s="38"/>
      <c r="C53" s="37"/>
      <c r="D53" s="37"/>
      <c r="E53" s="17"/>
      <c r="F53" s="17"/>
      <c r="G53" s="37"/>
      <c r="H53" s="32" t="str">
        <f aca="false">IF($G53="","",IFERROR(INDEX(LISTS!$P$3:$P$145,MATCH($G53,LISTS!$O$3:$O$145,0)),"Other"))</f>
        <v/>
      </c>
      <c r="I53" s="37"/>
      <c r="J53" s="17"/>
      <c r="K53" s="17"/>
      <c r="L53" s="37"/>
      <c r="M53" s="37"/>
      <c r="N53" s="39"/>
      <c r="O53" s="37"/>
      <c r="P53" s="39"/>
      <c r="Q53" s="37"/>
      <c r="R53" s="39"/>
      <c r="S53" s="17"/>
      <c r="T53" s="17"/>
      <c r="U53" s="37"/>
      <c r="V53" s="37"/>
      <c r="W53" s="17"/>
      <c r="X53" s="37"/>
      <c r="Y53" s="17"/>
      <c r="Z53" s="39"/>
      <c r="AA53" s="39"/>
      <c r="AB53" s="37"/>
      <c r="AC53" s="37"/>
      <c r="AD53" s="38"/>
      <c r="AE53" s="37"/>
      <c r="AF53" s="37"/>
      <c r="AG53" s="37"/>
      <c r="AH53" s="37"/>
      <c r="AI53" s="17"/>
      <c r="AJ53" s="37"/>
      <c r="AK53" s="17"/>
      <c r="AL53" s="39"/>
      <c r="AM53" s="17"/>
      <c r="AN53" s="17"/>
      <c r="AO53" s="37"/>
      <c r="AP53" s="17"/>
      <c r="AQ53" s="37"/>
      <c r="AR53" s="37"/>
      <c r="AS53" s="37"/>
      <c r="AT53" s="17"/>
      <c r="AU53" s="37"/>
      <c r="AV53" s="37"/>
      <c r="AW53" s="38"/>
      <c r="AX53" s="37"/>
      <c r="AY53" s="38"/>
      <c r="AZ53" s="34" t="str">
        <f aca="false">IF($E53="","",COUNTA($E53,$F53,$G53,$J53,$L53,$Q53,$U53,$X53,$AM53,$AN53,$AP53,$AR53)/12)</f>
        <v/>
      </c>
      <c r="BA53" s="32" t="str">
        <f aca="false">IF($E53="","",IF(COUNTIF($E$3:$E$402,$E53)&gt;1,"DUPLICATE",""))</f>
        <v/>
      </c>
      <c r="BB53" s="17"/>
      <c r="BC53" s="35" t="str">
        <f aca="false">IF($E53="","",IFERROR(INDEX(SCORING!$C$6:$C$15,MATCH($J53,SCORING!$B$6:$B$15,0)),0)+IFERROR(INDEX(SCORING!$C$18:$C$20,MATCH($U53,SCORING!$B$18:$B$20,0)),0)+IFERROR(INDEX(SCORING!$C$23:$C$26,MATCH($X53,SCORING!$B$23:$B$26,0)),0)+IFERROR(INDEX(SCORING!$C$29:$C$32,MATCH($Q53,SCORING!$B$29:$B$32,0)),0)+IFERROR(INDEX(SCORING!$C$35:$C$37,MATCH($L53,SCORING!$B$35:$B$37,0)),0)+IF($AP53="",0,IF(AND($AQ53="Valid",$AO53="Decision maker"),SCORING!$C$40,IF($AQ53="Valid",SCORING!$C$41,SCORING!$C$42))))</f>
        <v/>
      </c>
      <c r="BD53" s="36" t="str">
        <f aca="false">IF($BC53="","",IF($BC53&gt;=SCORING!$C$46,"A",IF($BC53&gt;=SCORING!$C$47,"B",IF($BC53&gt;=SCORING!$C$48,"C","D"))))</f>
        <v/>
      </c>
      <c r="BE53" s="37"/>
    </row>
    <row r="54" customFormat="false" ht="15" hidden="false" customHeight="false" outlineLevel="0" collapsed="false">
      <c r="A54" s="37"/>
      <c r="B54" s="38"/>
      <c r="C54" s="37"/>
      <c r="D54" s="37"/>
      <c r="E54" s="17"/>
      <c r="F54" s="17"/>
      <c r="G54" s="37"/>
      <c r="H54" s="32" t="str">
        <f aca="false">IF($G54="","",IFERROR(INDEX(LISTS!$P$3:$P$145,MATCH($G54,LISTS!$O$3:$O$145,0)),"Other"))</f>
        <v/>
      </c>
      <c r="I54" s="37"/>
      <c r="J54" s="17"/>
      <c r="K54" s="17"/>
      <c r="L54" s="37"/>
      <c r="M54" s="37"/>
      <c r="N54" s="39"/>
      <c r="O54" s="37"/>
      <c r="P54" s="39"/>
      <c r="Q54" s="37"/>
      <c r="R54" s="39"/>
      <c r="S54" s="17"/>
      <c r="T54" s="17"/>
      <c r="U54" s="37"/>
      <c r="V54" s="37"/>
      <c r="W54" s="17"/>
      <c r="X54" s="37"/>
      <c r="Y54" s="17"/>
      <c r="Z54" s="39"/>
      <c r="AA54" s="39"/>
      <c r="AB54" s="37"/>
      <c r="AC54" s="37"/>
      <c r="AD54" s="38"/>
      <c r="AE54" s="37"/>
      <c r="AF54" s="37"/>
      <c r="AG54" s="37"/>
      <c r="AH54" s="37"/>
      <c r="AI54" s="17"/>
      <c r="AJ54" s="37"/>
      <c r="AK54" s="17"/>
      <c r="AL54" s="39"/>
      <c r="AM54" s="17"/>
      <c r="AN54" s="17"/>
      <c r="AO54" s="37"/>
      <c r="AP54" s="17"/>
      <c r="AQ54" s="37"/>
      <c r="AR54" s="37"/>
      <c r="AS54" s="37"/>
      <c r="AT54" s="17"/>
      <c r="AU54" s="37"/>
      <c r="AV54" s="37"/>
      <c r="AW54" s="38"/>
      <c r="AX54" s="37"/>
      <c r="AY54" s="38"/>
      <c r="AZ54" s="34" t="str">
        <f aca="false">IF($E54="","",COUNTA($E54,$F54,$G54,$J54,$L54,$Q54,$U54,$X54,$AM54,$AN54,$AP54,$AR54)/12)</f>
        <v/>
      </c>
      <c r="BA54" s="32" t="str">
        <f aca="false">IF($E54="","",IF(COUNTIF($E$3:$E$402,$E54)&gt;1,"DUPLICATE",""))</f>
        <v/>
      </c>
      <c r="BB54" s="17"/>
      <c r="BC54" s="35" t="str">
        <f aca="false">IF($E54="","",IFERROR(INDEX(SCORING!$C$6:$C$15,MATCH($J54,SCORING!$B$6:$B$15,0)),0)+IFERROR(INDEX(SCORING!$C$18:$C$20,MATCH($U54,SCORING!$B$18:$B$20,0)),0)+IFERROR(INDEX(SCORING!$C$23:$C$26,MATCH($X54,SCORING!$B$23:$B$26,0)),0)+IFERROR(INDEX(SCORING!$C$29:$C$32,MATCH($Q54,SCORING!$B$29:$B$32,0)),0)+IFERROR(INDEX(SCORING!$C$35:$C$37,MATCH($L54,SCORING!$B$35:$B$37,0)),0)+IF($AP54="",0,IF(AND($AQ54="Valid",$AO54="Decision maker"),SCORING!$C$40,IF($AQ54="Valid",SCORING!$C$41,SCORING!$C$42))))</f>
        <v/>
      </c>
      <c r="BD54" s="36" t="str">
        <f aca="false">IF($BC54="","",IF($BC54&gt;=SCORING!$C$46,"A",IF($BC54&gt;=SCORING!$C$47,"B",IF($BC54&gt;=SCORING!$C$48,"C","D"))))</f>
        <v/>
      </c>
      <c r="BE54" s="37"/>
    </row>
    <row r="55" customFormat="false" ht="15" hidden="false" customHeight="false" outlineLevel="0" collapsed="false">
      <c r="A55" s="37"/>
      <c r="B55" s="38"/>
      <c r="C55" s="37"/>
      <c r="D55" s="37"/>
      <c r="E55" s="17"/>
      <c r="F55" s="17"/>
      <c r="G55" s="37"/>
      <c r="H55" s="32" t="str">
        <f aca="false">IF($G55="","",IFERROR(INDEX(LISTS!$P$3:$P$145,MATCH($G55,LISTS!$O$3:$O$145,0)),"Other"))</f>
        <v/>
      </c>
      <c r="I55" s="37"/>
      <c r="J55" s="17"/>
      <c r="K55" s="17"/>
      <c r="L55" s="37"/>
      <c r="M55" s="37"/>
      <c r="N55" s="39"/>
      <c r="O55" s="37"/>
      <c r="P55" s="39"/>
      <c r="Q55" s="37"/>
      <c r="R55" s="39"/>
      <c r="S55" s="17"/>
      <c r="T55" s="17"/>
      <c r="U55" s="37"/>
      <c r="V55" s="37"/>
      <c r="W55" s="17"/>
      <c r="X55" s="37"/>
      <c r="Y55" s="17"/>
      <c r="Z55" s="39"/>
      <c r="AA55" s="39"/>
      <c r="AB55" s="37"/>
      <c r="AC55" s="37"/>
      <c r="AD55" s="38"/>
      <c r="AE55" s="37"/>
      <c r="AF55" s="37"/>
      <c r="AG55" s="37"/>
      <c r="AH55" s="37"/>
      <c r="AI55" s="17"/>
      <c r="AJ55" s="37"/>
      <c r="AK55" s="17"/>
      <c r="AL55" s="39"/>
      <c r="AM55" s="17"/>
      <c r="AN55" s="17"/>
      <c r="AO55" s="37"/>
      <c r="AP55" s="17"/>
      <c r="AQ55" s="37"/>
      <c r="AR55" s="37"/>
      <c r="AS55" s="37"/>
      <c r="AT55" s="17"/>
      <c r="AU55" s="37"/>
      <c r="AV55" s="37"/>
      <c r="AW55" s="38"/>
      <c r="AX55" s="37"/>
      <c r="AY55" s="38"/>
      <c r="AZ55" s="34" t="str">
        <f aca="false">IF($E55="","",COUNTA($E55,$F55,$G55,$J55,$L55,$Q55,$U55,$X55,$AM55,$AN55,$AP55,$AR55)/12)</f>
        <v/>
      </c>
      <c r="BA55" s="32" t="str">
        <f aca="false">IF($E55="","",IF(COUNTIF($E$3:$E$402,$E55)&gt;1,"DUPLICATE",""))</f>
        <v/>
      </c>
      <c r="BB55" s="17"/>
      <c r="BC55" s="35" t="str">
        <f aca="false">IF($E55="","",IFERROR(INDEX(SCORING!$C$6:$C$15,MATCH($J55,SCORING!$B$6:$B$15,0)),0)+IFERROR(INDEX(SCORING!$C$18:$C$20,MATCH($U55,SCORING!$B$18:$B$20,0)),0)+IFERROR(INDEX(SCORING!$C$23:$C$26,MATCH($X55,SCORING!$B$23:$B$26,0)),0)+IFERROR(INDEX(SCORING!$C$29:$C$32,MATCH($Q55,SCORING!$B$29:$B$32,0)),0)+IFERROR(INDEX(SCORING!$C$35:$C$37,MATCH($L55,SCORING!$B$35:$B$37,0)),0)+IF($AP55="",0,IF(AND($AQ55="Valid",$AO55="Decision maker"),SCORING!$C$40,IF($AQ55="Valid",SCORING!$C$41,SCORING!$C$42))))</f>
        <v/>
      </c>
      <c r="BD55" s="36" t="str">
        <f aca="false">IF($BC55="","",IF($BC55&gt;=SCORING!$C$46,"A",IF($BC55&gt;=SCORING!$C$47,"B",IF($BC55&gt;=SCORING!$C$48,"C","D"))))</f>
        <v/>
      </c>
      <c r="BE55" s="37"/>
    </row>
    <row r="56" customFormat="false" ht="15" hidden="false" customHeight="false" outlineLevel="0" collapsed="false">
      <c r="A56" s="37"/>
      <c r="B56" s="38"/>
      <c r="C56" s="37"/>
      <c r="D56" s="37"/>
      <c r="E56" s="17"/>
      <c r="F56" s="17"/>
      <c r="G56" s="37"/>
      <c r="H56" s="32" t="str">
        <f aca="false">IF($G56="","",IFERROR(INDEX(LISTS!$P$3:$P$145,MATCH($G56,LISTS!$O$3:$O$145,0)),"Other"))</f>
        <v/>
      </c>
      <c r="I56" s="37"/>
      <c r="J56" s="17"/>
      <c r="K56" s="17"/>
      <c r="L56" s="37"/>
      <c r="M56" s="37"/>
      <c r="N56" s="39"/>
      <c r="O56" s="37"/>
      <c r="P56" s="39"/>
      <c r="Q56" s="37"/>
      <c r="R56" s="39"/>
      <c r="S56" s="17"/>
      <c r="T56" s="17"/>
      <c r="U56" s="37"/>
      <c r="V56" s="37"/>
      <c r="W56" s="17"/>
      <c r="X56" s="37"/>
      <c r="Y56" s="17"/>
      <c r="Z56" s="39"/>
      <c r="AA56" s="39"/>
      <c r="AB56" s="37"/>
      <c r="AC56" s="37"/>
      <c r="AD56" s="38"/>
      <c r="AE56" s="37"/>
      <c r="AF56" s="37"/>
      <c r="AG56" s="37"/>
      <c r="AH56" s="37"/>
      <c r="AI56" s="17"/>
      <c r="AJ56" s="37"/>
      <c r="AK56" s="17"/>
      <c r="AL56" s="39"/>
      <c r="AM56" s="17"/>
      <c r="AN56" s="17"/>
      <c r="AO56" s="37"/>
      <c r="AP56" s="17"/>
      <c r="AQ56" s="37"/>
      <c r="AR56" s="37"/>
      <c r="AS56" s="37"/>
      <c r="AT56" s="17"/>
      <c r="AU56" s="37"/>
      <c r="AV56" s="37"/>
      <c r="AW56" s="38"/>
      <c r="AX56" s="37"/>
      <c r="AY56" s="38"/>
      <c r="AZ56" s="34" t="str">
        <f aca="false">IF($E56="","",COUNTA($E56,$F56,$G56,$J56,$L56,$Q56,$U56,$X56,$AM56,$AN56,$AP56,$AR56)/12)</f>
        <v/>
      </c>
      <c r="BA56" s="32" t="str">
        <f aca="false">IF($E56="","",IF(COUNTIF($E$3:$E$402,$E56)&gt;1,"DUPLICATE",""))</f>
        <v/>
      </c>
      <c r="BB56" s="17"/>
      <c r="BC56" s="35" t="str">
        <f aca="false">IF($E56="","",IFERROR(INDEX(SCORING!$C$6:$C$15,MATCH($J56,SCORING!$B$6:$B$15,0)),0)+IFERROR(INDEX(SCORING!$C$18:$C$20,MATCH($U56,SCORING!$B$18:$B$20,0)),0)+IFERROR(INDEX(SCORING!$C$23:$C$26,MATCH($X56,SCORING!$B$23:$B$26,0)),0)+IFERROR(INDEX(SCORING!$C$29:$C$32,MATCH($Q56,SCORING!$B$29:$B$32,0)),0)+IFERROR(INDEX(SCORING!$C$35:$C$37,MATCH($L56,SCORING!$B$35:$B$37,0)),0)+IF($AP56="",0,IF(AND($AQ56="Valid",$AO56="Decision maker"),SCORING!$C$40,IF($AQ56="Valid",SCORING!$C$41,SCORING!$C$42))))</f>
        <v/>
      </c>
      <c r="BD56" s="36" t="str">
        <f aca="false">IF($BC56="","",IF($BC56&gt;=SCORING!$C$46,"A",IF($BC56&gt;=SCORING!$C$47,"B",IF($BC56&gt;=SCORING!$C$48,"C","D"))))</f>
        <v/>
      </c>
      <c r="BE56" s="37"/>
    </row>
    <row r="57" customFormat="false" ht="15" hidden="false" customHeight="false" outlineLevel="0" collapsed="false">
      <c r="A57" s="37"/>
      <c r="B57" s="38"/>
      <c r="C57" s="37"/>
      <c r="D57" s="37"/>
      <c r="E57" s="17"/>
      <c r="F57" s="17"/>
      <c r="G57" s="37"/>
      <c r="H57" s="32" t="str">
        <f aca="false">IF($G57="","",IFERROR(INDEX(LISTS!$P$3:$P$145,MATCH($G57,LISTS!$O$3:$O$145,0)),"Other"))</f>
        <v/>
      </c>
      <c r="I57" s="37"/>
      <c r="J57" s="17"/>
      <c r="K57" s="17"/>
      <c r="L57" s="37"/>
      <c r="M57" s="37"/>
      <c r="N57" s="39"/>
      <c r="O57" s="37"/>
      <c r="P57" s="39"/>
      <c r="Q57" s="37"/>
      <c r="R57" s="39"/>
      <c r="S57" s="17"/>
      <c r="T57" s="17"/>
      <c r="U57" s="37"/>
      <c r="V57" s="37"/>
      <c r="W57" s="17"/>
      <c r="X57" s="37"/>
      <c r="Y57" s="17"/>
      <c r="Z57" s="39"/>
      <c r="AA57" s="39"/>
      <c r="AB57" s="37"/>
      <c r="AC57" s="37"/>
      <c r="AD57" s="38"/>
      <c r="AE57" s="37"/>
      <c r="AF57" s="37"/>
      <c r="AG57" s="37"/>
      <c r="AH57" s="37"/>
      <c r="AI57" s="17"/>
      <c r="AJ57" s="37"/>
      <c r="AK57" s="17"/>
      <c r="AL57" s="39"/>
      <c r="AM57" s="17"/>
      <c r="AN57" s="17"/>
      <c r="AO57" s="37"/>
      <c r="AP57" s="17"/>
      <c r="AQ57" s="37"/>
      <c r="AR57" s="37"/>
      <c r="AS57" s="37"/>
      <c r="AT57" s="17"/>
      <c r="AU57" s="37"/>
      <c r="AV57" s="37"/>
      <c r="AW57" s="38"/>
      <c r="AX57" s="37"/>
      <c r="AY57" s="38"/>
      <c r="AZ57" s="34" t="str">
        <f aca="false">IF($E57="","",COUNTA($E57,$F57,$G57,$J57,$L57,$Q57,$U57,$X57,$AM57,$AN57,$AP57,$AR57)/12)</f>
        <v/>
      </c>
      <c r="BA57" s="32" t="str">
        <f aca="false">IF($E57="","",IF(COUNTIF($E$3:$E$402,$E57)&gt;1,"DUPLICATE",""))</f>
        <v/>
      </c>
      <c r="BB57" s="17"/>
      <c r="BC57" s="35" t="str">
        <f aca="false">IF($E57="","",IFERROR(INDEX(SCORING!$C$6:$C$15,MATCH($J57,SCORING!$B$6:$B$15,0)),0)+IFERROR(INDEX(SCORING!$C$18:$C$20,MATCH($U57,SCORING!$B$18:$B$20,0)),0)+IFERROR(INDEX(SCORING!$C$23:$C$26,MATCH($X57,SCORING!$B$23:$B$26,0)),0)+IFERROR(INDEX(SCORING!$C$29:$C$32,MATCH($Q57,SCORING!$B$29:$B$32,0)),0)+IFERROR(INDEX(SCORING!$C$35:$C$37,MATCH($L57,SCORING!$B$35:$B$37,0)),0)+IF($AP57="",0,IF(AND($AQ57="Valid",$AO57="Decision maker"),SCORING!$C$40,IF($AQ57="Valid",SCORING!$C$41,SCORING!$C$42))))</f>
        <v/>
      </c>
      <c r="BD57" s="36" t="str">
        <f aca="false">IF($BC57="","",IF($BC57&gt;=SCORING!$C$46,"A",IF($BC57&gt;=SCORING!$C$47,"B",IF($BC57&gt;=SCORING!$C$48,"C","D"))))</f>
        <v/>
      </c>
      <c r="BE57" s="37"/>
    </row>
    <row r="58" customFormat="false" ht="15" hidden="false" customHeight="false" outlineLevel="0" collapsed="false">
      <c r="A58" s="37"/>
      <c r="B58" s="38"/>
      <c r="C58" s="37"/>
      <c r="D58" s="37"/>
      <c r="E58" s="17"/>
      <c r="F58" s="17"/>
      <c r="G58" s="37"/>
      <c r="H58" s="32" t="str">
        <f aca="false">IF($G58="","",IFERROR(INDEX(LISTS!$P$3:$P$145,MATCH($G58,LISTS!$O$3:$O$145,0)),"Other"))</f>
        <v/>
      </c>
      <c r="I58" s="37"/>
      <c r="J58" s="17"/>
      <c r="K58" s="17"/>
      <c r="L58" s="37"/>
      <c r="M58" s="37"/>
      <c r="N58" s="39"/>
      <c r="O58" s="37"/>
      <c r="P58" s="39"/>
      <c r="Q58" s="37"/>
      <c r="R58" s="39"/>
      <c r="S58" s="17"/>
      <c r="T58" s="17"/>
      <c r="U58" s="37"/>
      <c r="V58" s="37"/>
      <c r="W58" s="17"/>
      <c r="X58" s="37"/>
      <c r="Y58" s="17"/>
      <c r="Z58" s="39"/>
      <c r="AA58" s="39"/>
      <c r="AB58" s="37"/>
      <c r="AC58" s="37"/>
      <c r="AD58" s="38"/>
      <c r="AE58" s="37"/>
      <c r="AF58" s="37"/>
      <c r="AG58" s="37"/>
      <c r="AH58" s="37"/>
      <c r="AI58" s="17"/>
      <c r="AJ58" s="37"/>
      <c r="AK58" s="17"/>
      <c r="AL58" s="39"/>
      <c r="AM58" s="17"/>
      <c r="AN58" s="17"/>
      <c r="AO58" s="37"/>
      <c r="AP58" s="17"/>
      <c r="AQ58" s="37"/>
      <c r="AR58" s="37"/>
      <c r="AS58" s="37"/>
      <c r="AT58" s="17"/>
      <c r="AU58" s="37"/>
      <c r="AV58" s="37"/>
      <c r="AW58" s="38"/>
      <c r="AX58" s="37"/>
      <c r="AY58" s="38"/>
      <c r="AZ58" s="34" t="str">
        <f aca="false">IF($E58="","",COUNTA($E58,$F58,$G58,$J58,$L58,$Q58,$U58,$X58,$AM58,$AN58,$AP58,$AR58)/12)</f>
        <v/>
      </c>
      <c r="BA58" s="32" t="str">
        <f aca="false">IF($E58="","",IF(COUNTIF($E$3:$E$402,$E58)&gt;1,"DUPLICATE",""))</f>
        <v/>
      </c>
      <c r="BB58" s="17"/>
      <c r="BC58" s="35" t="str">
        <f aca="false">IF($E58="","",IFERROR(INDEX(SCORING!$C$6:$C$15,MATCH($J58,SCORING!$B$6:$B$15,0)),0)+IFERROR(INDEX(SCORING!$C$18:$C$20,MATCH($U58,SCORING!$B$18:$B$20,0)),0)+IFERROR(INDEX(SCORING!$C$23:$C$26,MATCH($X58,SCORING!$B$23:$B$26,0)),0)+IFERROR(INDEX(SCORING!$C$29:$C$32,MATCH($Q58,SCORING!$B$29:$B$32,0)),0)+IFERROR(INDEX(SCORING!$C$35:$C$37,MATCH($L58,SCORING!$B$35:$B$37,0)),0)+IF($AP58="",0,IF(AND($AQ58="Valid",$AO58="Decision maker"),SCORING!$C$40,IF($AQ58="Valid",SCORING!$C$41,SCORING!$C$42))))</f>
        <v/>
      </c>
      <c r="BD58" s="36" t="str">
        <f aca="false">IF($BC58="","",IF($BC58&gt;=SCORING!$C$46,"A",IF($BC58&gt;=SCORING!$C$47,"B",IF($BC58&gt;=SCORING!$C$48,"C","D"))))</f>
        <v/>
      </c>
      <c r="BE58" s="37"/>
    </row>
    <row r="59" customFormat="false" ht="15" hidden="false" customHeight="false" outlineLevel="0" collapsed="false">
      <c r="A59" s="37"/>
      <c r="B59" s="38"/>
      <c r="C59" s="37"/>
      <c r="D59" s="37"/>
      <c r="E59" s="17"/>
      <c r="F59" s="17"/>
      <c r="G59" s="37"/>
      <c r="H59" s="32" t="str">
        <f aca="false">IF($G59="","",IFERROR(INDEX(LISTS!$P$3:$P$145,MATCH($G59,LISTS!$O$3:$O$145,0)),"Other"))</f>
        <v/>
      </c>
      <c r="I59" s="37"/>
      <c r="J59" s="17"/>
      <c r="K59" s="17"/>
      <c r="L59" s="37"/>
      <c r="M59" s="37"/>
      <c r="N59" s="39"/>
      <c r="O59" s="37"/>
      <c r="P59" s="39"/>
      <c r="Q59" s="37"/>
      <c r="R59" s="39"/>
      <c r="S59" s="17"/>
      <c r="T59" s="17"/>
      <c r="U59" s="37"/>
      <c r="V59" s="37"/>
      <c r="W59" s="17"/>
      <c r="X59" s="37"/>
      <c r="Y59" s="17"/>
      <c r="Z59" s="39"/>
      <c r="AA59" s="39"/>
      <c r="AB59" s="37"/>
      <c r="AC59" s="37"/>
      <c r="AD59" s="38"/>
      <c r="AE59" s="37"/>
      <c r="AF59" s="37"/>
      <c r="AG59" s="37"/>
      <c r="AH59" s="37"/>
      <c r="AI59" s="17"/>
      <c r="AJ59" s="37"/>
      <c r="AK59" s="17"/>
      <c r="AL59" s="39"/>
      <c r="AM59" s="17"/>
      <c r="AN59" s="17"/>
      <c r="AO59" s="37"/>
      <c r="AP59" s="17"/>
      <c r="AQ59" s="37"/>
      <c r="AR59" s="37"/>
      <c r="AS59" s="37"/>
      <c r="AT59" s="17"/>
      <c r="AU59" s="37"/>
      <c r="AV59" s="37"/>
      <c r="AW59" s="38"/>
      <c r="AX59" s="37"/>
      <c r="AY59" s="38"/>
      <c r="AZ59" s="34" t="str">
        <f aca="false">IF($E59="","",COUNTA($E59,$F59,$G59,$J59,$L59,$Q59,$U59,$X59,$AM59,$AN59,$AP59,$AR59)/12)</f>
        <v/>
      </c>
      <c r="BA59" s="32" t="str">
        <f aca="false">IF($E59="","",IF(COUNTIF($E$3:$E$402,$E59)&gt;1,"DUPLICATE",""))</f>
        <v/>
      </c>
      <c r="BB59" s="17"/>
      <c r="BC59" s="35" t="str">
        <f aca="false">IF($E59="","",IFERROR(INDEX(SCORING!$C$6:$C$15,MATCH($J59,SCORING!$B$6:$B$15,0)),0)+IFERROR(INDEX(SCORING!$C$18:$C$20,MATCH($U59,SCORING!$B$18:$B$20,0)),0)+IFERROR(INDEX(SCORING!$C$23:$C$26,MATCH($X59,SCORING!$B$23:$B$26,0)),0)+IFERROR(INDEX(SCORING!$C$29:$C$32,MATCH($Q59,SCORING!$B$29:$B$32,0)),0)+IFERROR(INDEX(SCORING!$C$35:$C$37,MATCH($L59,SCORING!$B$35:$B$37,0)),0)+IF($AP59="",0,IF(AND($AQ59="Valid",$AO59="Decision maker"),SCORING!$C$40,IF($AQ59="Valid",SCORING!$C$41,SCORING!$C$42))))</f>
        <v/>
      </c>
      <c r="BD59" s="36" t="str">
        <f aca="false">IF($BC59="","",IF($BC59&gt;=SCORING!$C$46,"A",IF($BC59&gt;=SCORING!$C$47,"B",IF($BC59&gt;=SCORING!$C$48,"C","D"))))</f>
        <v/>
      </c>
      <c r="BE59" s="37"/>
    </row>
    <row r="60" customFormat="false" ht="15" hidden="false" customHeight="false" outlineLevel="0" collapsed="false">
      <c r="A60" s="37"/>
      <c r="B60" s="38"/>
      <c r="C60" s="37"/>
      <c r="D60" s="37"/>
      <c r="E60" s="17"/>
      <c r="F60" s="17"/>
      <c r="G60" s="37"/>
      <c r="H60" s="32" t="str">
        <f aca="false">IF($G60="","",IFERROR(INDEX(LISTS!$P$3:$P$145,MATCH($G60,LISTS!$O$3:$O$145,0)),"Other"))</f>
        <v/>
      </c>
      <c r="I60" s="37"/>
      <c r="J60" s="17"/>
      <c r="K60" s="17"/>
      <c r="L60" s="37"/>
      <c r="M60" s="37"/>
      <c r="N60" s="39"/>
      <c r="O60" s="37"/>
      <c r="P60" s="39"/>
      <c r="Q60" s="37"/>
      <c r="R60" s="39"/>
      <c r="S60" s="17"/>
      <c r="T60" s="17"/>
      <c r="U60" s="37"/>
      <c r="V60" s="37"/>
      <c r="W60" s="17"/>
      <c r="X60" s="37"/>
      <c r="Y60" s="17"/>
      <c r="Z60" s="39"/>
      <c r="AA60" s="39"/>
      <c r="AB60" s="37"/>
      <c r="AC60" s="37"/>
      <c r="AD60" s="38"/>
      <c r="AE60" s="37"/>
      <c r="AF60" s="37"/>
      <c r="AG60" s="37"/>
      <c r="AH60" s="37"/>
      <c r="AI60" s="17"/>
      <c r="AJ60" s="37"/>
      <c r="AK60" s="17"/>
      <c r="AL60" s="39"/>
      <c r="AM60" s="17"/>
      <c r="AN60" s="17"/>
      <c r="AO60" s="37"/>
      <c r="AP60" s="17"/>
      <c r="AQ60" s="37"/>
      <c r="AR60" s="37"/>
      <c r="AS60" s="37"/>
      <c r="AT60" s="17"/>
      <c r="AU60" s="37"/>
      <c r="AV60" s="37"/>
      <c r="AW60" s="38"/>
      <c r="AX60" s="37"/>
      <c r="AY60" s="38"/>
      <c r="AZ60" s="34" t="str">
        <f aca="false">IF($E60="","",COUNTA($E60,$F60,$G60,$J60,$L60,$Q60,$U60,$X60,$AM60,$AN60,$AP60,$AR60)/12)</f>
        <v/>
      </c>
      <c r="BA60" s="32" t="str">
        <f aca="false">IF($E60="","",IF(COUNTIF($E$3:$E$402,$E60)&gt;1,"DUPLICATE",""))</f>
        <v/>
      </c>
      <c r="BB60" s="17"/>
      <c r="BC60" s="35" t="str">
        <f aca="false">IF($E60="","",IFERROR(INDEX(SCORING!$C$6:$C$15,MATCH($J60,SCORING!$B$6:$B$15,0)),0)+IFERROR(INDEX(SCORING!$C$18:$C$20,MATCH($U60,SCORING!$B$18:$B$20,0)),0)+IFERROR(INDEX(SCORING!$C$23:$C$26,MATCH($X60,SCORING!$B$23:$B$26,0)),0)+IFERROR(INDEX(SCORING!$C$29:$C$32,MATCH($Q60,SCORING!$B$29:$B$32,0)),0)+IFERROR(INDEX(SCORING!$C$35:$C$37,MATCH($L60,SCORING!$B$35:$B$37,0)),0)+IF($AP60="",0,IF(AND($AQ60="Valid",$AO60="Decision maker"),SCORING!$C$40,IF($AQ60="Valid",SCORING!$C$41,SCORING!$C$42))))</f>
        <v/>
      </c>
      <c r="BD60" s="36" t="str">
        <f aca="false">IF($BC60="","",IF($BC60&gt;=SCORING!$C$46,"A",IF($BC60&gt;=SCORING!$C$47,"B",IF($BC60&gt;=SCORING!$C$48,"C","D"))))</f>
        <v/>
      </c>
      <c r="BE60" s="37"/>
    </row>
    <row r="61" customFormat="false" ht="15" hidden="false" customHeight="false" outlineLevel="0" collapsed="false">
      <c r="A61" s="37"/>
      <c r="B61" s="38"/>
      <c r="C61" s="37"/>
      <c r="D61" s="37"/>
      <c r="E61" s="17"/>
      <c r="F61" s="17"/>
      <c r="G61" s="37"/>
      <c r="H61" s="32" t="str">
        <f aca="false">IF($G61="","",IFERROR(INDEX(LISTS!$P$3:$P$145,MATCH($G61,LISTS!$O$3:$O$145,0)),"Other"))</f>
        <v/>
      </c>
      <c r="I61" s="37"/>
      <c r="J61" s="17"/>
      <c r="K61" s="17"/>
      <c r="L61" s="37"/>
      <c r="M61" s="37"/>
      <c r="N61" s="39"/>
      <c r="O61" s="37"/>
      <c r="P61" s="39"/>
      <c r="Q61" s="37"/>
      <c r="R61" s="39"/>
      <c r="S61" s="17"/>
      <c r="T61" s="17"/>
      <c r="U61" s="37"/>
      <c r="V61" s="37"/>
      <c r="W61" s="17"/>
      <c r="X61" s="37"/>
      <c r="Y61" s="17"/>
      <c r="Z61" s="39"/>
      <c r="AA61" s="39"/>
      <c r="AB61" s="37"/>
      <c r="AC61" s="37"/>
      <c r="AD61" s="38"/>
      <c r="AE61" s="37"/>
      <c r="AF61" s="37"/>
      <c r="AG61" s="37"/>
      <c r="AH61" s="37"/>
      <c r="AI61" s="17"/>
      <c r="AJ61" s="37"/>
      <c r="AK61" s="17"/>
      <c r="AL61" s="39"/>
      <c r="AM61" s="17"/>
      <c r="AN61" s="17"/>
      <c r="AO61" s="37"/>
      <c r="AP61" s="17"/>
      <c r="AQ61" s="37"/>
      <c r="AR61" s="37"/>
      <c r="AS61" s="37"/>
      <c r="AT61" s="17"/>
      <c r="AU61" s="37"/>
      <c r="AV61" s="37"/>
      <c r="AW61" s="38"/>
      <c r="AX61" s="37"/>
      <c r="AY61" s="38"/>
      <c r="AZ61" s="34" t="str">
        <f aca="false">IF($E61="","",COUNTA($E61,$F61,$G61,$J61,$L61,$Q61,$U61,$X61,$AM61,$AN61,$AP61,$AR61)/12)</f>
        <v/>
      </c>
      <c r="BA61" s="32" t="str">
        <f aca="false">IF($E61="","",IF(COUNTIF($E$3:$E$402,$E61)&gt;1,"DUPLICATE",""))</f>
        <v/>
      </c>
      <c r="BB61" s="17"/>
      <c r="BC61" s="35" t="str">
        <f aca="false">IF($E61="","",IFERROR(INDEX(SCORING!$C$6:$C$15,MATCH($J61,SCORING!$B$6:$B$15,0)),0)+IFERROR(INDEX(SCORING!$C$18:$C$20,MATCH($U61,SCORING!$B$18:$B$20,0)),0)+IFERROR(INDEX(SCORING!$C$23:$C$26,MATCH($X61,SCORING!$B$23:$B$26,0)),0)+IFERROR(INDEX(SCORING!$C$29:$C$32,MATCH($Q61,SCORING!$B$29:$B$32,0)),0)+IFERROR(INDEX(SCORING!$C$35:$C$37,MATCH($L61,SCORING!$B$35:$B$37,0)),0)+IF($AP61="",0,IF(AND($AQ61="Valid",$AO61="Decision maker"),SCORING!$C$40,IF($AQ61="Valid",SCORING!$C$41,SCORING!$C$42))))</f>
        <v/>
      </c>
      <c r="BD61" s="36" t="str">
        <f aca="false">IF($BC61="","",IF($BC61&gt;=SCORING!$C$46,"A",IF($BC61&gt;=SCORING!$C$47,"B",IF($BC61&gt;=SCORING!$C$48,"C","D"))))</f>
        <v/>
      </c>
      <c r="BE61" s="37"/>
    </row>
    <row r="62" customFormat="false" ht="15" hidden="false" customHeight="false" outlineLevel="0" collapsed="false">
      <c r="A62" s="37"/>
      <c r="B62" s="38"/>
      <c r="C62" s="37"/>
      <c r="D62" s="37"/>
      <c r="E62" s="17"/>
      <c r="F62" s="17"/>
      <c r="G62" s="37"/>
      <c r="H62" s="32" t="str">
        <f aca="false">IF($G62="","",IFERROR(INDEX(LISTS!$P$3:$P$145,MATCH($G62,LISTS!$O$3:$O$145,0)),"Other"))</f>
        <v/>
      </c>
      <c r="I62" s="37"/>
      <c r="J62" s="17"/>
      <c r="K62" s="17"/>
      <c r="L62" s="37"/>
      <c r="M62" s="37"/>
      <c r="N62" s="39"/>
      <c r="O62" s="37"/>
      <c r="P62" s="39"/>
      <c r="Q62" s="37"/>
      <c r="R62" s="39"/>
      <c r="S62" s="17"/>
      <c r="T62" s="17"/>
      <c r="U62" s="37"/>
      <c r="V62" s="37"/>
      <c r="W62" s="17"/>
      <c r="X62" s="37"/>
      <c r="Y62" s="17"/>
      <c r="Z62" s="39"/>
      <c r="AA62" s="39"/>
      <c r="AB62" s="37"/>
      <c r="AC62" s="37"/>
      <c r="AD62" s="38"/>
      <c r="AE62" s="37"/>
      <c r="AF62" s="37"/>
      <c r="AG62" s="37"/>
      <c r="AH62" s="37"/>
      <c r="AI62" s="17"/>
      <c r="AJ62" s="37"/>
      <c r="AK62" s="17"/>
      <c r="AL62" s="39"/>
      <c r="AM62" s="17"/>
      <c r="AN62" s="17"/>
      <c r="AO62" s="37"/>
      <c r="AP62" s="17"/>
      <c r="AQ62" s="37"/>
      <c r="AR62" s="37"/>
      <c r="AS62" s="37"/>
      <c r="AT62" s="17"/>
      <c r="AU62" s="37"/>
      <c r="AV62" s="37"/>
      <c r="AW62" s="38"/>
      <c r="AX62" s="37"/>
      <c r="AY62" s="38"/>
      <c r="AZ62" s="34" t="str">
        <f aca="false">IF($E62="","",COUNTA($E62,$F62,$G62,$J62,$L62,$Q62,$U62,$X62,$AM62,$AN62,$AP62,$AR62)/12)</f>
        <v/>
      </c>
      <c r="BA62" s="32" t="str">
        <f aca="false">IF($E62="","",IF(COUNTIF($E$3:$E$402,$E62)&gt;1,"DUPLICATE",""))</f>
        <v/>
      </c>
      <c r="BB62" s="17"/>
      <c r="BC62" s="35" t="str">
        <f aca="false">IF($E62="","",IFERROR(INDEX(SCORING!$C$6:$C$15,MATCH($J62,SCORING!$B$6:$B$15,0)),0)+IFERROR(INDEX(SCORING!$C$18:$C$20,MATCH($U62,SCORING!$B$18:$B$20,0)),0)+IFERROR(INDEX(SCORING!$C$23:$C$26,MATCH($X62,SCORING!$B$23:$B$26,0)),0)+IFERROR(INDEX(SCORING!$C$29:$C$32,MATCH($Q62,SCORING!$B$29:$B$32,0)),0)+IFERROR(INDEX(SCORING!$C$35:$C$37,MATCH($L62,SCORING!$B$35:$B$37,0)),0)+IF($AP62="",0,IF(AND($AQ62="Valid",$AO62="Decision maker"),SCORING!$C$40,IF($AQ62="Valid",SCORING!$C$41,SCORING!$C$42))))</f>
        <v/>
      </c>
      <c r="BD62" s="36" t="str">
        <f aca="false">IF($BC62="","",IF($BC62&gt;=SCORING!$C$46,"A",IF($BC62&gt;=SCORING!$C$47,"B",IF($BC62&gt;=SCORING!$C$48,"C","D"))))</f>
        <v/>
      </c>
      <c r="BE62" s="37"/>
    </row>
    <row r="63" customFormat="false" ht="15" hidden="false" customHeight="false" outlineLevel="0" collapsed="false">
      <c r="A63" s="37"/>
      <c r="B63" s="38"/>
      <c r="C63" s="37"/>
      <c r="D63" s="37"/>
      <c r="E63" s="17"/>
      <c r="F63" s="17"/>
      <c r="G63" s="37"/>
      <c r="H63" s="32" t="str">
        <f aca="false">IF($G63="","",IFERROR(INDEX(LISTS!$P$3:$P$145,MATCH($G63,LISTS!$O$3:$O$145,0)),"Other"))</f>
        <v/>
      </c>
      <c r="I63" s="37"/>
      <c r="J63" s="17"/>
      <c r="K63" s="17"/>
      <c r="L63" s="37"/>
      <c r="M63" s="37"/>
      <c r="N63" s="39"/>
      <c r="O63" s="37"/>
      <c r="P63" s="39"/>
      <c r="Q63" s="37"/>
      <c r="R63" s="39"/>
      <c r="S63" s="17"/>
      <c r="T63" s="17"/>
      <c r="U63" s="37"/>
      <c r="V63" s="37"/>
      <c r="W63" s="17"/>
      <c r="X63" s="37"/>
      <c r="Y63" s="17"/>
      <c r="Z63" s="39"/>
      <c r="AA63" s="39"/>
      <c r="AB63" s="37"/>
      <c r="AC63" s="37"/>
      <c r="AD63" s="38"/>
      <c r="AE63" s="37"/>
      <c r="AF63" s="37"/>
      <c r="AG63" s="37"/>
      <c r="AH63" s="37"/>
      <c r="AI63" s="17"/>
      <c r="AJ63" s="37"/>
      <c r="AK63" s="17"/>
      <c r="AL63" s="39"/>
      <c r="AM63" s="17"/>
      <c r="AN63" s="17"/>
      <c r="AO63" s="37"/>
      <c r="AP63" s="17"/>
      <c r="AQ63" s="37"/>
      <c r="AR63" s="37"/>
      <c r="AS63" s="37"/>
      <c r="AT63" s="17"/>
      <c r="AU63" s="37"/>
      <c r="AV63" s="37"/>
      <c r="AW63" s="38"/>
      <c r="AX63" s="37"/>
      <c r="AY63" s="38"/>
      <c r="AZ63" s="34" t="str">
        <f aca="false">IF($E63="","",COUNTA($E63,$F63,$G63,$J63,$L63,$Q63,$U63,$X63,$AM63,$AN63,$AP63,$AR63)/12)</f>
        <v/>
      </c>
      <c r="BA63" s="32" t="str">
        <f aca="false">IF($E63="","",IF(COUNTIF($E$3:$E$402,$E63)&gt;1,"DUPLICATE",""))</f>
        <v/>
      </c>
      <c r="BB63" s="17"/>
      <c r="BC63" s="35" t="str">
        <f aca="false">IF($E63="","",IFERROR(INDEX(SCORING!$C$6:$C$15,MATCH($J63,SCORING!$B$6:$B$15,0)),0)+IFERROR(INDEX(SCORING!$C$18:$C$20,MATCH($U63,SCORING!$B$18:$B$20,0)),0)+IFERROR(INDEX(SCORING!$C$23:$C$26,MATCH($X63,SCORING!$B$23:$B$26,0)),0)+IFERROR(INDEX(SCORING!$C$29:$C$32,MATCH($Q63,SCORING!$B$29:$B$32,0)),0)+IFERROR(INDEX(SCORING!$C$35:$C$37,MATCH($L63,SCORING!$B$35:$B$37,0)),0)+IF($AP63="",0,IF(AND($AQ63="Valid",$AO63="Decision maker"),SCORING!$C$40,IF($AQ63="Valid",SCORING!$C$41,SCORING!$C$42))))</f>
        <v/>
      </c>
      <c r="BD63" s="36" t="str">
        <f aca="false">IF($BC63="","",IF($BC63&gt;=SCORING!$C$46,"A",IF($BC63&gt;=SCORING!$C$47,"B",IF($BC63&gt;=SCORING!$C$48,"C","D"))))</f>
        <v/>
      </c>
      <c r="BE63" s="37"/>
    </row>
    <row r="64" customFormat="false" ht="15" hidden="false" customHeight="false" outlineLevel="0" collapsed="false">
      <c r="A64" s="37"/>
      <c r="B64" s="38"/>
      <c r="C64" s="37"/>
      <c r="D64" s="37"/>
      <c r="E64" s="17"/>
      <c r="F64" s="17"/>
      <c r="G64" s="37"/>
      <c r="H64" s="32" t="str">
        <f aca="false">IF($G64="","",IFERROR(INDEX(LISTS!$P$3:$P$145,MATCH($G64,LISTS!$O$3:$O$145,0)),"Other"))</f>
        <v/>
      </c>
      <c r="I64" s="37"/>
      <c r="J64" s="17"/>
      <c r="K64" s="17"/>
      <c r="L64" s="37"/>
      <c r="M64" s="37"/>
      <c r="N64" s="39"/>
      <c r="O64" s="37"/>
      <c r="P64" s="39"/>
      <c r="Q64" s="37"/>
      <c r="R64" s="39"/>
      <c r="S64" s="17"/>
      <c r="T64" s="17"/>
      <c r="U64" s="37"/>
      <c r="V64" s="37"/>
      <c r="W64" s="17"/>
      <c r="X64" s="37"/>
      <c r="Y64" s="17"/>
      <c r="Z64" s="39"/>
      <c r="AA64" s="39"/>
      <c r="AB64" s="37"/>
      <c r="AC64" s="37"/>
      <c r="AD64" s="38"/>
      <c r="AE64" s="37"/>
      <c r="AF64" s="37"/>
      <c r="AG64" s="37"/>
      <c r="AH64" s="37"/>
      <c r="AI64" s="17"/>
      <c r="AJ64" s="37"/>
      <c r="AK64" s="17"/>
      <c r="AL64" s="39"/>
      <c r="AM64" s="17"/>
      <c r="AN64" s="17"/>
      <c r="AO64" s="37"/>
      <c r="AP64" s="17"/>
      <c r="AQ64" s="37"/>
      <c r="AR64" s="37"/>
      <c r="AS64" s="37"/>
      <c r="AT64" s="17"/>
      <c r="AU64" s="37"/>
      <c r="AV64" s="37"/>
      <c r="AW64" s="38"/>
      <c r="AX64" s="37"/>
      <c r="AY64" s="38"/>
      <c r="AZ64" s="34" t="str">
        <f aca="false">IF($E64="","",COUNTA($E64,$F64,$G64,$J64,$L64,$Q64,$U64,$X64,$AM64,$AN64,$AP64,$AR64)/12)</f>
        <v/>
      </c>
      <c r="BA64" s="32" t="str">
        <f aca="false">IF($E64="","",IF(COUNTIF($E$3:$E$402,$E64)&gt;1,"DUPLICATE",""))</f>
        <v/>
      </c>
      <c r="BB64" s="17"/>
      <c r="BC64" s="35" t="str">
        <f aca="false">IF($E64="","",IFERROR(INDEX(SCORING!$C$6:$C$15,MATCH($J64,SCORING!$B$6:$B$15,0)),0)+IFERROR(INDEX(SCORING!$C$18:$C$20,MATCH($U64,SCORING!$B$18:$B$20,0)),0)+IFERROR(INDEX(SCORING!$C$23:$C$26,MATCH($X64,SCORING!$B$23:$B$26,0)),0)+IFERROR(INDEX(SCORING!$C$29:$C$32,MATCH($Q64,SCORING!$B$29:$B$32,0)),0)+IFERROR(INDEX(SCORING!$C$35:$C$37,MATCH($L64,SCORING!$B$35:$B$37,0)),0)+IF($AP64="",0,IF(AND($AQ64="Valid",$AO64="Decision maker"),SCORING!$C$40,IF($AQ64="Valid",SCORING!$C$41,SCORING!$C$42))))</f>
        <v/>
      </c>
      <c r="BD64" s="36" t="str">
        <f aca="false">IF($BC64="","",IF($BC64&gt;=SCORING!$C$46,"A",IF($BC64&gt;=SCORING!$C$47,"B",IF($BC64&gt;=SCORING!$C$48,"C","D"))))</f>
        <v/>
      </c>
      <c r="BE64" s="37"/>
    </row>
    <row r="65" customFormat="false" ht="15" hidden="false" customHeight="false" outlineLevel="0" collapsed="false">
      <c r="A65" s="37"/>
      <c r="B65" s="38"/>
      <c r="C65" s="37"/>
      <c r="D65" s="37"/>
      <c r="E65" s="17"/>
      <c r="F65" s="17"/>
      <c r="G65" s="37"/>
      <c r="H65" s="32" t="str">
        <f aca="false">IF($G65="","",IFERROR(INDEX(LISTS!$P$3:$P$145,MATCH($G65,LISTS!$O$3:$O$145,0)),"Other"))</f>
        <v/>
      </c>
      <c r="I65" s="37"/>
      <c r="J65" s="17"/>
      <c r="K65" s="17"/>
      <c r="L65" s="37"/>
      <c r="M65" s="37"/>
      <c r="N65" s="39"/>
      <c r="O65" s="37"/>
      <c r="P65" s="39"/>
      <c r="Q65" s="37"/>
      <c r="R65" s="39"/>
      <c r="S65" s="17"/>
      <c r="T65" s="17"/>
      <c r="U65" s="37"/>
      <c r="V65" s="37"/>
      <c r="W65" s="17"/>
      <c r="X65" s="37"/>
      <c r="Y65" s="17"/>
      <c r="Z65" s="39"/>
      <c r="AA65" s="39"/>
      <c r="AB65" s="37"/>
      <c r="AC65" s="37"/>
      <c r="AD65" s="38"/>
      <c r="AE65" s="37"/>
      <c r="AF65" s="37"/>
      <c r="AG65" s="37"/>
      <c r="AH65" s="37"/>
      <c r="AI65" s="17"/>
      <c r="AJ65" s="37"/>
      <c r="AK65" s="17"/>
      <c r="AL65" s="39"/>
      <c r="AM65" s="17"/>
      <c r="AN65" s="17"/>
      <c r="AO65" s="37"/>
      <c r="AP65" s="17"/>
      <c r="AQ65" s="37"/>
      <c r="AR65" s="37"/>
      <c r="AS65" s="37"/>
      <c r="AT65" s="17"/>
      <c r="AU65" s="37"/>
      <c r="AV65" s="37"/>
      <c r="AW65" s="38"/>
      <c r="AX65" s="37"/>
      <c r="AY65" s="38"/>
      <c r="AZ65" s="34" t="str">
        <f aca="false">IF($E65="","",COUNTA($E65,$F65,$G65,$J65,$L65,$Q65,$U65,$X65,$AM65,$AN65,$AP65,$AR65)/12)</f>
        <v/>
      </c>
      <c r="BA65" s="32" t="str">
        <f aca="false">IF($E65="","",IF(COUNTIF($E$3:$E$402,$E65)&gt;1,"DUPLICATE",""))</f>
        <v/>
      </c>
      <c r="BB65" s="17"/>
      <c r="BC65" s="35" t="str">
        <f aca="false">IF($E65="","",IFERROR(INDEX(SCORING!$C$6:$C$15,MATCH($J65,SCORING!$B$6:$B$15,0)),0)+IFERROR(INDEX(SCORING!$C$18:$C$20,MATCH($U65,SCORING!$B$18:$B$20,0)),0)+IFERROR(INDEX(SCORING!$C$23:$C$26,MATCH($X65,SCORING!$B$23:$B$26,0)),0)+IFERROR(INDEX(SCORING!$C$29:$C$32,MATCH($Q65,SCORING!$B$29:$B$32,0)),0)+IFERROR(INDEX(SCORING!$C$35:$C$37,MATCH($L65,SCORING!$B$35:$B$37,0)),0)+IF($AP65="",0,IF(AND($AQ65="Valid",$AO65="Decision maker"),SCORING!$C$40,IF($AQ65="Valid",SCORING!$C$41,SCORING!$C$42))))</f>
        <v/>
      </c>
      <c r="BD65" s="36" t="str">
        <f aca="false">IF($BC65="","",IF($BC65&gt;=SCORING!$C$46,"A",IF($BC65&gt;=SCORING!$C$47,"B",IF($BC65&gt;=SCORING!$C$48,"C","D"))))</f>
        <v/>
      </c>
      <c r="BE65" s="37"/>
    </row>
    <row r="66" customFormat="false" ht="15" hidden="false" customHeight="false" outlineLevel="0" collapsed="false">
      <c r="A66" s="37"/>
      <c r="B66" s="38"/>
      <c r="C66" s="37"/>
      <c r="D66" s="37"/>
      <c r="E66" s="17"/>
      <c r="F66" s="17"/>
      <c r="G66" s="37"/>
      <c r="H66" s="32" t="str">
        <f aca="false">IF($G66="","",IFERROR(INDEX(LISTS!$P$3:$P$145,MATCH($G66,LISTS!$O$3:$O$145,0)),"Other"))</f>
        <v/>
      </c>
      <c r="I66" s="37"/>
      <c r="J66" s="17"/>
      <c r="K66" s="17"/>
      <c r="L66" s="37"/>
      <c r="M66" s="37"/>
      <c r="N66" s="39"/>
      <c r="O66" s="37"/>
      <c r="P66" s="39"/>
      <c r="Q66" s="37"/>
      <c r="R66" s="39"/>
      <c r="S66" s="17"/>
      <c r="T66" s="17"/>
      <c r="U66" s="37"/>
      <c r="V66" s="37"/>
      <c r="W66" s="17"/>
      <c r="X66" s="37"/>
      <c r="Y66" s="17"/>
      <c r="Z66" s="39"/>
      <c r="AA66" s="39"/>
      <c r="AB66" s="37"/>
      <c r="AC66" s="37"/>
      <c r="AD66" s="38"/>
      <c r="AE66" s="37"/>
      <c r="AF66" s="37"/>
      <c r="AG66" s="37"/>
      <c r="AH66" s="37"/>
      <c r="AI66" s="17"/>
      <c r="AJ66" s="37"/>
      <c r="AK66" s="17"/>
      <c r="AL66" s="39"/>
      <c r="AM66" s="17"/>
      <c r="AN66" s="17"/>
      <c r="AO66" s="37"/>
      <c r="AP66" s="17"/>
      <c r="AQ66" s="37"/>
      <c r="AR66" s="37"/>
      <c r="AS66" s="37"/>
      <c r="AT66" s="17"/>
      <c r="AU66" s="37"/>
      <c r="AV66" s="37"/>
      <c r="AW66" s="38"/>
      <c r="AX66" s="37"/>
      <c r="AY66" s="38"/>
      <c r="AZ66" s="34" t="str">
        <f aca="false">IF($E66="","",COUNTA($E66,$F66,$G66,$J66,$L66,$Q66,$U66,$X66,$AM66,$AN66,$AP66,$AR66)/12)</f>
        <v/>
      </c>
      <c r="BA66" s="32" t="str">
        <f aca="false">IF($E66="","",IF(COUNTIF($E$3:$E$402,$E66)&gt;1,"DUPLICATE",""))</f>
        <v/>
      </c>
      <c r="BB66" s="17"/>
      <c r="BC66" s="35" t="str">
        <f aca="false">IF($E66="","",IFERROR(INDEX(SCORING!$C$6:$C$15,MATCH($J66,SCORING!$B$6:$B$15,0)),0)+IFERROR(INDEX(SCORING!$C$18:$C$20,MATCH($U66,SCORING!$B$18:$B$20,0)),0)+IFERROR(INDEX(SCORING!$C$23:$C$26,MATCH($X66,SCORING!$B$23:$B$26,0)),0)+IFERROR(INDEX(SCORING!$C$29:$C$32,MATCH($Q66,SCORING!$B$29:$B$32,0)),0)+IFERROR(INDEX(SCORING!$C$35:$C$37,MATCH($L66,SCORING!$B$35:$B$37,0)),0)+IF($AP66="",0,IF(AND($AQ66="Valid",$AO66="Decision maker"),SCORING!$C$40,IF($AQ66="Valid",SCORING!$C$41,SCORING!$C$42))))</f>
        <v/>
      </c>
      <c r="BD66" s="36" t="str">
        <f aca="false">IF($BC66="","",IF($BC66&gt;=SCORING!$C$46,"A",IF($BC66&gt;=SCORING!$C$47,"B",IF($BC66&gt;=SCORING!$C$48,"C","D"))))</f>
        <v/>
      </c>
      <c r="BE66" s="37"/>
    </row>
    <row r="67" customFormat="false" ht="15" hidden="false" customHeight="false" outlineLevel="0" collapsed="false">
      <c r="A67" s="37"/>
      <c r="B67" s="38"/>
      <c r="C67" s="37"/>
      <c r="D67" s="37"/>
      <c r="E67" s="17"/>
      <c r="F67" s="17"/>
      <c r="G67" s="37"/>
      <c r="H67" s="32" t="str">
        <f aca="false">IF($G67="","",IFERROR(INDEX(LISTS!$P$3:$P$145,MATCH($G67,LISTS!$O$3:$O$145,0)),"Other"))</f>
        <v/>
      </c>
      <c r="I67" s="37"/>
      <c r="J67" s="17"/>
      <c r="K67" s="17"/>
      <c r="L67" s="37"/>
      <c r="M67" s="37"/>
      <c r="N67" s="39"/>
      <c r="O67" s="37"/>
      <c r="P67" s="39"/>
      <c r="Q67" s="37"/>
      <c r="R67" s="39"/>
      <c r="S67" s="17"/>
      <c r="T67" s="17"/>
      <c r="U67" s="37"/>
      <c r="V67" s="37"/>
      <c r="W67" s="17"/>
      <c r="X67" s="37"/>
      <c r="Y67" s="17"/>
      <c r="Z67" s="39"/>
      <c r="AA67" s="39"/>
      <c r="AB67" s="37"/>
      <c r="AC67" s="37"/>
      <c r="AD67" s="38"/>
      <c r="AE67" s="37"/>
      <c r="AF67" s="37"/>
      <c r="AG67" s="37"/>
      <c r="AH67" s="37"/>
      <c r="AI67" s="17"/>
      <c r="AJ67" s="37"/>
      <c r="AK67" s="17"/>
      <c r="AL67" s="39"/>
      <c r="AM67" s="17"/>
      <c r="AN67" s="17"/>
      <c r="AO67" s="37"/>
      <c r="AP67" s="17"/>
      <c r="AQ67" s="37"/>
      <c r="AR67" s="37"/>
      <c r="AS67" s="37"/>
      <c r="AT67" s="17"/>
      <c r="AU67" s="37"/>
      <c r="AV67" s="37"/>
      <c r="AW67" s="38"/>
      <c r="AX67" s="37"/>
      <c r="AY67" s="38"/>
      <c r="AZ67" s="34" t="str">
        <f aca="false">IF($E67="","",COUNTA($E67,$F67,$G67,$J67,$L67,$Q67,$U67,$X67,$AM67,$AN67,$AP67,$AR67)/12)</f>
        <v/>
      </c>
      <c r="BA67" s="32" t="str">
        <f aca="false">IF($E67="","",IF(COUNTIF($E$3:$E$402,$E67)&gt;1,"DUPLICATE",""))</f>
        <v/>
      </c>
      <c r="BB67" s="17"/>
      <c r="BC67" s="35" t="str">
        <f aca="false">IF($E67="","",IFERROR(INDEX(SCORING!$C$6:$C$15,MATCH($J67,SCORING!$B$6:$B$15,0)),0)+IFERROR(INDEX(SCORING!$C$18:$C$20,MATCH($U67,SCORING!$B$18:$B$20,0)),0)+IFERROR(INDEX(SCORING!$C$23:$C$26,MATCH($X67,SCORING!$B$23:$B$26,0)),0)+IFERROR(INDEX(SCORING!$C$29:$C$32,MATCH($Q67,SCORING!$B$29:$B$32,0)),0)+IFERROR(INDEX(SCORING!$C$35:$C$37,MATCH($L67,SCORING!$B$35:$B$37,0)),0)+IF($AP67="",0,IF(AND($AQ67="Valid",$AO67="Decision maker"),SCORING!$C$40,IF($AQ67="Valid",SCORING!$C$41,SCORING!$C$42))))</f>
        <v/>
      </c>
      <c r="BD67" s="36" t="str">
        <f aca="false">IF($BC67="","",IF($BC67&gt;=SCORING!$C$46,"A",IF($BC67&gt;=SCORING!$C$47,"B",IF($BC67&gt;=SCORING!$C$48,"C","D"))))</f>
        <v/>
      </c>
      <c r="BE67" s="37"/>
    </row>
    <row r="68" customFormat="false" ht="15" hidden="false" customHeight="false" outlineLevel="0" collapsed="false">
      <c r="A68" s="37"/>
      <c r="B68" s="38"/>
      <c r="C68" s="37"/>
      <c r="D68" s="37"/>
      <c r="E68" s="17"/>
      <c r="F68" s="17"/>
      <c r="G68" s="37"/>
      <c r="H68" s="32" t="str">
        <f aca="false">IF($G68="","",IFERROR(INDEX(LISTS!$P$3:$P$145,MATCH($G68,LISTS!$O$3:$O$145,0)),"Other"))</f>
        <v/>
      </c>
      <c r="I68" s="37"/>
      <c r="J68" s="17"/>
      <c r="K68" s="17"/>
      <c r="L68" s="37"/>
      <c r="M68" s="37"/>
      <c r="N68" s="39"/>
      <c r="O68" s="37"/>
      <c r="P68" s="39"/>
      <c r="Q68" s="37"/>
      <c r="R68" s="39"/>
      <c r="S68" s="17"/>
      <c r="T68" s="17"/>
      <c r="U68" s="37"/>
      <c r="V68" s="37"/>
      <c r="W68" s="17"/>
      <c r="X68" s="37"/>
      <c r="Y68" s="17"/>
      <c r="Z68" s="39"/>
      <c r="AA68" s="39"/>
      <c r="AB68" s="37"/>
      <c r="AC68" s="37"/>
      <c r="AD68" s="38"/>
      <c r="AE68" s="37"/>
      <c r="AF68" s="37"/>
      <c r="AG68" s="37"/>
      <c r="AH68" s="37"/>
      <c r="AI68" s="17"/>
      <c r="AJ68" s="37"/>
      <c r="AK68" s="17"/>
      <c r="AL68" s="39"/>
      <c r="AM68" s="17"/>
      <c r="AN68" s="17"/>
      <c r="AO68" s="37"/>
      <c r="AP68" s="17"/>
      <c r="AQ68" s="37"/>
      <c r="AR68" s="37"/>
      <c r="AS68" s="37"/>
      <c r="AT68" s="17"/>
      <c r="AU68" s="37"/>
      <c r="AV68" s="37"/>
      <c r="AW68" s="38"/>
      <c r="AX68" s="37"/>
      <c r="AY68" s="38"/>
      <c r="AZ68" s="34" t="str">
        <f aca="false">IF($E68="","",COUNTA($E68,$F68,$G68,$J68,$L68,$Q68,$U68,$X68,$AM68,$AN68,$AP68,$AR68)/12)</f>
        <v/>
      </c>
      <c r="BA68" s="32" t="str">
        <f aca="false">IF($E68="","",IF(COUNTIF($E$3:$E$402,$E68)&gt;1,"DUPLICATE",""))</f>
        <v/>
      </c>
      <c r="BB68" s="17"/>
      <c r="BC68" s="35" t="str">
        <f aca="false">IF($E68="","",IFERROR(INDEX(SCORING!$C$6:$C$15,MATCH($J68,SCORING!$B$6:$B$15,0)),0)+IFERROR(INDEX(SCORING!$C$18:$C$20,MATCH($U68,SCORING!$B$18:$B$20,0)),0)+IFERROR(INDEX(SCORING!$C$23:$C$26,MATCH($X68,SCORING!$B$23:$B$26,0)),0)+IFERROR(INDEX(SCORING!$C$29:$C$32,MATCH($Q68,SCORING!$B$29:$B$32,0)),0)+IFERROR(INDEX(SCORING!$C$35:$C$37,MATCH($L68,SCORING!$B$35:$B$37,0)),0)+IF($AP68="",0,IF(AND($AQ68="Valid",$AO68="Decision maker"),SCORING!$C$40,IF($AQ68="Valid",SCORING!$C$41,SCORING!$C$42))))</f>
        <v/>
      </c>
      <c r="BD68" s="36" t="str">
        <f aca="false">IF($BC68="","",IF($BC68&gt;=SCORING!$C$46,"A",IF($BC68&gt;=SCORING!$C$47,"B",IF($BC68&gt;=SCORING!$C$48,"C","D"))))</f>
        <v/>
      </c>
      <c r="BE68" s="37"/>
    </row>
    <row r="69" customFormat="false" ht="15" hidden="false" customHeight="false" outlineLevel="0" collapsed="false">
      <c r="A69" s="37"/>
      <c r="B69" s="38"/>
      <c r="C69" s="37"/>
      <c r="D69" s="37"/>
      <c r="E69" s="17"/>
      <c r="F69" s="17"/>
      <c r="G69" s="37"/>
      <c r="H69" s="32" t="str">
        <f aca="false">IF($G69="","",IFERROR(INDEX(LISTS!$P$3:$P$145,MATCH($G69,LISTS!$O$3:$O$145,0)),"Other"))</f>
        <v/>
      </c>
      <c r="I69" s="37"/>
      <c r="J69" s="17"/>
      <c r="K69" s="17"/>
      <c r="L69" s="37"/>
      <c r="M69" s="37"/>
      <c r="N69" s="39"/>
      <c r="O69" s="37"/>
      <c r="P69" s="39"/>
      <c r="Q69" s="37"/>
      <c r="R69" s="39"/>
      <c r="S69" s="17"/>
      <c r="T69" s="17"/>
      <c r="U69" s="37"/>
      <c r="V69" s="37"/>
      <c r="W69" s="17"/>
      <c r="X69" s="37"/>
      <c r="Y69" s="17"/>
      <c r="Z69" s="39"/>
      <c r="AA69" s="39"/>
      <c r="AB69" s="37"/>
      <c r="AC69" s="37"/>
      <c r="AD69" s="38"/>
      <c r="AE69" s="37"/>
      <c r="AF69" s="37"/>
      <c r="AG69" s="37"/>
      <c r="AH69" s="37"/>
      <c r="AI69" s="17"/>
      <c r="AJ69" s="37"/>
      <c r="AK69" s="17"/>
      <c r="AL69" s="39"/>
      <c r="AM69" s="17"/>
      <c r="AN69" s="17"/>
      <c r="AO69" s="37"/>
      <c r="AP69" s="17"/>
      <c r="AQ69" s="37"/>
      <c r="AR69" s="37"/>
      <c r="AS69" s="37"/>
      <c r="AT69" s="17"/>
      <c r="AU69" s="37"/>
      <c r="AV69" s="37"/>
      <c r="AW69" s="38"/>
      <c r="AX69" s="37"/>
      <c r="AY69" s="38"/>
      <c r="AZ69" s="34" t="str">
        <f aca="false">IF($E69="","",COUNTA($E69,$F69,$G69,$J69,$L69,$Q69,$U69,$X69,$AM69,$AN69,$AP69,$AR69)/12)</f>
        <v/>
      </c>
      <c r="BA69" s="32" t="str">
        <f aca="false">IF($E69="","",IF(COUNTIF($E$3:$E$402,$E69)&gt;1,"DUPLICATE",""))</f>
        <v/>
      </c>
      <c r="BB69" s="17"/>
      <c r="BC69" s="35" t="str">
        <f aca="false">IF($E69="","",IFERROR(INDEX(SCORING!$C$6:$C$15,MATCH($J69,SCORING!$B$6:$B$15,0)),0)+IFERROR(INDEX(SCORING!$C$18:$C$20,MATCH($U69,SCORING!$B$18:$B$20,0)),0)+IFERROR(INDEX(SCORING!$C$23:$C$26,MATCH($X69,SCORING!$B$23:$B$26,0)),0)+IFERROR(INDEX(SCORING!$C$29:$C$32,MATCH($Q69,SCORING!$B$29:$B$32,0)),0)+IFERROR(INDEX(SCORING!$C$35:$C$37,MATCH($L69,SCORING!$B$35:$B$37,0)),0)+IF($AP69="",0,IF(AND($AQ69="Valid",$AO69="Decision maker"),SCORING!$C$40,IF($AQ69="Valid",SCORING!$C$41,SCORING!$C$42))))</f>
        <v/>
      </c>
      <c r="BD69" s="36" t="str">
        <f aca="false">IF($BC69="","",IF($BC69&gt;=SCORING!$C$46,"A",IF($BC69&gt;=SCORING!$C$47,"B",IF($BC69&gt;=SCORING!$C$48,"C","D"))))</f>
        <v/>
      </c>
      <c r="BE69" s="37"/>
    </row>
    <row r="70" customFormat="false" ht="15" hidden="false" customHeight="false" outlineLevel="0" collapsed="false">
      <c r="A70" s="37"/>
      <c r="B70" s="38"/>
      <c r="C70" s="37"/>
      <c r="D70" s="37"/>
      <c r="E70" s="17"/>
      <c r="F70" s="17"/>
      <c r="G70" s="37"/>
      <c r="H70" s="32" t="str">
        <f aca="false">IF($G70="","",IFERROR(INDEX(LISTS!$P$3:$P$145,MATCH($G70,LISTS!$O$3:$O$145,0)),"Other"))</f>
        <v/>
      </c>
      <c r="I70" s="37"/>
      <c r="J70" s="17"/>
      <c r="K70" s="17"/>
      <c r="L70" s="37"/>
      <c r="M70" s="37"/>
      <c r="N70" s="39"/>
      <c r="O70" s="37"/>
      <c r="P70" s="39"/>
      <c r="Q70" s="37"/>
      <c r="R70" s="39"/>
      <c r="S70" s="17"/>
      <c r="T70" s="17"/>
      <c r="U70" s="37"/>
      <c r="V70" s="37"/>
      <c r="W70" s="17"/>
      <c r="X70" s="37"/>
      <c r="Y70" s="17"/>
      <c r="Z70" s="39"/>
      <c r="AA70" s="39"/>
      <c r="AB70" s="37"/>
      <c r="AC70" s="37"/>
      <c r="AD70" s="38"/>
      <c r="AE70" s="37"/>
      <c r="AF70" s="37"/>
      <c r="AG70" s="37"/>
      <c r="AH70" s="37"/>
      <c r="AI70" s="17"/>
      <c r="AJ70" s="37"/>
      <c r="AK70" s="17"/>
      <c r="AL70" s="39"/>
      <c r="AM70" s="17"/>
      <c r="AN70" s="17"/>
      <c r="AO70" s="37"/>
      <c r="AP70" s="17"/>
      <c r="AQ70" s="37"/>
      <c r="AR70" s="37"/>
      <c r="AS70" s="37"/>
      <c r="AT70" s="17"/>
      <c r="AU70" s="37"/>
      <c r="AV70" s="37"/>
      <c r="AW70" s="38"/>
      <c r="AX70" s="37"/>
      <c r="AY70" s="38"/>
      <c r="AZ70" s="34" t="str">
        <f aca="false">IF($E70="","",COUNTA($E70,$F70,$G70,$J70,$L70,$Q70,$U70,$X70,$AM70,$AN70,$AP70,$AR70)/12)</f>
        <v/>
      </c>
      <c r="BA70" s="32" t="str">
        <f aca="false">IF($E70="","",IF(COUNTIF($E$3:$E$402,$E70)&gt;1,"DUPLICATE",""))</f>
        <v/>
      </c>
      <c r="BB70" s="17"/>
      <c r="BC70" s="35" t="str">
        <f aca="false">IF($E70="","",IFERROR(INDEX(SCORING!$C$6:$C$15,MATCH($J70,SCORING!$B$6:$B$15,0)),0)+IFERROR(INDEX(SCORING!$C$18:$C$20,MATCH($U70,SCORING!$B$18:$B$20,0)),0)+IFERROR(INDEX(SCORING!$C$23:$C$26,MATCH($X70,SCORING!$B$23:$B$26,0)),0)+IFERROR(INDEX(SCORING!$C$29:$C$32,MATCH($Q70,SCORING!$B$29:$B$32,0)),0)+IFERROR(INDEX(SCORING!$C$35:$C$37,MATCH($L70,SCORING!$B$35:$B$37,0)),0)+IF($AP70="",0,IF(AND($AQ70="Valid",$AO70="Decision maker"),SCORING!$C$40,IF($AQ70="Valid",SCORING!$C$41,SCORING!$C$42))))</f>
        <v/>
      </c>
      <c r="BD70" s="36" t="str">
        <f aca="false">IF($BC70="","",IF($BC70&gt;=SCORING!$C$46,"A",IF($BC70&gt;=SCORING!$C$47,"B",IF($BC70&gt;=SCORING!$C$48,"C","D"))))</f>
        <v/>
      </c>
      <c r="BE70" s="37"/>
    </row>
    <row r="71" customFormat="false" ht="15" hidden="false" customHeight="false" outlineLevel="0" collapsed="false">
      <c r="A71" s="37"/>
      <c r="B71" s="38"/>
      <c r="C71" s="37"/>
      <c r="D71" s="37"/>
      <c r="E71" s="17"/>
      <c r="F71" s="17"/>
      <c r="G71" s="37"/>
      <c r="H71" s="32" t="str">
        <f aca="false">IF($G71="","",IFERROR(INDEX(LISTS!$P$3:$P$145,MATCH($G71,LISTS!$O$3:$O$145,0)),"Other"))</f>
        <v/>
      </c>
      <c r="I71" s="37"/>
      <c r="J71" s="17"/>
      <c r="K71" s="17"/>
      <c r="L71" s="37"/>
      <c r="M71" s="37"/>
      <c r="N71" s="39"/>
      <c r="O71" s="37"/>
      <c r="P71" s="39"/>
      <c r="Q71" s="37"/>
      <c r="R71" s="39"/>
      <c r="S71" s="17"/>
      <c r="T71" s="17"/>
      <c r="U71" s="37"/>
      <c r="V71" s="37"/>
      <c r="W71" s="17"/>
      <c r="X71" s="37"/>
      <c r="Y71" s="17"/>
      <c r="Z71" s="39"/>
      <c r="AA71" s="39"/>
      <c r="AB71" s="37"/>
      <c r="AC71" s="37"/>
      <c r="AD71" s="38"/>
      <c r="AE71" s="37"/>
      <c r="AF71" s="37"/>
      <c r="AG71" s="37"/>
      <c r="AH71" s="37"/>
      <c r="AI71" s="17"/>
      <c r="AJ71" s="37"/>
      <c r="AK71" s="17"/>
      <c r="AL71" s="39"/>
      <c r="AM71" s="17"/>
      <c r="AN71" s="17"/>
      <c r="AO71" s="37"/>
      <c r="AP71" s="17"/>
      <c r="AQ71" s="37"/>
      <c r="AR71" s="37"/>
      <c r="AS71" s="37"/>
      <c r="AT71" s="17"/>
      <c r="AU71" s="37"/>
      <c r="AV71" s="37"/>
      <c r="AW71" s="38"/>
      <c r="AX71" s="37"/>
      <c r="AY71" s="38"/>
      <c r="AZ71" s="34" t="str">
        <f aca="false">IF($E71="","",COUNTA($E71,$F71,$G71,$J71,$L71,$Q71,$U71,$X71,$AM71,$AN71,$AP71,$AR71)/12)</f>
        <v/>
      </c>
      <c r="BA71" s="32" t="str">
        <f aca="false">IF($E71="","",IF(COUNTIF($E$3:$E$402,$E71)&gt;1,"DUPLICATE",""))</f>
        <v/>
      </c>
      <c r="BB71" s="17"/>
      <c r="BC71" s="35" t="str">
        <f aca="false">IF($E71="","",IFERROR(INDEX(SCORING!$C$6:$C$15,MATCH($J71,SCORING!$B$6:$B$15,0)),0)+IFERROR(INDEX(SCORING!$C$18:$C$20,MATCH($U71,SCORING!$B$18:$B$20,0)),0)+IFERROR(INDEX(SCORING!$C$23:$C$26,MATCH($X71,SCORING!$B$23:$B$26,0)),0)+IFERROR(INDEX(SCORING!$C$29:$C$32,MATCH($Q71,SCORING!$B$29:$B$32,0)),0)+IFERROR(INDEX(SCORING!$C$35:$C$37,MATCH($L71,SCORING!$B$35:$B$37,0)),0)+IF($AP71="",0,IF(AND($AQ71="Valid",$AO71="Decision maker"),SCORING!$C$40,IF($AQ71="Valid",SCORING!$C$41,SCORING!$C$42))))</f>
        <v/>
      </c>
      <c r="BD71" s="36" t="str">
        <f aca="false">IF($BC71="","",IF($BC71&gt;=SCORING!$C$46,"A",IF($BC71&gt;=SCORING!$C$47,"B",IF($BC71&gt;=SCORING!$C$48,"C","D"))))</f>
        <v/>
      </c>
      <c r="BE71" s="37"/>
    </row>
    <row r="72" customFormat="false" ht="15" hidden="false" customHeight="false" outlineLevel="0" collapsed="false">
      <c r="A72" s="37"/>
      <c r="B72" s="38"/>
      <c r="C72" s="37"/>
      <c r="D72" s="37"/>
      <c r="E72" s="17"/>
      <c r="F72" s="17"/>
      <c r="G72" s="37"/>
      <c r="H72" s="32" t="str">
        <f aca="false">IF($G72="","",IFERROR(INDEX(LISTS!$P$3:$P$145,MATCH($G72,LISTS!$O$3:$O$145,0)),"Other"))</f>
        <v/>
      </c>
      <c r="I72" s="37"/>
      <c r="J72" s="17"/>
      <c r="K72" s="17"/>
      <c r="L72" s="37"/>
      <c r="M72" s="37"/>
      <c r="N72" s="39"/>
      <c r="O72" s="37"/>
      <c r="P72" s="39"/>
      <c r="Q72" s="37"/>
      <c r="R72" s="39"/>
      <c r="S72" s="17"/>
      <c r="T72" s="17"/>
      <c r="U72" s="37"/>
      <c r="V72" s="37"/>
      <c r="W72" s="17"/>
      <c r="X72" s="37"/>
      <c r="Y72" s="17"/>
      <c r="Z72" s="39"/>
      <c r="AA72" s="39"/>
      <c r="AB72" s="37"/>
      <c r="AC72" s="37"/>
      <c r="AD72" s="38"/>
      <c r="AE72" s="37"/>
      <c r="AF72" s="37"/>
      <c r="AG72" s="37"/>
      <c r="AH72" s="37"/>
      <c r="AI72" s="17"/>
      <c r="AJ72" s="37"/>
      <c r="AK72" s="17"/>
      <c r="AL72" s="39"/>
      <c r="AM72" s="17"/>
      <c r="AN72" s="17"/>
      <c r="AO72" s="37"/>
      <c r="AP72" s="17"/>
      <c r="AQ72" s="37"/>
      <c r="AR72" s="37"/>
      <c r="AS72" s="37"/>
      <c r="AT72" s="17"/>
      <c r="AU72" s="37"/>
      <c r="AV72" s="37"/>
      <c r="AW72" s="38"/>
      <c r="AX72" s="37"/>
      <c r="AY72" s="38"/>
      <c r="AZ72" s="34" t="str">
        <f aca="false">IF($E72="","",COUNTA($E72,$F72,$G72,$J72,$L72,$Q72,$U72,$X72,$AM72,$AN72,$AP72,$AR72)/12)</f>
        <v/>
      </c>
      <c r="BA72" s="32" t="str">
        <f aca="false">IF($E72="","",IF(COUNTIF($E$3:$E$402,$E72)&gt;1,"DUPLICATE",""))</f>
        <v/>
      </c>
      <c r="BB72" s="17"/>
      <c r="BC72" s="35" t="str">
        <f aca="false">IF($E72="","",IFERROR(INDEX(SCORING!$C$6:$C$15,MATCH($J72,SCORING!$B$6:$B$15,0)),0)+IFERROR(INDEX(SCORING!$C$18:$C$20,MATCH($U72,SCORING!$B$18:$B$20,0)),0)+IFERROR(INDEX(SCORING!$C$23:$C$26,MATCH($X72,SCORING!$B$23:$B$26,0)),0)+IFERROR(INDEX(SCORING!$C$29:$C$32,MATCH($Q72,SCORING!$B$29:$B$32,0)),0)+IFERROR(INDEX(SCORING!$C$35:$C$37,MATCH($L72,SCORING!$B$35:$B$37,0)),0)+IF($AP72="",0,IF(AND($AQ72="Valid",$AO72="Decision maker"),SCORING!$C$40,IF($AQ72="Valid",SCORING!$C$41,SCORING!$C$42))))</f>
        <v/>
      </c>
      <c r="BD72" s="36" t="str">
        <f aca="false">IF($BC72="","",IF($BC72&gt;=SCORING!$C$46,"A",IF($BC72&gt;=SCORING!$C$47,"B",IF($BC72&gt;=SCORING!$C$48,"C","D"))))</f>
        <v/>
      </c>
      <c r="BE72" s="37"/>
    </row>
    <row r="73" customFormat="false" ht="15" hidden="false" customHeight="false" outlineLevel="0" collapsed="false">
      <c r="A73" s="37"/>
      <c r="B73" s="38"/>
      <c r="C73" s="37"/>
      <c r="D73" s="37"/>
      <c r="E73" s="17"/>
      <c r="F73" s="17"/>
      <c r="G73" s="37"/>
      <c r="H73" s="32" t="str">
        <f aca="false">IF($G73="","",IFERROR(INDEX(LISTS!$P$3:$P$145,MATCH($G73,LISTS!$O$3:$O$145,0)),"Other"))</f>
        <v/>
      </c>
      <c r="I73" s="37"/>
      <c r="J73" s="17"/>
      <c r="K73" s="17"/>
      <c r="L73" s="37"/>
      <c r="M73" s="37"/>
      <c r="N73" s="39"/>
      <c r="O73" s="37"/>
      <c r="P73" s="39"/>
      <c r="Q73" s="37"/>
      <c r="R73" s="39"/>
      <c r="S73" s="17"/>
      <c r="T73" s="17"/>
      <c r="U73" s="37"/>
      <c r="V73" s="37"/>
      <c r="W73" s="17"/>
      <c r="X73" s="37"/>
      <c r="Y73" s="17"/>
      <c r="Z73" s="39"/>
      <c r="AA73" s="39"/>
      <c r="AB73" s="37"/>
      <c r="AC73" s="37"/>
      <c r="AD73" s="38"/>
      <c r="AE73" s="37"/>
      <c r="AF73" s="37"/>
      <c r="AG73" s="37"/>
      <c r="AH73" s="37"/>
      <c r="AI73" s="17"/>
      <c r="AJ73" s="37"/>
      <c r="AK73" s="17"/>
      <c r="AL73" s="39"/>
      <c r="AM73" s="17"/>
      <c r="AN73" s="17"/>
      <c r="AO73" s="37"/>
      <c r="AP73" s="17"/>
      <c r="AQ73" s="37"/>
      <c r="AR73" s="37"/>
      <c r="AS73" s="37"/>
      <c r="AT73" s="17"/>
      <c r="AU73" s="37"/>
      <c r="AV73" s="37"/>
      <c r="AW73" s="38"/>
      <c r="AX73" s="37"/>
      <c r="AY73" s="38"/>
      <c r="AZ73" s="34" t="str">
        <f aca="false">IF($E73="","",COUNTA($E73,$F73,$G73,$J73,$L73,$Q73,$U73,$X73,$AM73,$AN73,$AP73,$AR73)/12)</f>
        <v/>
      </c>
      <c r="BA73" s="32" t="str">
        <f aca="false">IF($E73="","",IF(COUNTIF($E$3:$E$402,$E73)&gt;1,"DUPLICATE",""))</f>
        <v/>
      </c>
      <c r="BB73" s="17"/>
      <c r="BC73" s="35" t="str">
        <f aca="false">IF($E73="","",IFERROR(INDEX(SCORING!$C$6:$C$15,MATCH($J73,SCORING!$B$6:$B$15,0)),0)+IFERROR(INDEX(SCORING!$C$18:$C$20,MATCH($U73,SCORING!$B$18:$B$20,0)),0)+IFERROR(INDEX(SCORING!$C$23:$C$26,MATCH($X73,SCORING!$B$23:$B$26,0)),0)+IFERROR(INDEX(SCORING!$C$29:$C$32,MATCH($Q73,SCORING!$B$29:$B$32,0)),0)+IFERROR(INDEX(SCORING!$C$35:$C$37,MATCH($L73,SCORING!$B$35:$B$37,0)),0)+IF($AP73="",0,IF(AND($AQ73="Valid",$AO73="Decision maker"),SCORING!$C$40,IF($AQ73="Valid",SCORING!$C$41,SCORING!$C$42))))</f>
        <v/>
      </c>
      <c r="BD73" s="36" t="str">
        <f aca="false">IF($BC73="","",IF($BC73&gt;=SCORING!$C$46,"A",IF($BC73&gt;=SCORING!$C$47,"B",IF($BC73&gt;=SCORING!$C$48,"C","D"))))</f>
        <v/>
      </c>
      <c r="BE73" s="37"/>
    </row>
    <row r="74" customFormat="false" ht="15" hidden="false" customHeight="false" outlineLevel="0" collapsed="false">
      <c r="A74" s="37"/>
      <c r="B74" s="38"/>
      <c r="C74" s="37"/>
      <c r="D74" s="37"/>
      <c r="E74" s="17"/>
      <c r="F74" s="17"/>
      <c r="G74" s="37"/>
      <c r="H74" s="32" t="str">
        <f aca="false">IF($G74="","",IFERROR(INDEX(LISTS!$P$3:$P$145,MATCH($G74,LISTS!$O$3:$O$145,0)),"Other"))</f>
        <v/>
      </c>
      <c r="I74" s="37"/>
      <c r="J74" s="17"/>
      <c r="K74" s="17"/>
      <c r="L74" s="37"/>
      <c r="M74" s="37"/>
      <c r="N74" s="39"/>
      <c r="O74" s="37"/>
      <c r="P74" s="39"/>
      <c r="Q74" s="37"/>
      <c r="R74" s="39"/>
      <c r="S74" s="17"/>
      <c r="T74" s="17"/>
      <c r="U74" s="37"/>
      <c r="V74" s="37"/>
      <c r="W74" s="17"/>
      <c r="X74" s="37"/>
      <c r="Y74" s="17"/>
      <c r="Z74" s="39"/>
      <c r="AA74" s="39"/>
      <c r="AB74" s="37"/>
      <c r="AC74" s="37"/>
      <c r="AD74" s="38"/>
      <c r="AE74" s="37"/>
      <c r="AF74" s="37"/>
      <c r="AG74" s="37"/>
      <c r="AH74" s="37"/>
      <c r="AI74" s="17"/>
      <c r="AJ74" s="37"/>
      <c r="AK74" s="17"/>
      <c r="AL74" s="39"/>
      <c r="AM74" s="17"/>
      <c r="AN74" s="17"/>
      <c r="AO74" s="37"/>
      <c r="AP74" s="17"/>
      <c r="AQ74" s="37"/>
      <c r="AR74" s="37"/>
      <c r="AS74" s="37"/>
      <c r="AT74" s="17"/>
      <c r="AU74" s="37"/>
      <c r="AV74" s="37"/>
      <c r="AW74" s="38"/>
      <c r="AX74" s="37"/>
      <c r="AY74" s="38"/>
      <c r="AZ74" s="34" t="str">
        <f aca="false">IF($E74="","",COUNTA($E74,$F74,$G74,$J74,$L74,$Q74,$U74,$X74,$AM74,$AN74,$AP74,$AR74)/12)</f>
        <v/>
      </c>
      <c r="BA74" s="32" t="str">
        <f aca="false">IF($E74="","",IF(COUNTIF($E$3:$E$402,$E74)&gt;1,"DUPLICATE",""))</f>
        <v/>
      </c>
      <c r="BB74" s="17"/>
      <c r="BC74" s="35" t="str">
        <f aca="false">IF($E74="","",IFERROR(INDEX(SCORING!$C$6:$C$15,MATCH($J74,SCORING!$B$6:$B$15,0)),0)+IFERROR(INDEX(SCORING!$C$18:$C$20,MATCH($U74,SCORING!$B$18:$B$20,0)),0)+IFERROR(INDEX(SCORING!$C$23:$C$26,MATCH($X74,SCORING!$B$23:$B$26,0)),0)+IFERROR(INDEX(SCORING!$C$29:$C$32,MATCH($Q74,SCORING!$B$29:$B$32,0)),0)+IFERROR(INDEX(SCORING!$C$35:$C$37,MATCH($L74,SCORING!$B$35:$B$37,0)),0)+IF($AP74="",0,IF(AND($AQ74="Valid",$AO74="Decision maker"),SCORING!$C$40,IF($AQ74="Valid",SCORING!$C$41,SCORING!$C$42))))</f>
        <v/>
      </c>
      <c r="BD74" s="36" t="str">
        <f aca="false">IF($BC74="","",IF($BC74&gt;=SCORING!$C$46,"A",IF($BC74&gt;=SCORING!$C$47,"B",IF($BC74&gt;=SCORING!$C$48,"C","D"))))</f>
        <v/>
      </c>
      <c r="BE74" s="37"/>
    </row>
    <row r="75" customFormat="false" ht="15" hidden="false" customHeight="false" outlineLevel="0" collapsed="false">
      <c r="A75" s="37"/>
      <c r="B75" s="38"/>
      <c r="C75" s="37"/>
      <c r="D75" s="37"/>
      <c r="E75" s="17"/>
      <c r="F75" s="17"/>
      <c r="G75" s="37"/>
      <c r="H75" s="32" t="str">
        <f aca="false">IF($G75="","",IFERROR(INDEX(LISTS!$P$3:$P$145,MATCH($G75,LISTS!$O$3:$O$145,0)),"Other"))</f>
        <v/>
      </c>
      <c r="I75" s="37"/>
      <c r="J75" s="17"/>
      <c r="K75" s="17"/>
      <c r="L75" s="37"/>
      <c r="M75" s="37"/>
      <c r="N75" s="39"/>
      <c r="O75" s="37"/>
      <c r="P75" s="39"/>
      <c r="Q75" s="37"/>
      <c r="R75" s="39"/>
      <c r="S75" s="17"/>
      <c r="T75" s="17"/>
      <c r="U75" s="37"/>
      <c r="V75" s="37"/>
      <c r="W75" s="17"/>
      <c r="X75" s="37"/>
      <c r="Y75" s="17"/>
      <c r="Z75" s="39"/>
      <c r="AA75" s="39"/>
      <c r="AB75" s="37"/>
      <c r="AC75" s="37"/>
      <c r="AD75" s="38"/>
      <c r="AE75" s="37"/>
      <c r="AF75" s="37"/>
      <c r="AG75" s="37"/>
      <c r="AH75" s="37"/>
      <c r="AI75" s="17"/>
      <c r="AJ75" s="37"/>
      <c r="AK75" s="17"/>
      <c r="AL75" s="39"/>
      <c r="AM75" s="17"/>
      <c r="AN75" s="17"/>
      <c r="AO75" s="37"/>
      <c r="AP75" s="17"/>
      <c r="AQ75" s="37"/>
      <c r="AR75" s="37"/>
      <c r="AS75" s="37"/>
      <c r="AT75" s="17"/>
      <c r="AU75" s="37"/>
      <c r="AV75" s="37"/>
      <c r="AW75" s="38"/>
      <c r="AX75" s="37"/>
      <c r="AY75" s="38"/>
      <c r="AZ75" s="34" t="str">
        <f aca="false">IF($E75="","",COUNTA($E75,$F75,$G75,$J75,$L75,$Q75,$U75,$X75,$AM75,$AN75,$AP75,$AR75)/12)</f>
        <v/>
      </c>
      <c r="BA75" s="32" t="str">
        <f aca="false">IF($E75="","",IF(COUNTIF($E$3:$E$402,$E75)&gt;1,"DUPLICATE",""))</f>
        <v/>
      </c>
      <c r="BB75" s="17"/>
      <c r="BC75" s="35" t="str">
        <f aca="false">IF($E75="","",IFERROR(INDEX(SCORING!$C$6:$C$15,MATCH($J75,SCORING!$B$6:$B$15,0)),0)+IFERROR(INDEX(SCORING!$C$18:$C$20,MATCH($U75,SCORING!$B$18:$B$20,0)),0)+IFERROR(INDEX(SCORING!$C$23:$C$26,MATCH($X75,SCORING!$B$23:$B$26,0)),0)+IFERROR(INDEX(SCORING!$C$29:$C$32,MATCH($Q75,SCORING!$B$29:$B$32,0)),0)+IFERROR(INDEX(SCORING!$C$35:$C$37,MATCH($L75,SCORING!$B$35:$B$37,0)),0)+IF($AP75="",0,IF(AND($AQ75="Valid",$AO75="Decision maker"),SCORING!$C$40,IF($AQ75="Valid",SCORING!$C$41,SCORING!$C$42))))</f>
        <v/>
      </c>
      <c r="BD75" s="36" t="str">
        <f aca="false">IF($BC75="","",IF($BC75&gt;=SCORING!$C$46,"A",IF($BC75&gt;=SCORING!$C$47,"B",IF($BC75&gt;=SCORING!$C$48,"C","D"))))</f>
        <v/>
      </c>
      <c r="BE75" s="37"/>
    </row>
    <row r="76" customFormat="false" ht="15" hidden="false" customHeight="false" outlineLevel="0" collapsed="false">
      <c r="A76" s="37"/>
      <c r="B76" s="38"/>
      <c r="C76" s="37"/>
      <c r="D76" s="37"/>
      <c r="E76" s="17"/>
      <c r="F76" s="17"/>
      <c r="G76" s="37"/>
      <c r="H76" s="32" t="str">
        <f aca="false">IF($G76="","",IFERROR(INDEX(LISTS!$P$3:$P$145,MATCH($G76,LISTS!$O$3:$O$145,0)),"Other"))</f>
        <v/>
      </c>
      <c r="I76" s="37"/>
      <c r="J76" s="17"/>
      <c r="K76" s="17"/>
      <c r="L76" s="37"/>
      <c r="M76" s="37"/>
      <c r="N76" s="39"/>
      <c r="O76" s="37"/>
      <c r="P76" s="39"/>
      <c r="Q76" s="37"/>
      <c r="R76" s="39"/>
      <c r="S76" s="17"/>
      <c r="T76" s="17"/>
      <c r="U76" s="37"/>
      <c r="V76" s="37"/>
      <c r="W76" s="17"/>
      <c r="X76" s="37"/>
      <c r="Y76" s="17"/>
      <c r="Z76" s="39"/>
      <c r="AA76" s="39"/>
      <c r="AB76" s="37"/>
      <c r="AC76" s="37"/>
      <c r="AD76" s="38"/>
      <c r="AE76" s="37"/>
      <c r="AF76" s="37"/>
      <c r="AG76" s="37"/>
      <c r="AH76" s="37"/>
      <c r="AI76" s="17"/>
      <c r="AJ76" s="37"/>
      <c r="AK76" s="17"/>
      <c r="AL76" s="39"/>
      <c r="AM76" s="17"/>
      <c r="AN76" s="17"/>
      <c r="AO76" s="37"/>
      <c r="AP76" s="17"/>
      <c r="AQ76" s="37"/>
      <c r="AR76" s="37"/>
      <c r="AS76" s="37"/>
      <c r="AT76" s="17"/>
      <c r="AU76" s="37"/>
      <c r="AV76" s="37"/>
      <c r="AW76" s="38"/>
      <c r="AX76" s="37"/>
      <c r="AY76" s="38"/>
      <c r="AZ76" s="34" t="str">
        <f aca="false">IF($E76="","",COUNTA($E76,$F76,$G76,$J76,$L76,$Q76,$U76,$X76,$AM76,$AN76,$AP76,$AR76)/12)</f>
        <v/>
      </c>
      <c r="BA76" s="32" t="str">
        <f aca="false">IF($E76="","",IF(COUNTIF($E$3:$E$402,$E76)&gt;1,"DUPLICATE",""))</f>
        <v/>
      </c>
      <c r="BB76" s="17"/>
      <c r="BC76" s="35" t="str">
        <f aca="false">IF($E76="","",IFERROR(INDEX(SCORING!$C$6:$C$15,MATCH($J76,SCORING!$B$6:$B$15,0)),0)+IFERROR(INDEX(SCORING!$C$18:$C$20,MATCH($U76,SCORING!$B$18:$B$20,0)),0)+IFERROR(INDEX(SCORING!$C$23:$C$26,MATCH($X76,SCORING!$B$23:$B$26,0)),0)+IFERROR(INDEX(SCORING!$C$29:$C$32,MATCH($Q76,SCORING!$B$29:$B$32,0)),0)+IFERROR(INDEX(SCORING!$C$35:$C$37,MATCH($L76,SCORING!$B$35:$B$37,0)),0)+IF($AP76="",0,IF(AND($AQ76="Valid",$AO76="Decision maker"),SCORING!$C$40,IF($AQ76="Valid",SCORING!$C$41,SCORING!$C$42))))</f>
        <v/>
      </c>
      <c r="BD76" s="36" t="str">
        <f aca="false">IF($BC76="","",IF($BC76&gt;=SCORING!$C$46,"A",IF($BC76&gt;=SCORING!$C$47,"B",IF($BC76&gt;=SCORING!$C$48,"C","D"))))</f>
        <v/>
      </c>
      <c r="BE76" s="37"/>
    </row>
    <row r="77" customFormat="false" ht="15" hidden="false" customHeight="false" outlineLevel="0" collapsed="false">
      <c r="A77" s="37"/>
      <c r="B77" s="38"/>
      <c r="C77" s="37"/>
      <c r="D77" s="37"/>
      <c r="E77" s="17"/>
      <c r="F77" s="17"/>
      <c r="G77" s="37"/>
      <c r="H77" s="32" t="str">
        <f aca="false">IF($G77="","",IFERROR(INDEX(LISTS!$P$3:$P$145,MATCH($G77,LISTS!$O$3:$O$145,0)),"Other"))</f>
        <v/>
      </c>
      <c r="I77" s="37"/>
      <c r="J77" s="17"/>
      <c r="K77" s="17"/>
      <c r="L77" s="37"/>
      <c r="M77" s="37"/>
      <c r="N77" s="39"/>
      <c r="O77" s="37"/>
      <c r="P77" s="39"/>
      <c r="Q77" s="37"/>
      <c r="R77" s="39"/>
      <c r="S77" s="17"/>
      <c r="T77" s="17"/>
      <c r="U77" s="37"/>
      <c r="V77" s="37"/>
      <c r="W77" s="17"/>
      <c r="X77" s="37"/>
      <c r="Y77" s="17"/>
      <c r="Z77" s="39"/>
      <c r="AA77" s="39"/>
      <c r="AB77" s="37"/>
      <c r="AC77" s="37"/>
      <c r="AD77" s="38"/>
      <c r="AE77" s="37"/>
      <c r="AF77" s="37"/>
      <c r="AG77" s="37"/>
      <c r="AH77" s="37"/>
      <c r="AI77" s="17"/>
      <c r="AJ77" s="37"/>
      <c r="AK77" s="17"/>
      <c r="AL77" s="39"/>
      <c r="AM77" s="17"/>
      <c r="AN77" s="17"/>
      <c r="AO77" s="37"/>
      <c r="AP77" s="17"/>
      <c r="AQ77" s="37"/>
      <c r="AR77" s="37"/>
      <c r="AS77" s="37"/>
      <c r="AT77" s="17"/>
      <c r="AU77" s="37"/>
      <c r="AV77" s="37"/>
      <c r="AW77" s="38"/>
      <c r="AX77" s="37"/>
      <c r="AY77" s="38"/>
      <c r="AZ77" s="34" t="str">
        <f aca="false">IF($E77="","",COUNTA($E77,$F77,$G77,$J77,$L77,$Q77,$U77,$X77,$AM77,$AN77,$AP77,$AR77)/12)</f>
        <v/>
      </c>
      <c r="BA77" s="32" t="str">
        <f aca="false">IF($E77="","",IF(COUNTIF($E$3:$E$402,$E77)&gt;1,"DUPLICATE",""))</f>
        <v/>
      </c>
      <c r="BB77" s="17"/>
      <c r="BC77" s="35" t="str">
        <f aca="false">IF($E77="","",IFERROR(INDEX(SCORING!$C$6:$C$15,MATCH($J77,SCORING!$B$6:$B$15,0)),0)+IFERROR(INDEX(SCORING!$C$18:$C$20,MATCH($U77,SCORING!$B$18:$B$20,0)),0)+IFERROR(INDEX(SCORING!$C$23:$C$26,MATCH($X77,SCORING!$B$23:$B$26,0)),0)+IFERROR(INDEX(SCORING!$C$29:$C$32,MATCH($Q77,SCORING!$B$29:$B$32,0)),0)+IFERROR(INDEX(SCORING!$C$35:$C$37,MATCH($L77,SCORING!$B$35:$B$37,0)),0)+IF($AP77="",0,IF(AND($AQ77="Valid",$AO77="Decision maker"),SCORING!$C$40,IF($AQ77="Valid",SCORING!$C$41,SCORING!$C$42))))</f>
        <v/>
      </c>
      <c r="BD77" s="36" t="str">
        <f aca="false">IF($BC77="","",IF($BC77&gt;=SCORING!$C$46,"A",IF($BC77&gt;=SCORING!$C$47,"B",IF($BC77&gt;=SCORING!$C$48,"C","D"))))</f>
        <v/>
      </c>
      <c r="BE77" s="37"/>
    </row>
    <row r="78" customFormat="false" ht="15" hidden="false" customHeight="false" outlineLevel="0" collapsed="false">
      <c r="A78" s="37"/>
      <c r="B78" s="38"/>
      <c r="C78" s="37"/>
      <c r="D78" s="37"/>
      <c r="E78" s="17"/>
      <c r="F78" s="17"/>
      <c r="G78" s="37"/>
      <c r="H78" s="32" t="str">
        <f aca="false">IF($G78="","",IFERROR(INDEX(LISTS!$P$3:$P$145,MATCH($G78,LISTS!$O$3:$O$145,0)),"Other"))</f>
        <v/>
      </c>
      <c r="I78" s="37"/>
      <c r="J78" s="17"/>
      <c r="K78" s="17"/>
      <c r="L78" s="37"/>
      <c r="M78" s="37"/>
      <c r="N78" s="39"/>
      <c r="O78" s="37"/>
      <c r="P78" s="39"/>
      <c r="Q78" s="37"/>
      <c r="R78" s="39"/>
      <c r="S78" s="17"/>
      <c r="T78" s="17"/>
      <c r="U78" s="37"/>
      <c r="V78" s="37"/>
      <c r="W78" s="17"/>
      <c r="X78" s="37"/>
      <c r="Y78" s="17"/>
      <c r="Z78" s="39"/>
      <c r="AA78" s="39"/>
      <c r="AB78" s="37"/>
      <c r="AC78" s="37"/>
      <c r="AD78" s="38"/>
      <c r="AE78" s="37"/>
      <c r="AF78" s="37"/>
      <c r="AG78" s="37"/>
      <c r="AH78" s="37"/>
      <c r="AI78" s="17"/>
      <c r="AJ78" s="37"/>
      <c r="AK78" s="17"/>
      <c r="AL78" s="39"/>
      <c r="AM78" s="17"/>
      <c r="AN78" s="17"/>
      <c r="AO78" s="37"/>
      <c r="AP78" s="17"/>
      <c r="AQ78" s="37"/>
      <c r="AR78" s="37"/>
      <c r="AS78" s="37"/>
      <c r="AT78" s="17"/>
      <c r="AU78" s="37"/>
      <c r="AV78" s="37"/>
      <c r="AW78" s="38"/>
      <c r="AX78" s="37"/>
      <c r="AY78" s="38"/>
      <c r="AZ78" s="34" t="str">
        <f aca="false">IF($E78="","",COUNTA($E78,$F78,$G78,$J78,$L78,$Q78,$U78,$X78,$AM78,$AN78,$AP78,$AR78)/12)</f>
        <v/>
      </c>
      <c r="BA78" s="32" t="str">
        <f aca="false">IF($E78="","",IF(COUNTIF($E$3:$E$402,$E78)&gt;1,"DUPLICATE",""))</f>
        <v/>
      </c>
      <c r="BB78" s="17"/>
      <c r="BC78" s="35" t="str">
        <f aca="false">IF($E78="","",IFERROR(INDEX(SCORING!$C$6:$C$15,MATCH($J78,SCORING!$B$6:$B$15,0)),0)+IFERROR(INDEX(SCORING!$C$18:$C$20,MATCH($U78,SCORING!$B$18:$B$20,0)),0)+IFERROR(INDEX(SCORING!$C$23:$C$26,MATCH($X78,SCORING!$B$23:$B$26,0)),0)+IFERROR(INDEX(SCORING!$C$29:$C$32,MATCH($Q78,SCORING!$B$29:$B$32,0)),0)+IFERROR(INDEX(SCORING!$C$35:$C$37,MATCH($L78,SCORING!$B$35:$B$37,0)),0)+IF($AP78="",0,IF(AND($AQ78="Valid",$AO78="Decision maker"),SCORING!$C$40,IF($AQ78="Valid",SCORING!$C$41,SCORING!$C$42))))</f>
        <v/>
      </c>
      <c r="BD78" s="36" t="str">
        <f aca="false">IF($BC78="","",IF($BC78&gt;=SCORING!$C$46,"A",IF($BC78&gt;=SCORING!$C$47,"B",IF($BC78&gt;=SCORING!$C$48,"C","D"))))</f>
        <v/>
      </c>
      <c r="BE78" s="37"/>
    </row>
    <row r="79" customFormat="false" ht="15" hidden="false" customHeight="false" outlineLevel="0" collapsed="false">
      <c r="A79" s="37"/>
      <c r="B79" s="38"/>
      <c r="C79" s="37"/>
      <c r="D79" s="37"/>
      <c r="E79" s="17"/>
      <c r="F79" s="17"/>
      <c r="G79" s="37"/>
      <c r="H79" s="32" t="str">
        <f aca="false">IF($G79="","",IFERROR(INDEX(LISTS!$P$3:$P$145,MATCH($G79,LISTS!$O$3:$O$145,0)),"Other"))</f>
        <v/>
      </c>
      <c r="I79" s="37"/>
      <c r="J79" s="17"/>
      <c r="K79" s="17"/>
      <c r="L79" s="37"/>
      <c r="M79" s="37"/>
      <c r="N79" s="39"/>
      <c r="O79" s="37"/>
      <c r="P79" s="39"/>
      <c r="Q79" s="37"/>
      <c r="R79" s="39"/>
      <c r="S79" s="17"/>
      <c r="T79" s="17"/>
      <c r="U79" s="37"/>
      <c r="V79" s="37"/>
      <c r="W79" s="17"/>
      <c r="X79" s="37"/>
      <c r="Y79" s="17"/>
      <c r="Z79" s="39"/>
      <c r="AA79" s="39"/>
      <c r="AB79" s="37"/>
      <c r="AC79" s="37"/>
      <c r="AD79" s="38"/>
      <c r="AE79" s="37"/>
      <c r="AF79" s="37"/>
      <c r="AG79" s="37"/>
      <c r="AH79" s="37"/>
      <c r="AI79" s="17"/>
      <c r="AJ79" s="37"/>
      <c r="AK79" s="17"/>
      <c r="AL79" s="39"/>
      <c r="AM79" s="17"/>
      <c r="AN79" s="17"/>
      <c r="AO79" s="37"/>
      <c r="AP79" s="17"/>
      <c r="AQ79" s="37"/>
      <c r="AR79" s="37"/>
      <c r="AS79" s="37"/>
      <c r="AT79" s="17"/>
      <c r="AU79" s="37"/>
      <c r="AV79" s="37"/>
      <c r="AW79" s="38"/>
      <c r="AX79" s="37"/>
      <c r="AY79" s="38"/>
      <c r="AZ79" s="34" t="str">
        <f aca="false">IF($E79="","",COUNTA($E79,$F79,$G79,$J79,$L79,$Q79,$U79,$X79,$AM79,$AN79,$AP79,$AR79)/12)</f>
        <v/>
      </c>
      <c r="BA79" s="32" t="str">
        <f aca="false">IF($E79="","",IF(COUNTIF($E$3:$E$402,$E79)&gt;1,"DUPLICATE",""))</f>
        <v/>
      </c>
      <c r="BB79" s="17"/>
      <c r="BC79" s="35" t="str">
        <f aca="false">IF($E79="","",IFERROR(INDEX(SCORING!$C$6:$C$15,MATCH($J79,SCORING!$B$6:$B$15,0)),0)+IFERROR(INDEX(SCORING!$C$18:$C$20,MATCH($U79,SCORING!$B$18:$B$20,0)),0)+IFERROR(INDEX(SCORING!$C$23:$C$26,MATCH($X79,SCORING!$B$23:$B$26,0)),0)+IFERROR(INDEX(SCORING!$C$29:$C$32,MATCH($Q79,SCORING!$B$29:$B$32,0)),0)+IFERROR(INDEX(SCORING!$C$35:$C$37,MATCH($L79,SCORING!$B$35:$B$37,0)),0)+IF($AP79="",0,IF(AND($AQ79="Valid",$AO79="Decision maker"),SCORING!$C$40,IF($AQ79="Valid",SCORING!$C$41,SCORING!$C$42))))</f>
        <v/>
      </c>
      <c r="BD79" s="36" t="str">
        <f aca="false">IF($BC79="","",IF($BC79&gt;=SCORING!$C$46,"A",IF($BC79&gt;=SCORING!$C$47,"B",IF($BC79&gt;=SCORING!$C$48,"C","D"))))</f>
        <v/>
      </c>
      <c r="BE79" s="37"/>
    </row>
    <row r="80" customFormat="false" ht="15" hidden="false" customHeight="false" outlineLevel="0" collapsed="false">
      <c r="A80" s="37"/>
      <c r="B80" s="38"/>
      <c r="C80" s="37"/>
      <c r="D80" s="37"/>
      <c r="E80" s="17"/>
      <c r="F80" s="17"/>
      <c r="G80" s="37"/>
      <c r="H80" s="32" t="str">
        <f aca="false">IF($G80="","",IFERROR(INDEX(LISTS!$P$3:$P$145,MATCH($G80,LISTS!$O$3:$O$145,0)),"Other"))</f>
        <v/>
      </c>
      <c r="I80" s="37"/>
      <c r="J80" s="17"/>
      <c r="K80" s="17"/>
      <c r="L80" s="37"/>
      <c r="M80" s="37"/>
      <c r="N80" s="39"/>
      <c r="O80" s="37"/>
      <c r="P80" s="39"/>
      <c r="Q80" s="37"/>
      <c r="R80" s="39"/>
      <c r="S80" s="17"/>
      <c r="T80" s="17"/>
      <c r="U80" s="37"/>
      <c r="V80" s="37"/>
      <c r="W80" s="17"/>
      <c r="X80" s="37"/>
      <c r="Y80" s="17"/>
      <c r="Z80" s="39"/>
      <c r="AA80" s="39"/>
      <c r="AB80" s="37"/>
      <c r="AC80" s="37"/>
      <c r="AD80" s="38"/>
      <c r="AE80" s="37"/>
      <c r="AF80" s="37"/>
      <c r="AG80" s="37"/>
      <c r="AH80" s="37"/>
      <c r="AI80" s="17"/>
      <c r="AJ80" s="37"/>
      <c r="AK80" s="17"/>
      <c r="AL80" s="39"/>
      <c r="AM80" s="17"/>
      <c r="AN80" s="17"/>
      <c r="AO80" s="37"/>
      <c r="AP80" s="17"/>
      <c r="AQ80" s="37"/>
      <c r="AR80" s="37"/>
      <c r="AS80" s="37"/>
      <c r="AT80" s="17"/>
      <c r="AU80" s="37"/>
      <c r="AV80" s="37"/>
      <c r="AW80" s="38"/>
      <c r="AX80" s="37"/>
      <c r="AY80" s="38"/>
      <c r="AZ80" s="34" t="str">
        <f aca="false">IF($E80="","",COUNTA($E80,$F80,$G80,$J80,$L80,$Q80,$U80,$X80,$AM80,$AN80,$AP80,$AR80)/12)</f>
        <v/>
      </c>
      <c r="BA80" s="32" t="str">
        <f aca="false">IF($E80="","",IF(COUNTIF($E$3:$E$402,$E80)&gt;1,"DUPLICATE",""))</f>
        <v/>
      </c>
      <c r="BB80" s="17"/>
      <c r="BC80" s="35" t="str">
        <f aca="false">IF($E80="","",IFERROR(INDEX(SCORING!$C$6:$C$15,MATCH($J80,SCORING!$B$6:$B$15,0)),0)+IFERROR(INDEX(SCORING!$C$18:$C$20,MATCH($U80,SCORING!$B$18:$B$20,0)),0)+IFERROR(INDEX(SCORING!$C$23:$C$26,MATCH($X80,SCORING!$B$23:$B$26,0)),0)+IFERROR(INDEX(SCORING!$C$29:$C$32,MATCH($Q80,SCORING!$B$29:$B$32,0)),0)+IFERROR(INDEX(SCORING!$C$35:$C$37,MATCH($L80,SCORING!$B$35:$B$37,0)),0)+IF($AP80="",0,IF(AND($AQ80="Valid",$AO80="Decision maker"),SCORING!$C$40,IF($AQ80="Valid",SCORING!$C$41,SCORING!$C$42))))</f>
        <v/>
      </c>
      <c r="BD80" s="36" t="str">
        <f aca="false">IF($BC80="","",IF($BC80&gt;=SCORING!$C$46,"A",IF($BC80&gt;=SCORING!$C$47,"B",IF($BC80&gt;=SCORING!$C$48,"C","D"))))</f>
        <v/>
      </c>
      <c r="BE80" s="37"/>
    </row>
    <row r="81" customFormat="false" ht="15" hidden="false" customHeight="false" outlineLevel="0" collapsed="false">
      <c r="A81" s="37"/>
      <c r="B81" s="38"/>
      <c r="C81" s="37"/>
      <c r="D81" s="37"/>
      <c r="E81" s="17"/>
      <c r="F81" s="17"/>
      <c r="G81" s="37"/>
      <c r="H81" s="32" t="str">
        <f aca="false">IF($G81="","",IFERROR(INDEX(LISTS!$P$3:$P$145,MATCH($G81,LISTS!$O$3:$O$145,0)),"Other"))</f>
        <v/>
      </c>
      <c r="I81" s="37"/>
      <c r="J81" s="17"/>
      <c r="K81" s="17"/>
      <c r="L81" s="37"/>
      <c r="M81" s="37"/>
      <c r="N81" s="39"/>
      <c r="O81" s="37"/>
      <c r="P81" s="39"/>
      <c r="Q81" s="37"/>
      <c r="R81" s="39"/>
      <c r="S81" s="17"/>
      <c r="T81" s="17"/>
      <c r="U81" s="37"/>
      <c r="V81" s="37"/>
      <c r="W81" s="17"/>
      <c r="X81" s="37"/>
      <c r="Y81" s="17"/>
      <c r="Z81" s="39"/>
      <c r="AA81" s="39"/>
      <c r="AB81" s="37"/>
      <c r="AC81" s="37"/>
      <c r="AD81" s="38"/>
      <c r="AE81" s="37"/>
      <c r="AF81" s="37"/>
      <c r="AG81" s="37"/>
      <c r="AH81" s="37"/>
      <c r="AI81" s="17"/>
      <c r="AJ81" s="37"/>
      <c r="AK81" s="17"/>
      <c r="AL81" s="39"/>
      <c r="AM81" s="17"/>
      <c r="AN81" s="17"/>
      <c r="AO81" s="37"/>
      <c r="AP81" s="17"/>
      <c r="AQ81" s="37"/>
      <c r="AR81" s="37"/>
      <c r="AS81" s="37"/>
      <c r="AT81" s="17"/>
      <c r="AU81" s="37"/>
      <c r="AV81" s="37"/>
      <c r="AW81" s="38"/>
      <c r="AX81" s="37"/>
      <c r="AY81" s="38"/>
      <c r="AZ81" s="34" t="str">
        <f aca="false">IF($E81="","",COUNTA($E81,$F81,$G81,$J81,$L81,$Q81,$U81,$X81,$AM81,$AN81,$AP81,$AR81)/12)</f>
        <v/>
      </c>
      <c r="BA81" s="32" t="str">
        <f aca="false">IF($E81="","",IF(COUNTIF($E$3:$E$402,$E81)&gt;1,"DUPLICATE",""))</f>
        <v/>
      </c>
      <c r="BB81" s="17"/>
      <c r="BC81" s="35" t="str">
        <f aca="false">IF($E81="","",IFERROR(INDEX(SCORING!$C$6:$C$15,MATCH($J81,SCORING!$B$6:$B$15,0)),0)+IFERROR(INDEX(SCORING!$C$18:$C$20,MATCH($U81,SCORING!$B$18:$B$20,0)),0)+IFERROR(INDEX(SCORING!$C$23:$C$26,MATCH($X81,SCORING!$B$23:$B$26,0)),0)+IFERROR(INDEX(SCORING!$C$29:$C$32,MATCH($Q81,SCORING!$B$29:$B$32,0)),0)+IFERROR(INDEX(SCORING!$C$35:$C$37,MATCH($L81,SCORING!$B$35:$B$37,0)),0)+IF($AP81="",0,IF(AND($AQ81="Valid",$AO81="Decision maker"),SCORING!$C$40,IF($AQ81="Valid",SCORING!$C$41,SCORING!$C$42))))</f>
        <v/>
      </c>
      <c r="BD81" s="36" t="str">
        <f aca="false">IF($BC81="","",IF($BC81&gt;=SCORING!$C$46,"A",IF($BC81&gt;=SCORING!$C$47,"B",IF($BC81&gt;=SCORING!$C$48,"C","D"))))</f>
        <v/>
      </c>
      <c r="BE81" s="37"/>
    </row>
    <row r="82" customFormat="false" ht="15" hidden="false" customHeight="false" outlineLevel="0" collapsed="false">
      <c r="A82" s="37"/>
      <c r="B82" s="38"/>
      <c r="C82" s="37"/>
      <c r="D82" s="37"/>
      <c r="E82" s="17"/>
      <c r="F82" s="17"/>
      <c r="G82" s="37"/>
      <c r="H82" s="32" t="str">
        <f aca="false">IF($G82="","",IFERROR(INDEX(LISTS!$P$3:$P$145,MATCH($G82,LISTS!$O$3:$O$145,0)),"Other"))</f>
        <v/>
      </c>
      <c r="I82" s="37"/>
      <c r="J82" s="17"/>
      <c r="K82" s="17"/>
      <c r="L82" s="37"/>
      <c r="M82" s="37"/>
      <c r="N82" s="39"/>
      <c r="O82" s="37"/>
      <c r="P82" s="39"/>
      <c r="Q82" s="37"/>
      <c r="R82" s="39"/>
      <c r="S82" s="17"/>
      <c r="T82" s="17"/>
      <c r="U82" s="37"/>
      <c r="V82" s="37"/>
      <c r="W82" s="17"/>
      <c r="X82" s="37"/>
      <c r="Y82" s="17"/>
      <c r="Z82" s="39"/>
      <c r="AA82" s="39"/>
      <c r="AB82" s="37"/>
      <c r="AC82" s="37"/>
      <c r="AD82" s="38"/>
      <c r="AE82" s="37"/>
      <c r="AF82" s="37"/>
      <c r="AG82" s="37"/>
      <c r="AH82" s="37"/>
      <c r="AI82" s="17"/>
      <c r="AJ82" s="37"/>
      <c r="AK82" s="17"/>
      <c r="AL82" s="39"/>
      <c r="AM82" s="17"/>
      <c r="AN82" s="17"/>
      <c r="AO82" s="37"/>
      <c r="AP82" s="17"/>
      <c r="AQ82" s="37"/>
      <c r="AR82" s="37"/>
      <c r="AS82" s="37"/>
      <c r="AT82" s="17"/>
      <c r="AU82" s="37"/>
      <c r="AV82" s="37"/>
      <c r="AW82" s="38"/>
      <c r="AX82" s="37"/>
      <c r="AY82" s="38"/>
      <c r="AZ82" s="34" t="str">
        <f aca="false">IF($E82="","",COUNTA($E82,$F82,$G82,$J82,$L82,$Q82,$U82,$X82,$AM82,$AN82,$AP82,$AR82)/12)</f>
        <v/>
      </c>
      <c r="BA82" s="32" t="str">
        <f aca="false">IF($E82="","",IF(COUNTIF($E$3:$E$402,$E82)&gt;1,"DUPLICATE",""))</f>
        <v/>
      </c>
      <c r="BB82" s="17"/>
      <c r="BC82" s="35" t="str">
        <f aca="false">IF($E82="","",IFERROR(INDEX(SCORING!$C$6:$C$15,MATCH($J82,SCORING!$B$6:$B$15,0)),0)+IFERROR(INDEX(SCORING!$C$18:$C$20,MATCH($U82,SCORING!$B$18:$B$20,0)),0)+IFERROR(INDEX(SCORING!$C$23:$C$26,MATCH($X82,SCORING!$B$23:$B$26,0)),0)+IFERROR(INDEX(SCORING!$C$29:$C$32,MATCH($Q82,SCORING!$B$29:$B$32,0)),0)+IFERROR(INDEX(SCORING!$C$35:$C$37,MATCH($L82,SCORING!$B$35:$B$37,0)),0)+IF($AP82="",0,IF(AND($AQ82="Valid",$AO82="Decision maker"),SCORING!$C$40,IF($AQ82="Valid",SCORING!$C$41,SCORING!$C$42))))</f>
        <v/>
      </c>
      <c r="BD82" s="36" t="str">
        <f aca="false">IF($BC82="","",IF($BC82&gt;=SCORING!$C$46,"A",IF($BC82&gt;=SCORING!$C$47,"B",IF($BC82&gt;=SCORING!$C$48,"C","D"))))</f>
        <v/>
      </c>
      <c r="BE82" s="37"/>
    </row>
    <row r="83" customFormat="false" ht="15" hidden="false" customHeight="false" outlineLevel="0" collapsed="false">
      <c r="A83" s="37"/>
      <c r="B83" s="38"/>
      <c r="C83" s="37"/>
      <c r="D83" s="37"/>
      <c r="E83" s="17"/>
      <c r="F83" s="17"/>
      <c r="G83" s="37"/>
      <c r="H83" s="32" t="str">
        <f aca="false">IF($G83="","",IFERROR(INDEX(LISTS!$P$3:$P$145,MATCH($G83,LISTS!$O$3:$O$145,0)),"Other"))</f>
        <v/>
      </c>
      <c r="I83" s="37"/>
      <c r="J83" s="17"/>
      <c r="K83" s="17"/>
      <c r="L83" s="37"/>
      <c r="M83" s="37"/>
      <c r="N83" s="39"/>
      <c r="O83" s="37"/>
      <c r="P83" s="39"/>
      <c r="Q83" s="37"/>
      <c r="R83" s="39"/>
      <c r="S83" s="17"/>
      <c r="T83" s="17"/>
      <c r="U83" s="37"/>
      <c r="V83" s="37"/>
      <c r="W83" s="17"/>
      <c r="X83" s="37"/>
      <c r="Y83" s="17"/>
      <c r="Z83" s="39"/>
      <c r="AA83" s="39"/>
      <c r="AB83" s="37"/>
      <c r="AC83" s="37"/>
      <c r="AD83" s="38"/>
      <c r="AE83" s="37"/>
      <c r="AF83" s="37"/>
      <c r="AG83" s="37"/>
      <c r="AH83" s="37"/>
      <c r="AI83" s="17"/>
      <c r="AJ83" s="37"/>
      <c r="AK83" s="17"/>
      <c r="AL83" s="39"/>
      <c r="AM83" s="17"/>
      <c r="AN83" s="17"/>
      <c r="AO83" s="37"/>
      <c r="AP83" s="17"/>
      <c r="AQ83" s="37"/>
      <c r="AR83" s="37"/>
      <c r="AS83" s="37"/>
      <c r="AT83" s="17"/>
      <c r="AU83" s="37"/>
      <c r="AV83" s="37"/>
      <c r="AW83" s="38"/>
      <c r="AX83" s="37"/>
      <c r="AY83" s="38"/>
      <c r="AZ83" s="34" t="str">
        <f aca="false">IF($E83="","",COUNTA($E83,$F83,$G83,$J83,$L83,$Q83,$U83,$X83,$AM83,$AN83,$AP83,$AR83)/12)</f>
        <v/>
      </c>
      <c r="BA83" s="32" t="str">
        <f aca="false">IF($E83="","",IF(COUNTIF($E$3:$E$402,$E83)&gt;1,"DUPLICATE",""))</f>
        <v/>
      </c>
      <c r="BB83" s="17"/>
      <c r="BC83" s="35" t="str">
        <f aca="false">IF($E83="","",IFERROR(INDEX(SCORING!$C$6:$C$15,MATCH($J83,SCORING!$B$6:$B$15,0)),0)+IFERROR(INDEX(SCORING!$C$18:$C$20,MATCH($U83,SCORING!$B$18:$B$20,0)),0)+IFERROR(INDEX(SCORING!$C$23:$C$26,MATCH($X83,SCORING!$B$23:$B$26,0)),0)+IFERROR(INDEX(SCORING!$C$29:$C$32,MATCH($Q83,SCORING!$B$29:$B$32,0)),0)+IFERROR(INDEX(SCORING!$C$35:$C$37,MATCH($L83,SCORING!$B$35:$B$37,0)),0)+IF($AP83="",0,IF(AND($AQ83="Valid",$AO83="Decision maker"),SCORING!$C$40,IF($AQ83="Valid",SCORING!$C$41,SCORING!$C$42))))</f>
        <v/>
      </c>
      <c r="BD83" s="36" t="str">
        <f aca="false">IF($BC83="","",IF($BC83&gt;=SCORING!$C$46,"A",IF($BC83&gt;=SCORING!$C$47,"B",IF($BC83&gt;=SCORING!$C$48,"C","D"))))</f>
        <v/>
      </c>
      <c r="BE83" s="37"/>
    </row>
    <row r="84" customFormat="false" ht="15" hidden="false" customHeight="false" outlineLevel="0" collapsed="false">
      <c r="A84" s="37"/>
      <c r="B84" s="38"/>
      <c r="C84" s="37"/>
      <c r="D84" s="37"/>
      <c r="E84" s="17"/>
      <c r="F84" s="17"/>
      <c r="G84" s="37"/>
      <c r="H84" s="32" t="str">
        <f aca="false">IF($G84="","",IFERROR(INDEX(LISTS!$P$3:$P$145,MATCH($G84,LISTS!$O$3:$O$145,0)),"Other"))</f>
        <v/>
      </c>
      <c r="I84" s="37"/>
      <c r="J84" s="17"/>
      <c r="K84" s="17"/>
      <c r="L84" s="37"/>
      <c r="M84" s="37"/>
      <c r="N84" s="39"/>
      <c r="O84" s="37"/>
      <c r="P84" s="39"/>
      <c r="Q84" s="37"/>
      <c r="R84" s="39"/>
      <c r="S84" s="17"/>
      <c r="T84" s="17"/>
      <c r="U84" s="37"/>
      <c r="V84" s="37"/>
      <c r="W84" s="17"/>
      <c r="X84" s="37"/>
      <c r="Y84" s="17"/>
      <c r="Z84" s="39"/>
      <c r="AA84" s="39"/>
      <c r="AB84" s="37"/>
      <c r="AC84" s="37"/>
      <c r="AD84" s="38"/>
      <c r="AE84" s="37"/>
      <c r="AF84" s="37"/>
      <c r="AG84" s="37"/>
      <c r="AH84" s="37"/>
      <c r="AI84" s="17"/>
      <c r="AJ84" s="37"/>
      <c r="AK84" s="17"/>
      <c r="AL84" s="39"/>
      <c r="AM84" s="17"/>
      <c r="AN84" s="17"/>
      <c r="AO84" s="37"/>
      <c r="AP84" s="17"/>
      <c r="AQ84" s="37"/>
      <c r="AR84" s="37"/>
      <c r="AS84" s="37"/>
      <c r="AT84" s="17"/>
      <c r="AU84" s="37"/>
      <c r="AV84" s="37"/>
      <c r="AW84" s="38"/>
      <c r="AX84" s="37"/>
      <c r="AY84" s="38"/>
      <c r="AZ84" s="34" t="str">
        <f aca="false">IF($E84="","",COUNTA($E84,$F84,$G84,$J84,$L84,$Q84,$U84,$X84,$AM84,$AN84,$AP84,$AR84)/12)</f>
        <v/>
      </c>
      <c r="BA84" s="32" t="str">
        <f aca="false">IF($E84="","",IF(COUNTIF($E$3:$E$402,$E84)&gt;1,"DUPLICATE",""))</f>
        <v/>
      </c>
      <c r="BB84" s="17"/>
      <c r="BC84" s="35" t="str">
        <f aca="false">IF($E84="","",IFERROR(INDEX(SCORING!$C$6:$C$15,MATCH($J84,SCORING!$B$6:$B$15,0)),0)+IFERROR(INDEX(SCORING!$C$18:$C$20,MATCH($U84,SCORING!$B$18:$B$20,0)),0)+IFERROR(INDEX(SCORING!$C$23:$C$26,MATCH($X84,SCORING!$B$23:$B$26,0)),0)+IFERROR(INDEX(SCORING!$C$29:$C$32,MATCH($Q84,SCORING!$B$29:$B$32,0)),0)+IFERROR(INDEX(SCORING!$C$35:$C$37,MATCH($L84,SCORING!$B$35:$B$37,0)),0)+IF($AP84="",0,IF(AND($AQ84="Valid",$AO84="Decision maker"),SCORING!$C$40,IF($AQ84="Valid",SCORING!$C$41,SCORING!$C$42))))</f>
        <v/>
      </c>
      <c r="BD84" s="36" t="str">
        <f aca="false">IF($BC84="","",IF($BC84&gt;=SCORING!$C$46,"A",IF($BC84&gt;=SCORING!$C$47,"B",IF($BC84&gt;=SCORING!$C$48,"C","D"))))</f>
        <v/>
      </c>
      <c r="BE84" s="37"/>
    </row>
    <row r="85" customFormat="false" ht="15" hidden="false" customHeight="false" outlineLevel="0" collapsed="false">
      <c r="A85" s="37"/>
      <c r="B85" s="38"/>
      <c r="C85" s="37"/>
      <c r="D85" s="37"/>
      <c r="E85" s="17"/>
      <c r="F85" s="17"/>
      <c r="G85" s="37"/>
      <c r="H85" s="32" t="str">
        <f aca="false">IF($G85="","",IFERROR(INDEX(LISTS!$P$3:$P$145,MATCH($G85,LISTS!$O$3:$O$145,0)),"Other"))</f>
        <v/>
      </c>
      <c r="I85" s="37"/>
      <c r="J85" s="17"/>
      <c r="K85" s="17"/>
      <c r="L85" s="37"/>
      <c r="M85" s="37"/>
      <c r="N85" s="39"/>
      <c r="O85" s="37"/>
      <c r="P85" s="39"/>
      <c r="Q85" s="37"/>
      <c r="R85" s="39"/>
      <c r="S85" s="17"/>
      <c r="T85" s="17"/>
      <c r="U85" s="37"/>
      <c r="V85" s="37"/>
      <c r="W85" s="17"/>
      <c r="X85" s="37"/>
      <c r="Y85" s="17"/>
      <c r="Z85" s="39"/>
      <c r="AA85" s="39"/>
      <c r="AB85" s="37"/>
      <c r="AC85" s="37"/>
      <c r="AD85" s="38"/>
      <c r="AE85" s="37"/>
      <c r="AF85" s="37"/>
      <c r="AG85" s="37"/>
      <c r="AH85" s="37"/>
      <c r="AI85" s="17"/>
      <c r="AJ85" s="37"/>
      <c r="AK85" s="17"/>
      <c r="AL85" s="39"/>
      <c r="AM85" s="17"/>
      <c r="AN85" s="17"/>
      <c r="AO85" s="37"/>
      <c r="AP85" s="17"/>
      <c r="AQ85" s="37"/>
      <c r="AR85" s="37"/>
      <c r="AS85" s="37"/>
      <c r="AT85" s="17"/>
      <c r="AU85" s="37"/>
      <c r="AV85" s="37"/>
      <c r="AW85" s="38"/>
      <c r="AX85" s="37"/>
      <c r="AY85" s="38"/>
      <c r="AZ85" s="34" t="str">
        <f aca="false">IF($E85="","",COUNTA($E85,$F85,$G85,$J85,$L85,$Q85,$U85,$X85,$AM85,$AN85,$AP85,$AR85)/12)</f>
        <v/>
      </c>
      <c r="BA85" s="32" t="str">
        <f aca="false">IF($E85="","",IF(COUNTIF($E$3:$E$402,$E85)&gt;1,"DUPLICATE",""))</f>
        <v/>
      </c>
      <c r="BB85" s="17"/>
      <c r="BC85" s="35" t="str">
        <f aca="false">IF($E85="","",IFERROR(INDEX(SCORING!$C$6:$C$15,MATCH($J85,SCORING!$B$6:$B$15,0)),0)+IFERROR(INDEX(SCORING!$C$18:$C$20,MATCH($U85,SCORING!$B$18:$B$20,0)),0)+IFERROR(INDEX(SCORING!$C$23:$C$26,MATCH($X85,SCORING!$B$23:$B$26,0)),0)+IFERROR(INDEX(SCORING!$C$29:$C$32,MATCH($Q85,SCORING!$B$29:$B$32,0)),0)+IFERROR(INDEX(SCORING!$C$35:$C$37,MATCH($L85,SCORING!$B$35:$B$37,0)),0)+IF($AP85="",0,IF(AND($AQ85="Valid",$AO85="Decision maker"),SCORING!$C$40,IF($AQ85="Valid",SCORING!$C$41,SCORING!$C$42))))</f>
        <v/>
      </c>
      <c r="BD85" s="36" t="str">
        <f aca="false">IF($BC85="","",IF($BC85&gt;=SCORING!$C$46,"A",IF($BC85&gt;=SCORING!$C$47,"B",IF($BC85&gt;=SCORING!$C$48,"C","D"))))</f>
        <v/>
      </c>
      <c r="BE85" s="37"/>
    </row>
    <row r="86" customFormat="false" ht="15" hidden="false" customHeight="false" outlineLevel="0" collapsed="false">
      <c r="A86" s="37"/>
      <c r="B86" s="38"/>
      <c r="C86" s="37"/>
      <c r="D86" s="37"/>
      <c r="E86" s="17"/>
      <c r="F86" s="17"/>
      <c r="G86" s="37"/>
      <c r="H86" s="32" t="str">
        <f aca="false">IF($G86="","",IFERROR(INDEX(LISTS!$P$3:$P$145,MATCH($G86,LISTS!$O$3:$O$145,0)),"Other"))</f>
        <v/>
      </c>
      <c r="I86" s="37"/>
      <c r="J86" s="17"/>
      <c r="K86" s="17"/>
      <c r="L86" s="37"/>
      <c r="M86" s="37"/>
      <c r="N86" s="39"/>
      <c r="O86" s="37"/>
      <c r="P86" s="39"/>
      <c r="Q86" s="37"/>
      <c r="R86" s="39"/>
      <c r="S86" s="17"/>
      <c r="T86" s="17"/>
      <c r="U86" s="37"/>
      <c r="V86" s="37"/>
      <c r="W86" s="17"/>
      <c r="X86" s="37"/>
      <c r="Y86" s="17"/>
      <c r="Z86" s="39"/>
      <c r="AA86" s="39"/>
      <c r="AB86" s="37"/>
      <c r="AC86" s="37"/>
      <c r="AD86" s="38"/>
      <c r="AE86" s="37"/>
      <c r="AF86" s="37"/>
      <c r="AG86" s="37"/>
      <c r="AH86" s="37"/>
      <c r="AI86" s="17"/>
      <c r="AJ86" s="37"/>
      <c r="AK86" s="17"/>
      <c r="AL86" s="39"/>
      <c r="AM86" s="17"/>
      <c r="AN86" s="17"/>
      <c r="AO86" s="37"/>
      <c r="AP86" s="17"/>
      <c r="AQ86" s="37"/>
      <c r="AR86" s="37"/>
      <c r="AS86" s="37"/>
      <c r="AT86" s="17"/>
      <c r="AU86" s="37"/>
      <c r="AV86" s="37"/>
      <c r="AW86" s="38"/>
      <c r="AX86" s="37"/>
      <c r="AY86" s="38"/>
      <c r="AZ86" s="34" t="str">
        <f aca="false">IF($E86="","",COUNTA($E86,$F86,$G86,$J86,$L86,$Q86,$U86,$X86,$AM86,$AN86,$AP86,$AR86)/12)</f>
        <v/>
      </c>
      <c r="BA86" s="32" t="str">
        <f aca="false">IF($E86="","",IF(COUNTIF($E$3:$E$402,$E86)&gt;1,"DUPLICATE",""))</f>
        <v/>
      </c>
      <c r="BB86" s="17"/>
      <c r="BC86" s="35" t="str">
        <f aca="false">IF($E86="","",IFERROR(INDEX(SCORING!$C$6:$C$15,MATCH($J86,SCORING!$B$6:$B$15,0)),0)+IFERROR(INDEX(SCORING!$C$18:$C$20,MATCH($U86,SCORING!$B$18:$B$20,0)),0)+IFERROR(INDEX(SCORING!$C$23:$C$26,MATCH($X86,SCORING!$B$23:$B$26,0)),0)+IFERROR(INDEX(SCORING!$C$29:$C$32,MATCH($Q86,SCORING!$B$29:$B$32,0)),0)+IFERROR(INDEX(SCORING!$C$35:$C$37,MATCH($L86,SCORING!$B$35:$B$37,0)),0)+IF($AP86="",0,IF(AND($AQ86="Valid",$AO86="Decision maker"),SCORING!$C$40,IF($AQ86="Valid",SCORING!$C$41,SCORING!$C$42))))</f>
        <v/>
      </c>
      <c r="BD86" s="36" t="str">
        <f aca="false">IF($BC86="","",IF($BC86&gt;=SCORING!$C$46,"A",IF($BC86&gt;=SCORING!$C$47,"B",IF($BC86&gt;=SCORING!$C$48,"C","D"))))</f>
        <v/>
      </c>
      <c r="BE86" s="37"/>
    </row>
    <row r="87" customFormat="false" ht="15" hidden="false" customHeight="false" outlineLevel="0" collapsed="false">
      <c r="A87" s="37"/>
      <c r="B87" s="38"/>
      <c r="C87" s="37"/>
      <c r="D87" s="37"/>
      <c r="E87" s="17"/>
      <c r="F87" s="17"/>
      <c r="G87" s="37"/>
      <c r="H87" s="32" t="str">
        <f aca="false">IF($G87="","",IFERROR(INDEX(LISTS!$P$3:$P$145,MATCH($G87,LISTS!$O$3:$O$145,0)),"Other"))</f>
        <v/>
      </c>
      <c r="I87" s="37"/>
      <c r="J87" s="17"/>
      <c r="K87" s="17"/>
      <c r="L87" s="37"/>
      <c r="M87" s="37"/>
      <c r="N87" s="39"/>
      <c r="O87" s="37"/>
      <c r="P87" s="39"/>
      <c r="Q87" s="37"/>
      <c r="R87" s="39"/>
      <c r="S87" s="17"/>
      <c r="T87" s="17"/>
      <c r="U87" s="37"/>
      <c r="V87" s="37"/>
      <c r="W87" s="17"/>
      <c r="X87" s="37"/>
      <c r="Y87" s="17"/>
      <c r="Z87" s="39"/>
      <c r="AA87" s="39"/>
      <c r="AB87" s="37"/>
      <c r="AC87" s="37"/>
      <c r="AD87" s="38"/>
      <c r="AE87" s="37"/>
      <c r="AF87" s="37"/>
      <c r="AG87" s="37"/>
      <c r="AH87" s="37"/>
      <c r="AI87" s="17"/>
      <c r="AJ87" s="37"/>
      <c r="AK87" s="17"/>
      <c r="AL87" s="39"/>
      <c r="AM87" s="17"/>
      <c r="AN87" s="17"/>
      <c r="AO87" s="37"/>
      <c r="AP87" s="17"/>
      <c r="AQ87" s="37"/>
      <c r="AR87" s="37"/>
      <c r="AS87" s="37"/>
      <c r="AT87" s="17"/>
      <c r="AU87" s="37"/>
      <c r="AV87" s="37"/>
      <c r="AW87" s="38"/>
      <c r="AX87" s="37"/>
      <c r="AY87" s="38"/>
      <c r="AZ87" s="34" t="str">
        <f aca="false">IF($E87="","",COUNTA($E87,$F87,$G87,$J87,$L87,$Q87,$U87,$X87,$AM87,$AN87,$AP87,$AR87)/12)</f>
        <v/>
      </c>
      <c r="BA87" s="32" t="str">
        <f aca="false">IF($E87="","",IF(COUNTIF($E$3:$E$402,$E87)&gt;1,"DUPLICATE",""))</f>
        <v/>
      </c>
      <c r="BB87" s="17"/>
      <c r="BC87" s="35" t="str">
        <f aca="false">IF($E87="","",IFERROR(INDEX(SCORING!$C$6:$C$15,MATCH($J87,SCORING!$B$6:$B$15,0)),0)+IFERROR(INDEX(SCORING!$C$18:$C$20,MATCH($U87,SCORING!$B$18:$B$20,0)),0)+IFERROR(INDEX(SCORING!$C$23:$C$26,MATCH($X87,SCORING!$B$23:$B$26,0)),0)+IFERROR(INDEX(SCORING!$C$29:$C$32,MATCH($Q87,SCORING!$B$29:$B$32,0)),0)+IFERROR(INDEX(SCORING!$C$35:$C$37,MATCH($L87,SCORING!$B$35:$B$37,0)),0)+IF($AP87="",0,IF(AND($AQ87="Valid",$AO87="Decision maker"),SCORING!$C$40,IF($AQ87="Valid",SCORING!$C$41,SCORING!$C$42))))</f>
        <v/>
      </c>
      <c r="BD87" s="36" t="str">
        <f aca="false">IF($BC87="","",IF($BC87&gt;=SCORING!$C$46,"A",IF($BC87&gt;=SCORING!$C$47,"B",IF($BC87&gt;=SCORING!$C$48,"C","D"))))</f>
        <v/>
      </c>
      <c r="BE87" s="37"/>
    </row>
    <row r="88" customFormat="false" ht="15" hidden="false" customHeight="false" outlineLevel="0" collapsed="false">
      <c r="A88" s="37"/>
      <c r="B88" s="38"/>
      <c r="C88" s="37"/>
      <c r="D88" s="37"/>
      <c r="E88" s="17"/>
      <c r="F88" s="17"/>
      <c r="G88" s="37"/>
      <c r="H88" s="32" t="str">
        <f aca="false">IF($G88="","",IFERROR(INDEX(LISTS!$P$3:$P$145,MATCH($G88,LISTS!$O$3:$O$145,0)),"Other"))</f>
        <v/>
      </c>
      <c r="I88" s="37"/>
      <c r="J88" s="17"/>
      <c r="K88" s="17"/>
      <c r="L88" s="37"/>
      <c r="M88" s="37"/>
      <c r="N88" s="39"/>
      <c r="O88" s="37"/>
      <c r="P88" s="39"/>
      <c r="Q88" s="37"/>
      <c r="R88" s="39"/>
      <c r="S88" s="17"/>
      <c r="T88" s="17"/>
      <c r="U88" s="37"/>
      <c r="V88" s="37"/>
      <c r="W88" s="17"/>
      <c r="X88" s="37"/>
      <c r="Y88" s="17"/>
      <c r="Z88" s="39"/>
      <c r="AA88" s="39"/>
      <c r="AB88" s="37"/>
      <c r="AC88" s="37"/>
      <c r="AD88" s="38"/>
      <c r="AE88" s="37"/>
      <c r="AF88" s="37"/>
      <c r="AG88" s="37"/>
      <c r="AH88" s="37"/>
      <c r="AI88" s="17"/>
      <c r="AJ88" s="37"/>
      <c r="AK88" s="17"/>
      <c r="AL88" s="39"/>
      <c r="AM88" s="17"/>
      <c r="AN88" s="17"/>
      <c r="AO88" s="37"/>
      <c r="AP88" s="17"/>
      <c r="AQ88" s="37"/>
      <c r="AR88" s="37"/>
      <c r="AS88" s="37"/>
      <c r="AT88" s="17"/>
      <c r="AU88" s="37"/>
      <c r="AV88" s="37"/>
      <c r="AW88" s="38"/>
      <c r="AX88" s="37"/>
      <c r="AY88" s="38"/>
      <c r="AZ88" s="34" t="str">
        <f aca="false">IF($E88="","",COUNTA($E88,$F88,$G88,$J88,$L88,$Q88,$U88,$X88,$AM88,$AN88,$AP88,$AR88)/12)</f>
        <v/>
      </c>
      <c r="BA88" s="32" t="str">
        <f aca="false">IF($E88="","",IF(COUNTIF($E$3:$E$402,$E88)&gt;1,"DUPLICATE",""))</f>
        <v/>
      </c>
      <c r="BB88" s="17"/>
      <c r="BC88" s="35" t="str">
        <f aca="false">IF($E88="","",IFERROR(INDEX(SCORING!$C$6:$C$15,MATCH($J88,SCORING!$B$6:$B$15,0)),0)+IFERROR(INDEX(SCORING!$C$18:$C$20,MATCH($U88,SCORING!$B$18:$B$20,0)),0)+IFERROR(INDEX(SCORING!$C$23:$C$26,MATCH($X88,SCORING!$B$23:$B$26,0)),0)+IFERROR(INDEX(SCORING!$C$29:$C$32,MATCH($Q88,SCORING!$B$29:$B$32,0)),0)+IFERROR(INDEX(SCORING!$C$35:$C$37,MATCH($L88,SCORING!$B$35:$B$37,0)),0)+IF($AP88="",0,IF(AND($AQ88="Valid",$AO88="Decision maker"),SCORING!$C$40,IF($AQ88="Valid",SCORING!$C$41,SCORING!$C$42))))</f>
        <v/>
      </c>
      <c r="BD88" s="36" t="str">
        <f aca="false">IF($BC88="","",IF($BC88&gt;=SCORING!$C$46,"A",IF($BC88&gt;=SCORING!$C$47,"B",IF($BC88&gt;=SCORING!$C$48,"C","D"))))</f>
        <v/>
      </c>
      <c r="BE88" s="37"/>
    </row>
    <row r="89" customFormat="false" ht="15" hidden="false" customHeight="false" outlineLevel="0" collapsed="false">
      <c r="A89" s="37"/>
      <c r="B89" s="38"/>
      <c r="C89" s="37"/>
      <c r="D89" s="37"/>
      <c r="E89" s="17"/>
      <c r="F89" s="17"/>
      <c r="G89" s="37"/>
      <c r="H89" s="32" t="str">
        <f aca="false">IF($G89="","",IFERROR(INDEX(LISTS!$P$3:$P$145,MATCH($G89,LISTS!$O$3:$O$145,0)),"Other"))</f>
        <v/>
      </c>
      <c r="I89" s="37"/>
      <c r="J89" s="17"/>
      <c r="K89" s="17"/>
      <c r="L89" s="37"/>
      <c r="M89" s="37"/>
      <c r="N89" s="39"/>
      <c r="O89" s="37"/>
      <c r="P89" s="39"/>
      <c r="Q89" s="37"/>
      <c r="R89" s="39"/>
      <c r="S89" s="17"/>
      <c r="T89" s="17"/>
      <c r="U89" s="37"/>
      <c r="V89" s="37"/>
      <c r="W89" s="17"/>
      <c r="X89" s="37"/>
      <c r="Y89" s="17"/>
      <c r="Z89" s="39"/>
      <c r="AA89" s="39"/>
      <c r="AB89" s="37"/>
      <c r="AC89" s="37"/>
      <c r="AD89" s="38"/>
      <c r="AE89" s="37"/>
      <c r="AF89" s="37"/>
      <c r="AG89" s="37"/>
      <c r="AH89" s="37"/>
      <c r="AI89" s="17"/>
      <c r="AJ89" s="37"/>
      <c r="AK89" s="17"/>
      <c r="AL89" s="39"/>
      <c r="AM89" s="17"/>
      <c r="AN89" s="17"/>
      <c r="AO89" s="37"/>
      <c r="AP89" s="17"/>
      <c r="AQ89" s="37"/>
      <c r="AR89" s="37"/>
      <c r="AS89" s="37"/>
      <c r="AT89" s="17"/>
      <c r="AU89" s="37"/>
      <c r="AV89" s="37"/>
      <c r="AW89" s="38"/>
      <c r="AX89" s="37"/>
      <c r="AY89" s="38"/>
      <c r="AZ89" s="34" t="str">
        <f aca="false">IF($E89="","",COUNTA($E89,$F89,$G89,$J89,$L89,$Q89,$U89,$X89,$AM89,$AN89,$AP89,$AR89)/12)</f>
        <v/>
      </c>
      <c r="BA89" s="32" t="str">
        <f aca="false">IF($E89="","",IF(COUNTIF($E$3:$E$402,$E89)&gt;1,"DUPLICATE",""))</f>
        <v/>
      </c>
      <c r="BB89" s="17"/>
      <c r="BC89" s="35" t="str">
        <f aca="false">IF($E89="","",IFERROR(INDEX(SCORING!$C$6:$C$15,MATCH($J89,SCORING!$B$6:$B$15,0)),0)+IFERROR(INDEX(SCORING!$C$18:$C$20,MATCH($U89,SCORING!$B$18:$B$20,0)),0)+IFERROR(INDEX(SCORING!$C$23:$C$26,MATCH($X89,SCORING!$B$23:$B$26,0)),0)+IFERROR(INDEX(SCORING!$C$29:$C$32,MATCH($Q89,SCORING!$B$29:$B$32,0)),0)+IFERROR(INDEX(SCORING!$C$35:$C$37,MATCH($L89,SCORING!$B$35:$B$37,0)),0)+IF($AP89="",0,IF(AND($AQ89="Valid",$AO89="Decision maker"),SCORING!$C$40,IF($AQ89="Valid",SCORING!$C$41,SCORING!$C$42))))</f>
        <v/>
      </c>
      <c r="BD89" s="36" t="str">
        <f aca="false">IF($BC89="","",IF($BC89&gt;=SCORING!$C$46,"A",IF($BC89&gt;=SCORING!$C$47,"B",IF($BC89&gt;=SCORING!$C$48,"C","D"))))</f>
        <v/>
      </c>
      <c r="BE89" s="37"/>
    </row>
    <row r="90" customFormat="false" ht="15" hidden="false" customHeight="false" outlineLevel="0" collapsed="false">
      <c r="A90" s="37"/>
      <c r="B90" s="38"/>
      <c r="C90" s="37"/>
      <c r="D90" s="37"/>
      <c r="E90" s="17"/>
      <c r="F90" s="17"/>
      <c r="G90" s="37"/>
      <c r="H90" s="32" t="str">
        <f aca="false">IF($G90="","",IFERROR(INDEX(LISTS!$P$3:$P$145,MATCH($G90,LISTS!$O$3:$O$145,0)),"Other"))</f>
        <v/>
      </c>
      <c r="I90" s="37"/>
      <c r="J90" s="17"/>
      <c r="K90" s="17"/>
      <c r="L90" s="37"/>
      <c r="M90" s="37"/>
      <c r="N90" s="39"/>
      <c r="O90" s="37"/>
      <c r="P90" s="39"/>
      <c r="Q90" s="37"/>
      <c r="R90" s="39"/>
      <c r="S90" s="17"/>
      <c r="T90" s="17"/>
      <c r="U90" s="37"/>
      <c r="V90" s="37"/>
      <c r="W90" s="17"/>
      <c r="X90" s="37"/>
      <c r="Y90" s="17"/>
      <c r="Z90" s="39"/>
      <c r="AA90" s="39"/>
      <c r="AB90" s="37"/>
      <c r="AC90" s="37"/>
      <c r="AD90" s="38"/>
      <c r="AE90" s="37"/>
      <c r="AF90" s="37"/>
      <c r="AG90" s="37"/>
      <c r="AH90" s="37"/>
      <c r="AI90" s="17"/>
      <c r="AJ90" s="37"/>
      <c r="AK90" s="17"/>
      <c r="AL90" s="39"/>
      <c r="AM90" s="17"/>
      <c r="AN90" s="17"/>
      <c r="AO90" s="37"/>
      <c r="AP90" s="17"/>
      <c r="AQ90" s="37"/>
      <c r="AR90" s="37"/>
      <c r="AS90" s="37"/>
      <c r="AT90" s="17"/>
      <c r="AU90" s="37"/>
      <c r="AV90" s="37"/>
      <c r="AW90" s="38"/>
      <c r="AX90" s="37"/>
      <c r="AY90" s="38"/>
      <c r="AZ90" s="34" t="str">
        <f aca="false">IF($E90="","",COUNTA($E90,$F90,$G90,$J90,$L90,$Q90,$U90,$X90,$AM90,$AN90,$AP90,$AR90)/12)</f>
        <v/>
      </c>
      <c r="BA90" s="32" t="str">
        <f aca="false">IF($E90="","",IF(COUNTIF($E$3:$E$402,$E90)&gt;1,"DUPLICATE",""))</f>
        <v/>
      </c>
      <c r="BB90" s="17"/>
      <c r="BC90" s="35" t="str">
        <f aca="false">IF($E90="","",IFERROR(INDEX(SCORING!$C$6:$C$15,MATCH($J90,SCORING!$B$6:$B$15,0)),0)+IFERROR(INDEX(SCORING!$C$18:$C$20,MATCH($U90,SCORING!$B$18:$B$20,0)),0)+IFERROR(INDEX(SCORING!$C$23:$C$26,MATCH($X90,SCORING!$B$23:$B$26,0)),0)+IFERROR(INDEX(SCORING!$C$29:$C$32,MATCH($Q90,SCORING!$B$29:$B$32,0)),0)+IFERROR(INDEX(SCORING!$C$35:$C$37,MATCH($L90,SCORING!$B$35:$B$37,0)),0)+IF($AP90="",0,IF(AND($AQ90="Valid",$AO90="Decision maker"),SCORING!$C$40,IF($AQ90="Valid",SCORING!$C$41,SCORING!$C$42))))</f>
        <v/>
      </c>
      <c r="BD90" s="36" t="str">
        <f aca="false">IF($BC90="","",IF($BC90&gt;=SCORING!$C$46,"A",IF($BC90&gt;=SCORING!$C$47,"B",IF($BC90&gt;=SCORING!$C$48,"C","D"))))</f>
        <v/>
      </c>
      <c r="BE90" s="37"/>
    </row>
    <row r="91" customFormat="false" ht="15" hidden="false" customHeight="false" outlineLevel="0" collapsed="false">
      <c r="A91" s="37"/>
      <c r="B91" s="38"/>
      <c r="C91" s="37"/>
      <c r="D91" s="37"/>
      <c r="E91" s="17"/>
      <c r="F91" s="17"/>
      <c r="G91" s="37"/>
      <c r="H91" s="32" t="str">
        <f aca="false">IF($G91="","",IFERROR(INDEX(LISTS!$P$3:$P$145,MATCH($G91,LISTS!$O$3:$O$145,0)),"Other"))</f>
        <v/>
      </c>
      <c r="I91" s="37"/>
      <c r="J91" s="17"/>
      <c r="K91" s="17"/>
      <c r="L91" s="37"/>
      <c r="M91" s="37"/>
      <c r="N91" s="39"/>
      <c r="O91" s="37"/>
      <c r="P91" s="39"/>
      <c r="Q91" s="37"/>
      <c r="R91" s="39"/>
      <c r="S91" s="17"/>
      <c r="T91" s="17"/>
      <c r="U91" s="37"/>
      <c r="V91" s="37"/>
      <c r="W91" s="17"/>
      <c r="X91" s="37"/>
      <c r="Y91" s="17"/>
      <c r="Z91" s="39"/>
      <c r="AA91" s="39"/>
      <c r="AB91" s="37"/>
      <c r="AC91" s="37"/>
      <c r="AD91" s="38"/>
      <c r="AE91" s="37"/>
      <c r="AF91" s="37"/>
      <c r="AG91" s="37"/>
      <c r="AH91" s="37"/>
      <c r="AI91" s="17"/>
      <c r="AJ91" s="37"/>
      <c r="AK91" s="17"/>
      <c r="AL91" s="39"/>
      <c r="AM91" s="17"/>
      <c r="AN91" s="17"/>
      <c r="AO91" s="37"/>
      <c r="AP91" s="17"/>
      <c r="AQ91" s="37"/>
      <c r="AR91" s="37"/>
      <c r="AS91" s="37"/>
      <c r="AT91" s="17"/>
      <c r="AU91" s="37"/>
      <c r="AV91" s="37"/>
      <c r="AW91" s="38"/>
      <c r="AX91" s="37"/>
      <c r="AY91" s="38"/>
      <c r="AZ91" s="34" t="str">
        <f aca="false">IF($E91="","",COUNTA($E91,$F91,$G91,$J91,$L91,$Q91,$U91,$X91,$AM91,$AN91,$AP91,$AR91)/12)</f>
        <v/>
      </c>
      <c r="BA91" s="32" t="str">
        <f aca="false">IF($E91="","",IF(COUNTIF($E$3:$E$402,$E91)&gt;1,"DUPLICATE",""))</f>
        <v/>
      </c>
      <c r="BB91" s="17"/>
      <c r="BC91" s="35" t="str">
        <f aca="false">IF($E91="","",IFERROR(INDEX(SCORING!$C$6:$C$15,MATCH($J91,SCORING!$B$6:$B$15,0)),0)+IFERROR(INDEX(SCORING!$C$18:$C$20,MATCH($U91,SCORING!$B$18:$B$20,0)),0)+IFERROR(INDEX(SCORING!$C$23:$C$26,MATCH($X91,SCORING!$B$23:$B$26,0)),0)+IFERROR(INDEX(SCORING!$C$29:$C$32,MATCH($Q91,SCORING!$B$29:$B$32,0)),0)+IFERROR(INDEX(SCORING!$C$35:$C$37,MATCH($L91,SCORING!$B$35:$B$37,0)),0)+IF($AP91="",0,IF(AND($AQ91="Valid",$AO91="Decision maker"),SCORING!$C$40,IF($AQ91="Valid",SCORING!$C$41,SCORING!$C$42))))</f>
        <v/>
      </c>
      <c r="BD91" s="36" t="str">
        <f aca="false">IF($BC91="","",IF($BC91&gt;=SCORING!$C$46,"A",IF($BC91&gt;=SCORING!$C$47,"B",IF($BC91&gt;=SCORING!$C$48,"C","D"))))</f>
        <v/>
      </c>
      <c r="BE91" s="37"/>
    </row>
    <row r="92" customFormat="false" ht="15" hidden="false" customHeight="false" outlineLevel="0" collapsed="false">
      <c r="A92" s="37"/>
      <c r="B92" s="38"/>
      <c r="C92" s="37"/>
      <c r="D92" s="37"/>
      <c r="E92" s="17"/>
      <c r="F92" s="17"/>
      <c r="G92" s="37"/>
      <c r="H92" s="32" t="str">
        <f aca="false">IF($G92="","",IFERROR(INDEX(LISTS!$P$3:$P$145,MATCH($G92,LISTS!$O$3:$O$145,0)),"Other"))</f>
        <v/>
      </c>
      <c r="I92" s="37"/>
      <c r="J92" s="17"/>
      <c r="K92" s="17"/>
      <c r="L92" s="37"/>
      <c r="M92" s="37"/>
      <c r="N92" s="39"/>
      <c r="O92" s="37"/>
      <c r="P92" s="39"/>
      <c r="Q92" s="37"/>
      <c r="R92" s="39"/>
      <c r="S92" s="17"/>
      <c r="T92" s="17"/>
      <c r="U92" s="37"/>
      <c r="V92" s="37"/>
      <c r="W92" s="17"/>
      <c r="X92" s="37"/>
      <c r="Y92" s="17"/>
      <c r="Z92" s="39"/>
      <c r="AA92" s="39"/>
      <c r="AB92" s="37"/>
      <c r="AC92" s="37"/>
      <c r="AD92" s="38"/>
      <c r="AE92" s="37"/>
      <c r="AF92" s="37"/>
      <c r="AG92" s="37"/>
      <c r="AH92" s="37"/>
      <c r="AI92" s="17"/>
      <c r="AJ92" s="37"/>
      <c r="AK92" s="17"/>
      <c r="AL92" s="39"/>
      <c r="AM92" s="17"/>
      <c r="AN92" s="17"/>
      <c r="AO92" s="37"/>
      <c r="AP92" s="17"/>
      <c r="AQ92" s="37"/>
      <c r="AR92" s="37"/>
      <c r="AS92" s="37"/>
      <c r="AT92" s="17"/>
      <c r="AU92" s="37"/>
      <c r="AV92" s="37"/>
      <c r="AW92" s="38"/>
      <c r="AX92" s="37"/>
      <c r="AY92" s="38"/>
      <c r="AZ92" s="34" t="str">
        <f aca="false">IF($E92="","",COUNTA($E92,$F92,$G92,$J92,$L92,$Q92,$U92,$X92,$AM92,$AN92,$AP92,$AR92)/12)</f>
        <v/>
      </c>
      <c r="BA92" s="32" t="str">
        <f aca="false">IF($E92="","",IF(COUNTIF($E$3:$E$402,$E92)&gt;1,"DUPLICATE",""))</f>
        <v/>
      </c>
      <c r="BB92" s="17"/>
      <c r="BC92" s="35" t="str">
        <f aca="false">IF($E92="","",IFERROR(INDEX(SCORING!$C$6:$C$15,MATCH($J92,SCORING!$B$6:$B$15,0)),0)+IFERROR(INDEX(SCORING!$C$18:$C$20,MATCH($U92,SCORING!$B$18:$B$20,0)),0)+IFERROR(INDEX(SCORING!$C$23:$C$26,MATCH($X92,SCORING!$B$23:$B$26,0)),0)+IFERROR(INDEX(SCORING!$C$29:$C$32,MATCH($Q92,SCORING!$B$29:$B$32,0)),0)+IFERROR(INDEX(SCORING!$C$35:$C$37,MATCH($L92,SCORING!$B$35:$B$37,0)),0)+IF($AP92="",0,IF(AND($AQ92="Valid",$AO92="Decision maker"),SCORING!$C$40,IF($AQ92="Valid",SCORING!$C$41,SCORING!$C$42))))</f>
        <v/>
      </c>
      <c r="BD92" s="36" t="str">
        <f aca="false">IF($BC92="","",IF($BC92&gt;=SCORING!$C$46,"A",IF($BC92&gt;=SCORING!$C$47,"B",IF($BC92&gt;=SCORING!$C$48,"C","D"))))</f>
        <v/>
      </c>
      <c r="BE92" s="37"/>
    </row>
    <row r="93" customFormat="false" ht="15" hidden="false" customHeight="false" outlineLevel="0" collapsed="false">
      <c r="A93" s="37"/>
      <c r="B93" s="38"/>
      <c r="C93" s="37"/>
      <c r="D93" s="37"/>
      <c r="E93" s="17"/>
      <c r="F93" s="17"/>
      <c r="G93" s="37"/>
      <c r="H93" s="32" t="str">
        <f aca="false">IF($G93="","",IFERROR(INDEX(LISTS!$P$3:$P$145,MATCH($G93,LISTS!$O$3:$O$145,0)),"Other"))</f>
        <v/>
      </c>
      <c r="I93" s="37"/>
      <c r="J93" s="17"/>
      <c r="K93" s="17"/>
      <c r="L93" s="37"/>
      <c r="M93" s="37"/>
      <c r="N93" s="39"/>
      <c r="O93" s="37"/>
      <c r="P93" s="39"/>
      <c r="Q93" s="37"/>
      <c r="R93" s="39"/>
      <c r="S93" s="17"/>
      <c r="T93" s="17"/>
      <c r="U93" s="37"/>
      <c r="V93" s="37"/>
      <c r="W93" s="17"/>
      <c r="X93" s="37"/>
      <c r="Y93" s="17"/>
      <c r="Z93" s="39"/>
      <c r="AA93" s="39"/>
      <c r="AB93" s="37"/>
      <c r="AC93" s="37"/>
      <c r="AD93" s="38"/>
      <c r="AE93" s="37"/>
      <c r="AF93" s="37"/>
      <c r="AG93" s="37"/>
      <c r="AH93" s="37"/>
      <c r="AI93" s="17"/>
      <c r="AJ93" s="37"/>
      <c r="AK93" s="17"/>
      <c r="AL93" s="39"/>
      <c r="AM93" s="17"/>
      <c r="AN93" s="17"/>
      <c r="AO93" s="37"/>
      <c r="AP93" s="17"/>
      <c r="AQ93" s="37"/>
      <c r="AR93" s="37"/>
      <c r="AS93" s="37"/>
      <c r="AT93" s="17"/>
      <c r="AU93" s="37"/>
      <c r="AV93" s="37"/>
      <c r="AW93" s="38"/>
      <c r="AX93" s="37"/>
      <c r="AY93" s="38"/>
      <c r="AZ93" s="34" t="str">
        <f aca="false">IF($E93="","",COUNTA($E93,$F93,$G93,$J93,$L93,$Q93,$U93,$X93,$AM93,$AN93,$AP93,$AR93)/12)</f>
        <v/>
      </c>
      <c r="BA93" s="32" t="str">
        <f aca="false">IF($E93="","",IF(COUNTIF($E$3:$E$402,$E93)&gt;1,"DUPLICATE",""))</f>
        <v/>
      </c>
      <c r="BB93" s="17"/>
      <c r="BC93" s="35" t="str">
        <f aca="false">IF($E93="","",IFERROR(INDEX(SCORING!$C$6:$C$15,MATCH($J93,SCORING!$B$6:$B$15,0)),0)+IFERROR(INDEX(SCORING!$C$18:$C$20,MATCH($U93,SCORING!$B$18:$B$20,0)),0)+IFERROR(INDEX(SCORING!$C$23:$C$26,MATCH($X93,SCORING!$B$23:$B$26,0)),0)+IFERROR(INDEX(SCORING!$C$29:$C$32,MATCH($Q93,SCORING!$B$29:$B$32,0)),0)+IFERROR(INDEX(SCORING!$C$35:$C$37,MATCH($L93,SCORING!$B$35:$B$37,0)),0)+IF($AP93="",0,IF(AND($AQ93="Valid",$AO93="Decision maker"),SCORING!$C$40,IF($AQ93="Valid",SCORING!$C$41,SCORING!$C$42))))</f>
        <v/>
      </c>
      <c r="BD93" s="36" t="str">
        <f aca="false">IF($BC93="","",IF($BC93&gt;=SCORING!$C$46,"A",IF($BC93&gt;=SCORING!$C$47,"B",IF($BC93&gt;=SCORING!$C$48,"C","D"))))</f>
        <v/>
      </c>
      <c r="BE93" s="37"/>
    </row>
    <row r="94" customFormat="false" ht="15" hidden="false" customHeight="false" outlineLevel="0" collapsed="false">
      <c r="A94" s="37"/>
      <c r="B94" s="38"/>
      <c r="C94" s="37"/>
      <c r="D94" s="37"/>
      <c r="E94" s="17"/>
      <c r="F94" s="17"/>
      <c r="G94" s="37"/>
      <c r="H94" s="32" t="str">
        <f aca="false">IF($G94="","",IFERROR(INDEX(LISTS!$P$3:$P$145,MATCH($G94,LISTS!$O$3:$O$145,0)),"Other"))</f>
        <v/>
      </c>
      <c r="I94" s="37"/>
      <c r="J94" s="17"/>
      <c r="K94" s="17"/>
      <c r="L94" s="37"/>
      <c r="M94" s="37"/>
      <c r="N94" s="39"/>
      <c r="O94" s="37"/>
      <c r="P94" s="39"/>
      <c r="Q94" s="37"/>
      <c r="R94" s="39"/>
      <c r="S94" s="17"/>
      <c r="T94" s="17"/>
      <c r="U94" s="37"/>
      <c r="V94" s="37"/>
      <c r="W94" s="17"/>
      <c r="X94" s="37"/>
      <c r="Y94" s="17"/>
      <c r="Z94" s="39"/>
      <c r="AA94" s="39"/>
      <c r="AB94" s="37"/>
      <c r="AC94" s="37"/>
      <c r="AD94" s="38"/>
      <c r="AE94" s="37"/>
      <c r="AF94" s="37"/>
      <c r="AG94" s="37"/>
      <c r="AH94" s="37"/>
      <c r="AI94" s="17"/>
      <c r="AJ94" s="37"/>
      <c r="AK94" s="17"/>
      <c r="AL94" s="39"/>
      <c r="AM94" s="17"/>
      <c r="AN94" s="17"/>
      <c r="AO94" s="37"/>
      <c r="AP94" s="17"/>
      <c r="AQ94" s="37"/>
      <c r="AR94" s="37"/>
      <c r="AS94" s="37"/>
      <c r="AT94" s="17"/>
      <c r="AU94" s="37"/>
      <c r="AV94" s="37"/>
      <c r="AW94" s="38"/>
      <c r="AX94" s="37"/>
      <c r="AY94" s="38"/>
      <c r="AZ94" s="34" t="str">
        <f aca="false">IF($E94="","",COUNTA($E94,$F94,$G94,$J94,$L94,$Q94,$U94,$X94,$AM94,$AN94,$AP94,$AR94)/12)</f>
        <v/>
      </c>
      <c r="BA94" s="32" t="str">
        <f aca="false">IF($E94="","",IF(COUNTIF($E$3:$E$402,$E94)&gt;1,"DUPLICATE",""))</f>
        <v/>
      </c>
      <c r="BB94" s="17"/>
      <c r="BC94" s="35" t="str">
        <f aca="false">IF($E94="","",IFERROR(INDEX(SCORING!$C$6:$C$15,MATCH($J94,SCORING!$B$6:$B$15,0)),0)+IFERROR(INDEX(SCORING!$C$18:$C$20,MATCH($U94,SCORING!$B$18:$B$20,0)),0)+IFERROR(INDEX(SCORING!$C$23:$C$26,MATCH($X94,SCORING!$B$23:$B$26,0)),0)+IFERROR(INDEX(SCORING!$C$29:$C$32,MATCH($Q94,SCORING!$B$29:$B$32,0)),0)+IFERROR(INDEX(SCORING!$C$35:$C$37,MATCH($L94,SCORING!$B$35:$B$37,0)),0)+IF($AP94="",0,IF(AND($AQ94="Valid",$AO94="Decision maker"),SCORING!$C$40,IF($AQ94="Valid",SCORING!$C$41,SCORING!$C$42))))</f>
        <v/>
      </c>
      <c r="BD94" s="36" t="str">
        <f aca="false">IF($BC94="","",IF($BC94&gt;=SCORING!$C$46,"A",IF($BC94&gt;=SCORING!$C$47,"B",IF($BC94&gt;=SCORING!$C$48,"C","D"))))</f>
        <v/>
      </c>
      <c r="BE94" s="37"/>
    </row>
    <row r="95" customFormat="false" ht="15" hidden="false" customHeight="false" outlineLevel="0" collapsed="false">
      <c r="A95" s="37"/>
      <c r="B95" s="38"/>
      <c r="C95" s="37"/>
      <c r="D95" s="37"/>
      <c r="E95" s="17"/>
      <c r="F95" s="17"/>
      <c r="G95" s="37"/>
      <c r="H95" s="32" t="str">
        <f aca="false">IF($G95="","",IFERROR(INDEX(LISTS!$P$3:$P$145,MATCH($G95,LISTS!$O$3:$O$145,0)),"Other"))</f>
        <v/>
      </c>
      <c r="I95" s="37"/>
      <c r="J95" s="17"/>
      <c r="K95" s="17"/>
      <c r="L95" s="37"/>
      <c r="M95" s="37"/>
      <c r="N95" s="39"/>
      <c r="O95" s="37"/>
      <c r="P95" s="39"/>
      <c r="Q95" s="37"/>
      <c r="R95" s="39"/>
      <c r="S95" s="17"/>
      <c r="T95" s="17"/>
      <c r="U95" s="37"/>
      <c r="V95" s="37"/>
      <c r="W95" s="17"/>
      <c r="X95" s="37"/>
      <c r="Y95" s="17"/>
      <c r="Z95" s="39"/>
      <c r="AA95" s="39"/>
      <c r="AB95" s="37"/>
      <c r="AC95" s="37"/>
      <c r="AD95" s="38"/>
      <c r="AE95" s="37"/>
      <c r="AF95" s="37"/>
      <c r="AG95" s="37"/>
      <c r="AH95" s="37"/>
      <c r="AI95" s="17"/>
      <c r="AJ95" s="37"/>
      <c r="AK95" s="17"/>
      <c r="AL95" s="39"/>
      <c r="AM95" s="17"/>
      <c r="AN95" s="17"/>
      <c r="AO95" s="37"/>
      <c r="AP95" s="17"/>
      <c r="AQ95" s="37"/>
      <c r="AR95" s="37"/>
      <c r="AS95" s="37"/>
      <c r="AT95" s="17"/>
      <c r="AU95" s="37"/>
      <c r="AV95" s="37"/>
      <c r="AW95" s="38"/>
      <c r="AX95" s="37"/>
      <c r="AY95" s="38"/>
      <c r="AZ95" s="34" t="str">
        <f aca="false">IF($E95="","",COUNTA($E95,$F95,$G95,$J95,$L95,$Q95,$U95,$X95,$AM95,$AN95,$AP95,$AR95)/12)</f>
        <v/>
      </c>
      <c r="BA95" s="32" t="str">
        <f aca="false">IF($E95="","",IF(COUNTIF($E$3:$E$402,$E95)&gt;1,"DUPLICATE",""))</f>
        <v/>
      </c>
      <c r="BB95" s="17"/>
      <c r="BC95" s="35" t="str">
        <f aca="false">IF($E95="","",IFERROR(INDEX(SCORING!$C$6:$C$15,MATCH($J95,SCORING!$B$6:$B$15,0)),0)+IFERROR(INDEX(SCORING!$C$18:$C$20,MATCH($U95,SCORING!$B$18:$B$20,0)),0)+IFERROR(INDEX(SCORING!$C$23:$C$26,MATCH($X95,SCORING!$B$23:$B$26,0)),0)+IFERROR(INDEX(SCORING!$C$29:$C$32,MATCH($Q95,SCORING!$B$29:$B$32,0)),0)+IFERROR(INDEX(SCORING!$C$35:$C$37,MATCH($L95,SCORING!$B$35:$B$37,0)),0)+IF($AP95="",0,IF(AND($AQ95="Valid",$AO95="Decision maker"),SCORING!$C$40,IF($AQ95="Valid",SCORING!$C$41,SCORING!$C$42))))</f>
        <v/>
      </c>
      <c r="BD95" s="36" t="str">
        <f aca="false">IF($BC95="","",IF($BC95&gt;=SCORING!$C$46,"A",IF($BC95&gt;=SCORING!$C$47,"B",IF($BC95&gt;=SCORING!$C$48,"C","D"))))</f>
        <v/>
      </c>
      <c r="BE95" s="37"/>
    </row>
    <row r="96" customFormat="false" ht="15" hidden="false" customHeight="false" outlineLevel="0" collapsed="false">
      <c r="A96" s="37"/>
      <c r="B96" s="38"/>
      <c r="C96" s="37"/>
      <c r="D96" s="37"/>
      <c r="E96" s="17"/>
      <c r="F96" s="17"/>
      <c r="G96" s="37"/>
      <c r="H96" s="32" t="str">
        <f aca="false">IF($G96="","",IFERROR(INDEX(LISTS!$P$3:$P$145,MATCH($G96,LISTS!$O$3:$O$145,0)),"Other"))</f>
        <v/>
      </c>
      <c r="I96" s="37"/>
      <c r="J96" s="17"/>
      <c r="K96" s="17"/>
      <c r="L96" s="37"/>
      <c r="M96" s="37"/>
      <c r="N96" s="39"/>
      <c r="O96" s="37"/>
      <c r="P96" s="39"/>
      <c r="Q96" s="37"/>
      <c r="R96" s="39"/>
      <c r="S96" s="17"/>
      <c r="T96" s="17"/>
      <c r="U96" s="37"/>
      <c r="V96" s="37"/>
      <c r="W96" s="17"/>
      <c r="X96" s="37"/>
      <c r="Y96" s="17"/>
      <c r="Z96" s="39"/>
      <c r="AA96" s="39"/>
      <c r="AB96" s="37"/>
      <c r="AC96" s="37"/>
      <c r="AD96" s="38"/>
      <c r="AE96" s="37"/>
      <c r="AF96" s="37"/>
      <c r="AG96" s="37"/>
      <c r="AH96" s="37"/>
      <c r="AI96" s="17"/>
      <c r="AJ96" s="37"/>
      <c r="AK96" s="17"/>
      <c r="AL96" s="39"/>
      <c r="AM96" s="17"/>
      <c r="AN96" s="17"/>
      <c r="AO96" s="37"/>
      <c r="AP96" s="17"/>
      <c r="AQ96" s="37"/>
      <c r="AR96" s="37"/>
      <c r="AS96" s="37"/>
      <c r="AT96" s="17"/>
      <c r="AU96" s="37"/>
      <c r="AV96" s="37"/>
      <c r="AW96" s="38"/>
      <c r="AX96" s="37"/>
      <c r="AY96" s="38"/>
      <c r="AZ96" s="34" t="str">
        <f aca="false">IF($E96="","",COUNTA($E96,$F96,$G96,$J96,$L96,$Q96,$U96,$X96,$AM96,$AN96,$AP96,$AR96)/12)</f>
        <v/>
      </c>
      <c r="BA96" s="32" t="str">
        <f aca="false">IF($E96="","",IF(COUNTIF($E$3:$E$402,$E96)&gt;1,"DUPLICATE",""))</f>
        <v/>
      </c>
      <c r="BB96" s="17"/>
      <c r="BC96" s="35" t="str">
        <f aca="false">IF($E96="","",IFERROR(INDEX(SCORING!$C$6:$C$15,MATCH($J96,SCORING!$B$6:$B$15,0)),0)+IFERROR(INDEX(SCORING!$C$18:$C$20,MATCH($U96,SCORING!$B$18:$B$20,0)),0)+IFERROR(INDEX(SCORING!$C$23:$C$26,MATCH($X96,SCORING!$B$23:$B$26,0)),0)+IFERROR(INDEX(SCORING!$C$29:$C$32,MATCH($Q96,SCORING!$B$29:$B$32,0)),0)+IFERROR(INDEX(SCORING!$C$35:$C$37,MATCH($L96,SCORING!$B$35:$B$37,0)),0)+IF($AP96="",0,IF(AND($AQ96="Valid",$AO96="Decision maker"),SCORING!$C$40,IF($AQ96="Valid",SCORING!$C$41,SCORING!$C$42))))</f>
        <v/>
      </c>
      <c r="BD96" s="36" t="str">
        <f aca="false">IF($BC96="","",IF($BC96&gt;=SCORING!$C$46,"A",IF($BC96&gt;=SCORING!$C$47,"B",IF($BC96&gt;=SCORING!$C$48,"C","D"))))</f>
        <v/>
      </c>
      <c r="BE96" s="37"/>
    </row>
    <row r="97" customFormat="false" ht="15" hidden="false" customHeight="false" outlineLevel="0" collapsed="false">
      <c r="A97" s="37"/>
      <c r="B97" s="38"/>
      <c r="C97" s="37"/>
      <c r="D97" s="37"/>
      <c r="E97" s="17"/>
      <c r="F97" s="17"/>
      <c r="G97" s="37"/>
      <c r="H97" s="32" t="str">
        <f aca="false">IF($G97="","",IFERROR(INDEX(LISTS!$P$3:$P$145,MATCH($G97,LISTS!$O$3:$O$145,0)),"Other"))</f>
        <v/>
      </c>
      <c r="I97" s="37"/>
      <c r="J97" s="17"/>
      <c r="K97" s="17"/>
      <c r="L97" s="37"/>
      <c r="M97" s="37"/>
      <c r="N97" s="39"/>
      <c r="O97" s="37"/>
      <c r="P97" s="39"/>
      <c r="Q97" s="37"/>
      <c r="R97" s="39"/>
      <c r="S97" s="17"/>
      <c r="T97" s="17"/>
      <c r="U97" s="37"/>
      <c r="V97" s="37"/>
      <c r="W97" s="17"/>
      <c r="X97" s="37"/>
      <c r="Y97" s="17"/>
      <c r="Z97" s="39"/>
      <c r="AA97" s="39"/>
      <c r="AB97" s="37"/>
      <c r="AC97" s="37"/>
      <c r="AD97" s="38"/>
      <c r="AE97" s="37"/>
      <c r="AF97" s="37"/>
      <c r="AG97" s="37"/>
      <c r="AH97" s="37"/>
      <c r="AI97" s="17"/>
      <c r="AJ97" s="37"/>
      <c r="AK97" s="17"/>
      <c r="AL97" s="39"/>
      <c r="AM97" s="17"/>
      <c r="AN97" s="17"/>
      <c r="AO97" s="37"/>
      <c r="AP97" s="17"/>
      <c r="AQ97" s="37"/>
      <c r="AR97" s="37"/>
      <c r="AS97" s="37"/>
      <c r="AT97" s="17"/>
      <c r="AU97" s="37"/>
      <c r="AV97" s="37"/>
      <c r="AW97" s="38"/>
      <c r="AX97" s="37"/>
      <c r="AY97" s="38"/>
      <c r="AZ97" s="34" t="str">
        <f aca="false">IF($E97="","",COUNTA($E97,$F97,$G97,$J97,$L97,$Q97,$U97,$X97,$AM97,$AN97,$AP97,$AR97)/12)</f>
        <v/>
      </c>
      <c r="BA97" s="32" t="str">
        <f aca="false">IF($E97="","",IF(COUNTIF($E$3:$E$402,$E97)&gt;1,"DUPLICATE",""))</f>
        <v/>
      </c>
      <c r="BB97" s="17"/>
      <c r="BC97" s="35" t="str">
        <f aca="false">IF($E97="","",IFERROR(INDEX(SCORING!$C$6:$C$15,MATCH($J97,SCORING!$B$6:$B$15,0)),0)+IFERROR(INDEX(SCORING!$C$18:$C$20,MATCH($U97,SCORING!$B$18:$B$20,0)),0)+IFERROR(INDEX(SCORING!$C$23:$C$26,MATCH($X97,SCORING!$B$23:$B$26,0)),0)+IFERROR(INDEX(SCORING!$C$29:$C$32,MATCH($Q97,SCORING!$B$29:$B$32,0)),0)+IFERROR(INDEX(SCORING!$C$35:$C$37,MATCH($L97,SCORING!$B$35:$B$37,0)),0)+IF($AP97="",0,IF(AND($AQ97="Valid",$AO97="Decision maker"),SCORING!$C$40,IF($AQ97="Valid",SCORING!$C$41,SCORING!$C$42))))</f>
        <v/>
      </c>
      <c r="BD97" s="36" t="str">
        <f aca="false">IF($BC97="","",IF($BC97&gt;=SCORING!$C$46,"A",IF($BC97&gt;=SCORING!$C$47,"B",IF($BC97&gt;=SCORING!$C$48,"C","D"))))</f>
        <v/>
      </c>
      <c r="BE97" s="37"/>
    </row>
    <row r="98" customFormat="false" ht="15" hidden="false" customHeight="false" outlineLevel="0" collapsed="false">
      <c r="A98" s="37"/>
      <c r="B98" s="38"/>
      <c r="C98" s="37"/>
      <c r="D98" s="37"/>
      <c r="E98" s="17"/>
      <c r="F98" s="17"/>
      <c r="G98" s="37"/>
      <c r="H98" s="32" t="str">
        <f aca="false">IF($G98="","",IFERROR(INDEX(LISTS!$P$3:$P$145,MATCH($G98,LISTS!$O$3:$O$145,0)),"Other"))</f>
        <v/>
      </c>
      <c r="I98" s="37"/>
      <c r="J98" s="17"/>
      <c r="K98" s="17"/>
      <c r="L98" s="37"/>
      <c r="M98" s="37"/>
      <c r="N98" s="39"/>
      <c r="O98" s="37"/>
      <c r="P98" s="39"/>
      <c r="Q98" s="37"/>
      <c r="R98" s="39"/>
      <c r="S98" s="17"/>
      <c r="T98" s="17"/>
      <c r="U98" s="37"/>
      <c r="V98" s="37"/>
      <c r="W98" s="17"/>
      <c r="X98" s="37"/>
      <c r="Y98" s="17"/>
      <c r="Z98" s="39"/>
      <c r="AA98" s="39"/>
      <c r="AB98" s="37"/>
      <c r="AC98" s="37"/>
      <c r="AD98" s="38"/>
      <c r="AE98" s="37"/>
      <c r="AF98" s="37"/>
      <c r="AG98" s="37"/>
      <c r="AH98" s="37"/>
      <c r="AI98" s="17"/>
      <c r="AJ98" s="37"/>
      <c r="AK98" s="17"/>
      <c r="AL98" s="39"/>
      <c r="AM98" s="17"/>
      <c r="AN98" s="17"/>
      <c r="AO98" s="37"/>
      <c r="AP98" s="17"/>
      <c r="AQ98" s="37"/>
      <c r="AR98" s="37"/>
      <c r="AS98" s="37"/>
      <c r="AT98" s="17"/>
      <c r="AU98" s="37"/>
      <c r="AV98" s="37"/>
      <c r="AW98" s="38"/>
      <c r="AX98" s="37"/>
      <c r="AY98" s="38"/>
      <c r="AZ98" s="34" t="str">
        <f aca="false">IF($E98="","",COUNTA($E98,$F98,$G98,$J98,$L98,$Q98,$U98,$X98,$AM98,$AN98,$AP98,$AR98)/12)</f>
        <v/>
      </c>
      <c r="BA98" s="32" t="str">
        <f aca="false">IF($E98="","",IF(COUNTIF($E$3:$E$402,$E98)&gt;1,"DUPLICATE",""))</f>
        <v/>
      </c>
      <c r="BB98" s="17"/>
      <c r="BC98" s="35" t="str">
        <f aca="false">IF($E98="","",IFERROR(INDEX(SCORING!$C$6:$C$15,MATCH($J98,SCORING!$B$6:$B$15,0)),0)+IFERROR(INDEX(SCORING!$C$18:$C$20,MATCH($U98,SCORING!$B$18:$B$20,0)),0)+IFERROR(INDEX(SCORING!$C$23:$C$26,MATCH($X98,SCORING!$B$23:$B$26,0)),0)+IFERROR(INDEX(SCORING!$C$29:$C$32,MATCH($Q98,SCORING!$B$29:$B$32,0)),0)+IFERROR(INDEX(SCORING!$C$35:$C$37,MATCH($L98,SCORING!$B$35:$B$37,0)),0)+IF($AP98="",0,IF(AND($AQ98="Valid",$AO98="Decision maker"),SCORING!$C$40,IF($AQ98="Valid",SCORING!$C$41,SCORING!$C$42))))</f>
        <v/>
      </c>
      <c r="BD98" s="36" t="str">
        <f aca="false">IF($BC98="","",IF($BC98&gt;=SCORING!$C$46,"A",IF($BC98&gt;=SCORING!$C$47,"B",IF($BC98&gt;=SCORING!$C$48,"C","D"))))</f>
        <v/>
      </c>
      <c r="BE98" s="37"/>
    </row>
    <row r="99" customFormat="false" ht="15" hidden="false" customHeight="false" outlineLevel="0" collapsed="false">
      <c r="A99" s="37"/>
      <c r="B99" s="38"/>
      <c r="C99" s="37"/>
      <c r="D99" s="37"/>
      <c r="E99" s="17"/>
      <c r="F99" s="17"/>
      <c r="G99" s="37"/>
      <c r="H99" s="32" t="str">
        <f aca="false">IF($G99="","",IFERROR(INDEX(LISTS!$P$3:$P$145,MATCH($G99,LISTS!$O$3:$O$145,0)),"Other"))</f>
        <v/>
      </c>
      <c r="I99" s="37"/>
      <c r="J99" s="17"/>
      <c r="K99" s="17"/>
      <c r="L99" s="37"/>
      <c r="M99" s="37"/>
      <c r="N99" s="39"/>
      <c r="O99" s="37"/>
      <c r="P99" s="39"/>
      <c r="Q99" s="37"/>
      <c r="R99" s="39"/>
      <c r="S99" s="17"/>
      <c r="T99" s="17"/>
      <c r="U99" s="37"/>
      <c r="V99" s="37"/>
      <c r="W99" s="17"/>
      <c r="X99" s="37"/>
      <c r="Y99" s="17"/>
      <c r="Z99" s="39"/>
      <c r="AA99" s="39"/>
      <c r="AB99" s="37"/>
      <c r="AC99" s="37"/>
      <c r="AD99" s="38"/>
      <c r="AE99" s="37"/>
      <c r="AF99" s="37"/>
      <c r="AG99" s="37"/>
      <c r="AH99" s="37"/>
      <c r="AI99" s="17"/>
      <c r="AJ99" s="37"/>
      <c r="AK99" s="17"/>
      <c r="AL99" s="39"/>
      <c r="AM99" s="17"/>
      <c r="AN99" s="17"/>
      <c r="AO99" s="37"/>
      <c r="AP99" s="17"/>
      <c r="AQ99" s="37"/>
      <c r="AR99" s="37"/>
      <c r="AS99" s="37"/>
      <c r="AT99" s="17"/>
      <c r="AU99" s="37"/>
      <c r="AV99" s="37"/>
      <c r="AW99" s="38"/>
      <c r="AX99" s="37"/>
      <c r="AY99" s="38"/>
      <c r="AZ99" s="34" t="str">
        <f aca="false">IF($E99="","",COUNTA($E99,$F99,$G99,$J99,$L99,$Q99,$U99,$X99,$AM99,$AN99,$AP99,$AR99)/12)</f>
        <v/>
      </c>
      <c r="BA99" s="32" t="str">
        <f aca="false">IF($E99="","",IF(COUNTIF($E$3:$E$402,$E99)&gt;1,"DUPLICATE",""))</f>
        <v/>
      </c>
      <c r="BB99" s="17"/>
      <c r="BC99" s="35" t="str">
        <f aca="false">IF($E99="","",IFERROR(INDEX(SCORING!$C$6:$C$15,MATCH($J99,SCORING!$B$6:$B$15,0)),0)+IFERROR(INDEX(SCORING!$C$18:$C$20,MATCH($U99,SCORING!$B$18:$B$20,0)),0)+IFERROR(INDEX(SCORING!$C$23:$C$26,MATCH($X99,SCORING!$B$23:$B$26,0)),0)+IFERROR(INDEX(SCORING!$C$29:$C$32,MATCH($Q99,SCORING!$B$29:$B$32,0)),0)+IFERROR(INDEX(SCORING!$C$35:$C$37,MATCH($L99,SCORING!$B$35:$B$37,0)),0)+IF($AP99="",0,IF(AND($AQ99="Valid",$AO99="Decision maker"),SCORING!$C$40,IF($AQ99="Valid",SCORING!$C$41,SCORING!$C$42))))</f>
        <v/>
      </c>
      <c r="BD99" s="36" t="str">
        <f aca="false">IF($BC99="","",IF($BC99&gt;=SCORING!$C$46,"A",IF($BC99&gt;=SCORING!$C$47,"B",IF($BC99&gt;=SCORING!$C$48,"C","D"))))</f>
        <v/>
      </c>
      <c r="BE99" s="37"/>
    </row>
    <row r="100" customFormat="false" ht="15" hidden="false" customHeight="false" outlineLevel="0" collapsed="false">
      <c r="A100" s="37"/>
      <c r="B100" s="38"/>
      <c r="C100" s="37"/>
      <c r="D100" s="37"/>
      <c r="E100" s="17"/>
      <c r="F100" s="17"/>
      <c r="G100" s="37"/>
      <c r="H100" s="32" t="str">
        <f aca="false">IF($G100="","",IFERROR(INDEX(LISTS!$P$3:$P$145,MATCH($G100,LISTS!$O$3:$O$145,0)),"Other"))</f>
        <v/>
      </c>
      <c r="I100" s="37"/>
      <c r="J100" s="17"/>
      <c r="K100" s="17"/>
      <c r="L100" s="37"/>
      <c r="M100" s="37"/>
      <c r="N100" s="39"/>
      <c r="O100" s="37"/>
      <c r="P100" s="39"/>
      <c r="Q100" s="37"/>
      <c r="R100" s="39"/>
      <c r="S100" s="17"/>
      <c r="T100" s="17"/>
      <c r="U100" s="37"/>
      <c r="V100" s="37"/>
      <c r="W100" s="17"/>
      <c r="X100" s="37"/>
      <c r="Y100" s="17"/>
      <c r="Z100" s="39"/>
      <c r="AA100" s="39"/>
      <c r="AB100" s="37"/>
      <c r="AC100" s="37"/>
      <c r="AD100" s="38"/>
      <c r="AE100" s="37"/>
      <c r="AF100" s="37"/>
      <c r="AG100" s="37"/>
      <c r="AH100" s="37"/>
      <c r="AI100" s="17"/>
      <c r="AJ100" s="37"/>
      <c r="AK100" s="17"/>
      <c r="AL100" s="39"/>
      <c r="AM100" s="17"/>
      <c r="AN100" s="17"/>
      <c r="AO100" s="37"/>
      <c r="AP100" s="17"/>
      <c r="AQ100" s="37"/>
      <c r="AR100" s="37"/>
      <c r="AS100" s="37"/>
      <c r="AT100" s="17"/>
      <c r="AU100" s="37"/>
      <c r="AV100" s="37"/>
      <c r="AW100" s="38"/>
      <c r="AX100" s="37"/>
      <c r="AY100" s="38"/>
      <c r="AZ100" s="34" t="str">
        <f aca="false">IF($E100="","",COUNTA($E100,$F100,$G100,$J100,$L100,$Q100,$U100,$X100,$AM100,$AN100,$AP100,$AR100)/12)</f>
        <v/>
      </c>
      <c r="BA100" s="32" t="str">
        <f aca="false">IF($E100="","",IF(COUNTIF($E$3:$E$402,$E100)&gt;1,"DUPLICATE",""))</f>
        <v/>
      </c>
      <c r="BB100" s="17"/>
      <c r="BC100" s="35" t="str">
        <f aca="false">IF($E100="","",IFERROR(INDEX(SCORING!$C$6:$C$15,MATCH($J100,SCORING!$B$6:$B$15,0)),0)+IFERROR(INDEX(SCORING!$C$18:$C$20,MATCH($U100,SCORING!$B$18:$B$20,0)),0)+IFERROR(INDEX(SCORING!$C$23:$C$26,MATCH($X100,SCORING!$B$23:$B$26,0)),0)+IFERROR(INDEX(SCORING!$C$29:$C$32,MATCH($Q100,SCORING!$B$29:$B$32,0)),0)+IFERROR(INDEX(SCORING!$C$35:$C$37,MATCH($L100,SCORING!$B$35:$B$37,0)),0)+IF($AP100="",0,IF(AND($AQ100="Valid",$AO100="Decision maker"),SCORING!$C$40,IF($AQ100="Valid",SCORING!$C$41,SCORING!$C$42))))</f>
        <v/>
      </c>
      <c r="BD100" s="36" t="str">
        <f aca="false">IF($BC100="","",IF($BC100&gt;=SCORING!$C$46,"A",IF($BC100&gt;=SCORING!$C$47,"B",IF($BC100&gt;=SCORING!$C$48,"C","D"))))</f>
        <v/>
      </c>
      <c r="BE100" s="37"/>
    </row>
    <row r="101" customFormat="false" ht="15" hidden="false" customHeight="false" outlineLevel="0" collapsed="false">
      <c r="A101" s="37"/>
      <c r="B101" s="38"/>
      <c r="C101" s="37"/>
      <c r="D101" s="37"/>
      <c r="E101" s="17"/>
      <c r="F101" s="17"/>
      <c r="G101" s="37"/>
      <c r="H101" s="32" t="str">
        <f aca="false">IF($G101="","",IFERROR(INDEX(LISTS!$P$3:$P$145,MATCH($G101,LISTS!$O$3:$O$145,0)),"Other"))</f>
        <v/>
      </c>
      <c r="I101" s="37"/>
      <c r="J101" s="17"/>
      <c r="K101" s="17"/>
      <c r="L101" s="37"/>
      <c r="M101" s="37"/>
      <c r="N101" s="39"/>
      <c r="O101" s="37"/>
      <c r="P101" s="39"/>
      <c r="Q101" s="37"/>
      <c r="R101" s="39"/>
      <c r="S101" s="17"/>
      <c r="T101" s="17"/>
      <c r="U101" s="37"/>
      <c r="V101" s="37"/>
      <c r="W101" s="17"/>
      <c r="X101" s="37"/>
      <c r="Y101" s="17"/>
      <c r="Z101" s="39"/>
      <c r="AA101" s="39"/>
      <c r="AB101" s="37"/>
      <c r="AC101" s="37"/>
      <c r="AD101" s="38"/>
      <c r="AE101" s="37"/>
      <c r="AF101" s="37"/>
      <c r="AG101" s="37"/>
      <c r="AH101" s="37"/>
      <c r="AI101" s="17"/>
      <c r="AJ101" s="37"/>
      <c r="AK101" s="17"/>
      <c r="AL101" s="39"/>
      <c r="AM101" s="17"/>
      <c r="AN101" s="17"/>
      <c r="AO101" s="37"/>
      <c r="AP101" s="17"/>
      <c r="AQ101" s="37"/>
      <c r="AR101" s="37"/>
      <c r="AS101" s="37"/>
      <c r="AT101" s="17"/>
      <c r="AU101" s="37"/>
      <c r="AV101" s="37"/>
      <c r="AW101" s="38"/>
      <c r="AX101" s="37"/>
      <c r="AY101" s="38"/>
      <c r="AZ101" s="34" t="str">
        <f aca="false">IF($E101="","",COUNTA($E101,$F101,$G101,$J101,$L101,$Q101,$U101,$X101,$AM101,$AN101,$AP101,$AR101)/12)</f>
        <v/>
      </c>
      <c r="BA101" s="32" t="str">
        <f aca="false">IF($E101="","",IF(COUNTIF($E$3:$E$402,$E101)&gt;1,"DUPLICATE",""))</f>
        <v/>
      </c>
      <c r="BB101" s="17"/>
      <c r="BC101" s="35" t="str">
        <f aca="false">IF($E101="","",IFERROR(INDEX(SCORING!$C$6:$C$15,MATCH($J101,SCORING!$B$6:$B$15,0)),0)+IFERROR(INDEX(SCORING!$C$18:$C$20,MATCH($U101,SCORING!$B$18:$B$20,0)),0)+IFERROR(INDEX(SCORING!$C$23:$C$26,MATCH($X101,SCORING!$B$23:$B$26,0)),0)+IFERROR(INDEX(SCORING!$C$29:$C$32,MATCH($Q101,SCORING!$B$29:$B$32,0)),0)+IFERROR(INDEX(SCORING!$C$35:$C$37,MATCH($L101,SCORING!$B$35:$B$37,0)),0)+IF($AP101="",0,IF(AND($AQ101="Valid",$AO101="Decision maker"),SCORING!$C$40,IF($AQ101="Valid",SCORING!$C$41,SCORING!$C$42))))</f>
        <v/>
      </c>
      <c r="BD101" s="36" t="str">
        <f aca="false">IF($BC101="","",IF($BC101&gt;=SCORING!$C$46,"A",IF($BC101&gt;=SCORING!$C$47,"B",IF($BC101&gt;=SCORING!$C$48,"C","D"))))</f>
        <v/>
      </c>
      <c r="BE101" s="37"/>
    </row>
    <row r="102" customFormat="false" ht="15" hidden="false" customHeight="false" outlineLevel="0" collapsed="false">
      <c r="A102" s="37"/>
      <c r="B102" s="38"/>
      <c r="C102" s="37"/>
      <c r="D102" s="37"/>
      <c r="E102" s="17"/>
      <c r="F102" s="17"/>
      <c r="G102" s="37"/>
      <c r="H102" s="32" t="str">
        <f aca="false">IF($G102="","",IFERROR(INDEX(LISTS!$P$3:$P$145,MATCH($G102,LISTS!$O$3:$O$145,0)),"Other"))</f>
        <v/>
      </c>
      <c r="I102" s="37"/>
      <c r="J102" s="17"/>
      <c r="K102" s="17"/>
      <c r="L102" s="37"/>
      <c r="M102" s="37"/>
      <c r="N102" s="39"/>
      <c r="O102" s="37"/>
      <c r="P102" s="39"/>
      <c r="Q102" s="37"/>
      <c r="R102" s="39"/>
      <c r="S102" s="17"/>
      <c r="T102" s="17"/>
      <c r="U102" s="37"/>
      <c r="V102" s="37"/>
      <c r="W102" s="17"/>
      <c r="X102" s="37"/>
      <c r="Y102" s="17"/>
      <c r="Z102" s="39"/>
      <c r="AA102" s="39"/>
      <c r="AB102" s="37"/>
      <c r="AC102" s="37"/>
      <c r="AD102" s="38"/>
      <c r="AE102" s="37"/>
      <c r="AF102" s="37"/>
      <c r="AG102" s="37"/>
      <c r="AH102" s="37"/>
      <c r="AI102" s="17"/>
      <c r="AJ102" s="37"/>
      <c r="AK102" s="17"/>
      <c r="AL102" s="39"/>
      <c r="AM102" s="17"/>
      <c r="AN102" s="17"/>
      <c r="AO102" s="37"/>
      <c r="AP102" s="17"/>
      <c r="AQ102" s="37"/>
      <c r="AR102" s="37"/>
      <c r="AS102" s="37"/>
      <c r="AT102" s="17"/>
      <c r="AU102" s="37"/>
      <c r="AV102" s="37"/>
      <c r="AW102" s="38"/>
      <c r="AX102" s="37"/>
      <c r="AY102" s="38"/>
      <c r="AZ102" s="34" t="str">
        <f aca="false">IF($E102="","",COUNTA($E102,$F102,$G102,$J102,$L102,$Q102,$U102,$X102,$AM102,$AN102,$AP102,$AR102)/12)</f>
        <v/>
      </c>
      <c r="BA102" s="32" t="str">
        <f aca="false">IF($E102="","",IF(COUNTIF($E$3:$E$402,$E102)&gt;1,"DUPLICATE",""))</f>
        <v/>
      </c>
      <c r="BB102" s="17"/>
      <c r="BC102" s="35" t="str">
        <f aca="false">IF($E102="","",IFERROR(INDEX(SCORING!$C$6:$C$15,MATCH($J102,SCORING!$B$6:$B$15,0)),0)+IFERROR(INDEX(SCORING!$C$18:$C$20,MATCH($U102,SCORING!$B$18:$B$20,0)),0)+IFERROR(INDEX(SCORING!$C$23:$C$26,MATCH($X102,SCORING!$B$23:$B$26,0)),0)+IFERROR(INDEX(SCORING!$C$29:$C$32,MATCH($Q102,SCORING!$B$29:$B$32,0)),0)+IFERROR(INDEX(SCORING!$C$35:$C$37,MATCH($L102,SCORING!$B$35:$B$37,0)),0)+IF($AP102="",0,IF(AND($AQ102="Valid",$AO102="Decision maker"),SCORING!$C$40,IF($AQ102="Valid",SCORING!$C$41,SCORING!$C$42))))</f>
        <v/>
      </c>
      <c r="BD102" s="36" t="str">
        <f aca="false">IF($BC102="","",IF($BC102&gt;=SCORING!$C$46,"A",IF($BC102&gt;=SCORING!$C$47,"B",IF($BC102&gt;=SCORING!$C$48,"C","D"))))</f>
        <v/>
      </c>
      <c r="BE102" s="37"/>
    </row>
    <row r="103" customFormat="false" ht="15" hidden="false" customHeight="false" outlineLevel="0" collapsed="false">
      <c r="A103" s="37"/>
      <c r="B103" s="38"/>
      <c r="C103" s="37"/>
      <c r="D103" s="37"/>
      <c r="E103" s="17"/>
      <c r="F103" s="17"/>
      <c r="G103" s="37"/>
      <c r="H103" s="32" t="str">
        <f aca="false">IF($G103="","",IFERROR(INDEX(LISTS!$P$3:$P$145,MATCH($G103,LISTS!$O$3:$O$145,0)),"Other"))</f>
        <v/>
      </c>
      <c r="I103" s="37"/>
      <c r="J103" s="17"/>
      <c r="K103" s="17"/>
      <c r="L103" s="37"/>
      <c r="M103" s="37"/>
      <c r="N103" s="39"/>
      <c r="O103" s="37"/>
      <c r="P103" s="39"/>
      <c r="Q103" s="37"/>
      <c r="R103" s="39"/>
      <c r="S103" s="17"/>
      <c r="T103" s="17"/>
      <c r="U103" s="37"/>
      <c r="V103" s="37"/>
      <c r="W103" s="17"/>
      <c r="X103" s="37"/>
      <c r="Y103" s="17"/>
      <c r="Z103" s="39"/>
      <c r="AA103" s="39"/>
      <c r="AB103" s="37"/>
      <c r="AC103" s="37"/>
      <c r="AD103" s="38"/>
      <c r="AE103" s="37"/>
      <c r="AF103" s="37"/>
      <c r="AG103" s="37"/>
      <c r="AH103" s="37"/>
      <c r="AI103" s="17"/>
      <c r="AJ103" s="37"/>
      <c r="AK103" s="17"/>
      <c r="AL103" s="39"/>
      <c r="AM103" s="17"/>
      <c r="AN103" s="17"/>
      <c r="AO103" s="37"/>
      <c r="AP103" s="17"/>
      <c r="AQ103" s="37"/>
      <c r="AR103" s="37"/>
      <c r="AS103" s="37"/>
      <c r="AT103" s="17"/>
      <c r="AU103" s="37"/>
      <c r="AV103" s="37"/>
      <c r="AW103" s="38"/>
      <c r="AX103" s="37"/>
      <c r="AY103" s="38"/>
      <c r="AZ103" s="34" t="str">
        <f aca="false">IF($E103="","",COUNTA($E103,$F103,$G103,$J103,$L103,$Q103,$U103,$X103,$AM103,$AN103,$AP103,$AR103)/12)</f>
        <v/>
      </c>
      <c r="BA103" s="32" t="str">
        <f aca="false">IF($E103="","",IF(COUNTIF($E$3:$E$402,$E103)&gt;1,"DUPLICATE",""))</f>
        <v/>
      </c>
      <c r="BB103" s="17"/>
      <c r="BC103" s="35" t="str">
        <f aca="false">IF($E103="","",IFERROR(INDEX(SCORING!$C$6:$C$15,MATCH($J103,SCORING!$B$6:$B$15,0)),0)+IFERROR(INDEX(SCORING!$C$18:$C$20,MATCH($U103,SCORING!$B$18:$B$20,0)),0)+IFERROR(INDEX(SCORING!$C$23:$C$26,MATCH($X103,SCORING!$B$23:$B$26,0)),0)+IFERROR(INDEX(SCORING!$C$29:$C$32,MATCH($Q103,SCORING!$B$29:$B$32,0)),0)+IFERROR(INDEX(SCORING!$C$35:$C$37,MATCH($L103,SCORING!$B$35:$B$37,0)),0)+IF($AP103="",0,IF(AND($AQ103="Valid",$AO103="Decision maker"),SCORING!$C$40,IF($AQ103="Valid",SCORING!$C$41,SCORING!$C$42))))</f>
        <v/>
      </c>
      <c r="BD103" s="36" t="str">
        <f aca="false">IF($BC103="","",IF($BC103&gt;=SCORING!$C$46,"A",IF($BC103&gt;=SCORING!$C$47,"B",IF($BC103&gt;=SCORING!$C$48,"C","D"))))</f>
        <v/>
      </c>
      <c r="BE103" s="37"/>
    </row>
    <row r="104" customFormat="false" ht="15" hidden="false" customHeight="false" outlineLevel="0" collapsed="false">
      <c r="A104" s="37"/>
      <c r="B104" s="38"/>
      <c r="C104" s="37"/>
      <c r="D104" s="37"/>
      <c r="E104" s="17"/>
      <c r="F104" s="17"/>
      <c r="G104" s="37"/>
      <c r="H104" s="32" t="str">
        <f aca="false">IF($G104="","",IFERROR(INDEX(LISTS!$P$3:$P$145,MATCH($G104,LISTS!$O$3:$O$145,0)),"Other"))</f>
        <v/>
      </c>
      <c r="I104" s="37"/>
      <c r="J104" s="17"/>
      <c r="K104" s="17"/>
      <c r="L104" s="37"/>
      <c r="M104" s="37"/>
      <c r="N104" s="39"/>
      <c r="O104" s="37"/>
      <c r="P104" s="39"/>
      <c r="Q104" s="37"/>
      <c r="R104" s="39"/>
      <c r="S104" s="17"/>
      <c r="T104" s="17"/>
      <c r="U104" s="37"/>
      <c r="V104" s="37"/>
      <c r="W104" s="17"/>
      <c r="X104" s="37"/>
      <c r="Y104" s="17"/>
      <c r="Z104" s="39"/>
      <c r="AA104" s="39"/>
      <c r="AB104" s="37"/>
      <c r="AC104" s="37"/>
      <c r="AD104" s="38"/>
      <c r="AE104" s="37"/>
      <c r="AF104" s="37"/>
      <c r="AG104" s="37"/>
      <c r="AH104" s="37"/>
      <c r="AI104" s="17"/>
      <c r="AJ104" s="37"/>
      <c r="AK104" s="17"/>
      <c r="AL104" s="39"/>
      <c r="AM104" s="17"/>
      <c r="AN104" s="17"/>
      <c r="AO104" s="37"/>
      <c r="AP104" s="17"/>
      <c r="AQ104" s="37"/>
      <c r="AR104" s="37"/>
      <c r="AS104" s="37"/>
      <c r="AT104" s="17"/>
      <c r="AU104" s="37"/>
      <c r="AV104" s="37"/>
      <c r="AW104" s="38"/>
      <c r="AX104" s="37"/>
      <c r="AY104" s="38"/>
      <c r="AZ104" s="34" t="str">
        <f aca="false">IF($E104="","",COUNTA($E104,$F104,$G104,$J104,$L104,$Q104,$U104,$X104,$AM104,$AN104,$AP104,$AR104)/12)</f>
        <v/>
      </c>
      <c r="BA104" s="32" t="str">
        <f aca="false">IF($E104="","",IF(COUNTIF($E$3:$E$402,$E104)&gt;1,"DUPLICATE",""))</f>
        <v/>
      </c>
      <c r="BB104" s="17"/>
      <c r="BC104" s="35" t="str">
        <f aca="false">IF($E104="","",IFERROR(INDEX(SCORING!$C$6:$C$15,MATCH($J104,SCORING!$B$6:$B$15,0)),0)+IFERROR(INDEX(SCORING!$C$18:$C$20,MATCH($U104,SCORING!$B$18:$B$20,0)),0)+IFERROR(INDEX(SCORING!$C$23:$C$26,MATCH($X104,SCORING!$B$23:$B$26,0)),0)+IFERROR(INDEX(SCORING!$C$29:$C$32,MATCH($Q104,SCORING!$B$29:$B$32,0)),0)+IFERROR(INDEX(SCORING!$C$35:$C$37,MATCH($L104,SCORING!$B$35:$B$37,0)),0)+IF($AP104="",0,IF(AND($AQ104="Valid",$AO104="Decision maker"),SCORING!$C$40,IF($AQ104="Valid",SCORING!$C$41,SCORING!$C$42))))</f>
        <v/>
      </c>
      <c r="BD104" s="36" t="str">
        <f aca="false">IF($BC104="","",IF($BC104&gt;=SCORING!$C$46,"A",IF($BC104&gt;=SCORING!$C$47,"B",IF($BC104&gt;=SCORING!$C$48,"C","D"))))</f>
        <v/>
      </c>
      <c r="BE104" s="37"/>
    </row>
    <row r="105" customFormat="false" ht="15" hidden="false" customHeight="false" outlineLevel="0" collapsed="false">
      <c r="A105" s="37"/>
      <c r="B105" s="38"/>
      <c r="C105" s="37"/>
      <c r="D105" s="37"/>
      <c r="E105" s="17"/>
      <c r="F105" s="17"/>
      <c r="G105" s="37"/>
      <c r="H105" s="32" t="str">
        <f aca="false">IF($G105="","",IFERROR(INDEX(LISTS!$P$3:$P$145,MATCH($G105,LISTS!$O$3:$O$145,0)),"Other"))</f>
        <v/>
      </c>
      <c r="I105" s="37"/>
      <c r="J105" s="17"/>
      <c r="K105" s="17"/>
      <c r="L105" s="37"/>
      <c r="M105" s="37"/>
      <c r="N105" s="39"/>
      <c r="O105" s="37"/>
      <c r="P105" s="39"/>
      <c r="Q105" s="37"/>
      <c r="R105" s="39"/>
      <c r="S105" s="17"/>
      <c r="T105" s="17"/>
      <c r="U105" s="37"/>
      <c r="V105" s="37"/>
      <c r="W105" s="17"/>
      <c r="X105" s="37"/>
      <c r="Y105" s="17"/>
      <c r="Z105" s="39"/>
      <c r="AA105" s="39"/>
      <c r="AB105" s="37"/>
      <c r="AC105" s="37"/>
      <c r="AD105" s="38"/>
      <c r="AE105" s="37"/>
      <c r="AF105" s="37"/>
      <c r="AG105" s="37"/>
      <c r="AH105" s="37"/>
      <c r="AI105" s="17"/>
      <c r="AJ105" s="37"/>
      <c r="AK105" s="17"/>
      <c r="AL105" s="39"/>
      <c r="AM105" s="17"/>
      <c r="AN105" s="17"/>
      <c r="AO105" s="37"/>
      <c r="AP105" s="17"/>
      <c r="AQ105" s="37"/>
      <c r="AR105" s="37"/>
      <c r="AS105" s="37"/>
      <c r="AT105" s="17"/>
      <c r="AU105" s="37"/>
      <c r="AV105" s="37"/>
      <c r="AW105" s="38"/>
      <c r="AX105" s="37"/>
      <c r="AY105" s="38"/>
      <c r="AZ105" s="34" t="str">
        <f aca="false">IF($E105="","",COUNTA($E105,$F105,$G105,$J105,$L105,$Q105,$U105,$X105,$AM105,$AN105,$AP105,$AR105)/12)</f>
        <v/>
      </c>
      <c r="BA105" s="32" t="str">
        <f aca="false">IF($E105="","",IF(COUNTIF($E$3:$E$402,$E105)&gt;1,"DUPLICATE",""))</f>
        <v/>
      </c>
      <c r="BB105" s="17"/>
      <c r="BC105" s="35" t="str">
        <f aca="false">IF($E105="","",IFERROR(INDEX(SCORING!$C$6:$C$15,MATCH($J105,SCORING!$B$6:$B$15,0)),0)+IFERROR(INDEX(SCORING!$C$18:$C$20,MATCH($U105,SCORING!$B$18:$B$20,0)),0)+IFERROR(INDEX(SCORING!$C$23:$C$26,MATCH($X105,SCORING!$B$23:$B$26,0)),0)+IFERROR(INDEX(SCORING!$C$29:$C$32,MATCH($Q105,SCORING!$B$29:$B$32,0)),0)+IFERROR(INDEX(SCORING!$C$35:$C$37,MATCH($L105,SCORING!$B$35:$B$37,0)),0)+IF($AP105="",0,IF(AND($AQ105="Valid",$AO105="Decision maker"),SCORING!$C$40,IF($AQ105="Valid",SCORING!$C$41,SCORING!$C$42))))</f>
        <v/>
      </c>
      <c r="BD105" s="36" t="str">
        <f aca="false">IF($BC105="","",IF($BC105&gt;=SCORING!$C$46,"A",IF($BC105&gt;=SCORING!$C$47,"B",IF($BC105&gt;=SCORING!$C$48,"C","D"))))</f>
        <v/>
      </c>
      <c r="BE105" s="37"/>
    </row>
    <row r="106" customFormat="false" ht="15" hidden="false" customHeight="false" outlineLevel="0" collapsed="false">
      <c r="A106" s="37"/>
      <c r="B106" s="38"/>
      <c r="C106" s="37"/>
      <c r="D106" s="37"/>
      <c r="E106" s="17"/>
      <c r="F106" s="17"/>
      <c r="G106" s="37"/>
      <c r="H106" s="32" t="str">
        <f aca="false">IF($G106="","",IFERROR(INDEX(LISTS!$P$3:$P$145,MATCH($G106,LISTS!$O$3:$O$145,0)),"Other"))</f>
        <v/>
      </c>
      <c r="I106" s="37"/>
      <c r="J106" s="17"/>
      <c r="K106" s="17"/>
      <c r="L106" s="37"/>
      <c r="M106" s="37"/>
      <c r="N106" s="39"/>
      <c r="O106" s="37"/>
      <c r="P106" s="39"/>
      <c r="Q106" s="37"/>
      <c r="R106" s="39"/>
      <c r="S106" s="17"/>
      <c r="T106" s="17"/>
      <c r="U106" s="37"/>
      <c r="V106" s="37"/>
      <c r="W106" s="17"/>
      <c r="X106" s="37"/>
      <c r="Y106" s="17"/>
      <c r="Z106" s="39"/>
      <c r="AA106" s="39"/>
      <c r="AB106" s="37"/>
      <c r="AC106" s="37"/>
      <c r="AD106" s="38"/>
      <c r="AE106" s="37"/>
      <c r="AF106" s="37"/>
      <c r="AG106" s="37"/>
      <c r="AH106" s="37"/>
      <c r="AI106" s="17"/>
      <c r="AJ106" s="37"/>
      <c r="AK106" s="17"/>
      <c r="AL106" s="39"/>
      <c r="AM106" s="17"/>
      <c r="AN106" s="17"/>
      <c r="AO106" s="37"/>
      <c r="AP106" s="17"/>
      <c r="AQ106" s="37"/>
      <c r="AR106" s="37"/>
      <c r="AS106" s="37"/>
      <c r="AT106" s="17"/>
      <c r="AU106" s="37"/>
      <c r="AV106" s="37"/>
      <c r="AW106" s="38"/>
      <c r="AX106" s="37"/>
      <c r="AY106" s="38"/>
      <c r="AZ106" s="34" t="str">
        <f aca="false">IF($E106="","",COUNTA($E106,$F106,$G106,$J106,$L106,$Q106,$U106,$X106,$AM106,$AN106,$AP106,$AR106)/12)</f>
        <v/>
      </c>
      <c r="BA106" s="32" t="str">
        <f aca="false">IF($E106="","",IF(COUNTIF($E$3:$E$402,$E106)&gt;1,"DUPLICATE",""))</f>
        <v/>
      </c>
      <c r="BB106" s="17"/>
      <c r="BC106" s="35" t="str">
        <f aca="false">IF($E106="","",IFERROR(INDEX(SCORING!$C$6:$C$15,MATCH($J106,SCORING!$B$6:$B$15,0)),0)+IFERROR(INDEX(SCORING!$C$18:$C$20,MATCH($U106,SCORING!$B$18:$B$20,0)),0)+IFERROR(INDEX(SCORING!$C$23:$C$26,MATCH($X106,SCORING!$B$23:$B$26,0)),0)+IFERROR(INDEX(SCORING!$C$29:$C$32,MATCH($Q106,SCORING!$B$29:$B$32,0)),0)+IFERROR(INDEX(SCORING!$C$35:$C$37,MATCH($L106,SCORING!$B$35:$B$37,0)),0)+IF($AP106="",0,IF(AND($AQ106="Valid",$AO106="Decision maker"),SCORING!$C$40,IF($AQ106="Valid",SCORING!$C$41,SCORING!$C$42))))</f>
        <v/>
      </c>
      <c r="BD106" s="36" t="str">
        <f aca="false">IF($BC106="","",IF($BC106&gt;=SCORING!$C$46,"A",IF($BC106&gt;=SCORING!$C$47,"B",IF($BC106&gt;=SCORING!$C$48,"C","D"))))</f>
        <v/>
      </c>
      <c r="BE106" s="37"/>
    </row>
    <row r="107" customFormat="false" ht="15" hidden="false" customHeight="false" outlineLevel="0" collapsed="false">
      <c r="A107" s="37"/>
      <c r="B107" s="38"/>
      <c r="C107" s="37"/>
      <c r="D107" s="37"/>
      <c r="E107" s="17"/>
      <c r="F107" s="17"/>
      <c r="G107" s="37"/>
      <c r="H107" s="32" t="str">
        <f aca="false">IF($G107="","",IFERROR(INDEX(LISTS!$P$3:$P$145,MATCH($G107,LISTS!$O$3:$O$145,0)),"Other"))</f>
        <v/>
      </c>
      <c r="I107" s="37"/>
      <c r="J107" s="17"/>
      <c r="K107" s="17"/>
      <c r="L107" s="37"/>
      <c r="M107" s="37"/>
      <c r="N107" s="39"/>
      <c r="O107" s="37"/>
      <c r="P107" s="39"/>
      <c r="Q107" s="37"/>
      <c r="R107" s="39"/>
      <c r="S107" s="17"/>
      <c r="T107" s="17"/>
      <c r="U107" s="37"/>
      <c r="V107" s="37"/>
      <c r="W107" s="17"/>
      <c r="X107" s="37"/>
      <c r="Y107" s="17"/>
      <c r="Z107" s="39"/>
      <c r="AA107" s="39"/>
      <c r="AB107" s="37"/>
      <c r="AC107" s="37"/>
      <c r="AD107" s="38"/>
      <c r="AE107" s="37"/>
      <c r="AF107" s="37"/>
      <c r="AG107" s="37"/>
      <c r="AH107" s="37"/>
      <c r="AI107" s="17"/>
      <c r="AJ107" s="37"/>
      <c r="AK107" s="17"/>
      <c r="AL107" s="39"/>
      <c r="AM107" s="17"/>
      <c r="AN107" s="17"/>
      <c r="AO107" s="37"/>
      <c r="AP107" s="17"/>
      <c r="AQ107" s="37"/>
      <c r="AR107" s="37"/>
      <c r="AS107" s="37"/>
      <c r="AT107" s="17"/>
      <c r="AU107" s="37"/>
      <c r="AV107" s="37"/>
      <c r="AW107" s="38"/>
      <c r="AX107" s="37"/>
      <c r="AY107" s="38"/>
      <c r="AZ107" s="34" t="str">
        <f aca="false">IF($E107="","",COUNTA($E107,$F107,$G107,$J107,$L107,$Q107,$U107,$X107,$AM107,$AN107,$AP107,$AR107)/12)</f>
        <v/>
      </c>
      <c r="BA107" s="32" t="str">
        <f aca="false">IF($E107="","",IF(COUNTIF($E$3:$E$402,$E107)&gt;1,"DUPLICATE",""))</f>
        <v/>
      </c>
      <c r="BB107" s="17"/>
      <c r="BC107" s="35" t="str">
        <f aca="false">IF($E107="","",IFERROR(INDEX(SCORING!$C$6:$C$15,MATCH($J107,SCORING!$B$6:$B$15,0)),0)+IFERROR(INDEX(SCORING!$C$18:$C$20,MATCH($U107,SCORING!$B$18:$B$20,0)),0)+IFERROR(INDEX(SCORING!$C$23:$C$26,MATCH($X107,SCORING!$B$23:$B$26,0)),0)+IFERROR(INDEX(SCORING!$C$29:$C$32,MATCH($Q107,SCORING!$B$29:$B$32,0)),0)+IFERROR(INDEX(SCORING!$C$35:$C$37,MATCH($L107,SCORING!$B$35:$B$37,0)),0)+IF($AP107="",0,IF(AND($AQ107="Valid",$AO107="Decision maker"),SCORING!$C$40,IF($AQ107="Valid",SCORING!$C$41,SCORING!$C$42))))</f>
        <v/>
      </c>
      <c r="BD107" s="36" t="str">
        <f aca="false">IF($BC107="","",IF($BC107&gt;=SCORING!$C$46,"A",IF($BC107&gt;=SCORING!$C$47,"B",IF($BC107&gt;=SCORING!$C$48,"C","D"))))</f>
        <v/>
      </c>
      <c r="BE107" s="37"/>
    </row>
    <row r="108" customFormat="false" ht="15" hidden="false" customHeight="false" outlineLevel="0" collapsed="false">
      <c r="A108" s="37"/>
      <c r="B108" s="38"/>
      <c r="C108" s="37"/>
      <c r="D108" s="37"/>
      <c r="E108" s="17"/>
      <c r="F108" s="17"/>
      <c r="G108" s="37"/>
      <c r="H108" s="32" t="str">
        <f aca="false">IF($G108="","",IFERROR(INDEX(LISTS!$P$3:$P$145,MATCH($G108,LISTS!$O$3:$O$145,0)),"Other"))</f>
        <v/>
      </c>
      <c r="I108" s="37"/>
      <c r="J108" s="17"/>
      <c r="K108" s="17"/>
      <c r="L108" s="37"/>
      <c r="M108" s="37"/>
      <c r="N108" s="39"/>
      <c r="O108" s="37"/>
      <c r="P108" s="39"/>
      <c r="Q108" s="37"/>
      <c r="R108" s="39"/>
      <c r="S108" s="17"/>
      <c r="T108" s="17"/>
      <c r="U108" s="37"/>
      <c r="V108" s="37"/>
      <c r="W108" s="17"/>
      <c r="X108" s="37"/>
      <c r="Y108" s="17"/>
      <c r="Z108" s="39"/>
      <c r="AA108" s="39"/>
      <c r="AB108" s="37"/>
      <c r="AC108" s="37"/>
      <c r="AD108" s="38"/>
      <c r="AE108" s="37"/>
      <c r="AF108" s="37"/>
      <c r="AG108" s="37"/>
      <c r="AH108" s="37"/>
      <c r="AI108" s="17"/>
      <c r="AJ108" s="37"/>
      <c r="AK108" s="17"/>
      <c r="AL108" s="39"/>
      <c r="AM108" s="17"/>
      <c r="AN108" s="17"/>
      <c r="AO108" s="37"/>
      <c r="AP108" s="17"/>
      <c r="AQ108" s="37"/>
      <c r="AR108" s="37"/>
      <c r="AS108" s="37"/>
      <c r="AT108" s="17"/>
      <c r="AU108" s="37"/>
      <c r="AV108" s="37"/>
      <c r="AW108" s="38"/>
      <c r="AX108" s="37"/>
      <c r="AY108" s="38"/>
      <c r="AZ108" s="34" t="str">
        <f aca="false">IF($E108="","",COUNTA($E108,$F108,$G108,$J108,$L108,$Q108,$U108,$X108,$AM108,$AN108,$AP108,$AR108)/12)</f>
        <v/>
      </c>
      <c r="BA108" s="32" t="str">
        <f aca="false">IF($E108="","",IF(COUNTIF($E$3:$E$402,$E108)&gt;1,"DUPLICATE",""))</f>
        <v/>
      </c>
      <c r="BB108" s="17"/>
      <c r="BC108" s="35" t="str">
        <f aca="false">IF($E108="","",IFERROR(INDEX(SCORING!$C$6:$C$15,MATCH($J108,SCORING!$B$6:$B$15,0)),0)+IFERROR(INDEX(SCORING!$C$18:$C$20,MATCH($U108,SCORING!$B$18:$B$20,0)),0)+IFERROR(INDEX(SCORING!$C$23:$C$26,MATCH($X108,SCORING!$B$23:$B$26,0)),0)+IFERROR(INDEX(SCORING!$C$29:$C$32,MATCH($Q108,SCORING!$B$29:$B$32,0)),0)+IFERROR(INDEX(SCORING!$C$35:$C$37,MATCH($L108,SCORING!$B$35:$B$37,0)),0)+IF($AP108="",0,IF(AND($AQ108="Valid",$AO108="Decision maker"),SCORING!$C$40,IF($AQ108="Valid",SCORING!$C$41,SCORING!$C$42))))</f>
        <v/>
      </c>
      <c r="BD108" s="36" t="str">
        <f aca="false">IF($BC108="","",IF($BC108&gt;=SCORING!$C$46,"A",IF($BC108&gt;=SCORING!$C$47,"B",IF($BC108&gt;=SCORING!$C$48,"C","D"))))</f>
        <v/>
      </c>
      <c r="BE108" s="37"/>
    </row>
    <row r="109" customFormat="false" ht="15" hidden="false" customHeight="false" outlineLevel="0" collapsed="false">
      <c r="A109" s="37"/>
      <c r="B109" s="38"/>
      <c r="C109" s="37"/>
      <c r="D109" s="37"/>
      <c r="E109" s="17"/>
      <c r="F109" s="17"/>
      <c r="G109" s="37"/>
      <c r="H109" s="32" t="str">
        <f aca="false">IF($G109="","",IFERROR(INDEX(LISTS!$P$3:$P$145,MATCH($G109,LISTS!$O$3:$O$145,0)),"Other"))</f>
        <v/>
      </c>
      <c r="I109" s="37"/>
      <c r="J109" s="17"/>
      <c r="K109" s="17"/>
      <c r="L109" s="37"/>
      <c r="M109" s="37"/>
      <c r="N109" s="39"/>
      <c r="O109" s="37"/>
      <c r="P109" s="39"/>
      <c r="Q109" s="37"/>
      <c r="R109" s="39"/>
      <c r="S109" s="17"/>
      <c r="T109" s="17"/>
      <c r="U109" s="37"/>
      <c r="V109" s="37"/>
      <c r="W109" s="17"/>
      <c r="X109" s="37"/>
      <c r="Y109" s="17"/>
      <c r="Z109" s="39"/>
      <c r="AA109" s="39"/>
      <c r="AB109" s="37"/>
      <c r="AC109" s="37"/>
      <c r="AD109" s="38"/>
      <c r="AE109" s="37"/>
      <c r="AF109" s="37"/>
      <c r="AG109" s="37"/>
      <c r="AH109" s="37"/>
      <c r="AI109" s="17"/>
      <c r="AJ109" s="37"/>
      <c r="AK109" s="17"/>
      <c r="AL109" s="39"/>
      <c r="AM109" s="17"/>
      <c r="AN109" s="17"/>
      <c r="AO109" s="37"/>
      <c r="AP109" s="17"/>
      <c r="AQ109" s="37"/>
      <c r="AR109" s="37"/>
      <c r="AS109" s="37"/>
      <c r="AT109" s="17"/>
      <c r="AU109" s="37"/>
      <c r="AV109" s="37"/>
      <c r="AW109" s="38"/>
      <c r="AX109" s="37"/>
      <c r="AY109" s="38"/>
      <c r="AZ109" s="34" t="str">
        <f aca="false">IF($E109="","",COUNTA($E109,$F109,$G109,$J109,$L109,$Q109,$U109,$X109,$AM109,$AN109,$AP109,$AR109)/12)</f>
        <v/>
      </c>
      <c r="BA109" s="32" t="str">
        <f aca="false">IF($E109="","",IF(COUNTIF($E$3:$E$402,$E109)&gt;1,"DUPLICATE",""))</f>
        <v/>
      </c>
      <c r="BB109" s="17"/>
      <c r="BC109" s="35" t="str">
        <f aca="false">IF($E109="","",IFERROR(INDEX(SCORING!$C$6:$C$15,MATCH($J109,SCORING!$B$6:$B$15,0)),0)+IFERROR(INDEX(SCORING!$C$18:$C$20,MATCH($U109,SCORING!$B$18:$B$20,0)),0)+IFERROR(INDEX(SCORING!$C$23:$C$26,MATCH($X109,SCORING!$B$23:$B$26,0)),0)+IFERROR(INDEX(SCORING!$C$29:$C$32,MATCH($Q109,SCORING!$B$29:$B$32,0)),0)+IFERROR(INDEX(SCORING!$C$35:$C$37,MATCH($L109,SCORING!$B$35:$B$37,0)),0)+IF($AP109="",0,IF(AND($AQ109="Valid",$AO109="Decision maker"),SCORING!$C$40,IF($AQ109="Valid",SCORING!$C$41,SCORING!$C$42))))</f>
        <v/>
      </c>
      <c r="BD109" s="36" t="str">
        <f aca="false">IF($BC109="","",IF($BC109&gt;=SCORING!$C$46,"A",IF($BC109&gt;=SCORING!$C$47,"B",IF($BC109&gt;=SCORING!$C$48,"C","D"))))</f>
        <v/>
      </c>
      <c r="BE109" s="37"/>
    </row>
    <row r="110" customFormat="false" ht="15" hidden="false" customHeight="false" outlineLevel="0" collapsed="false">
      <c r="A110" s="37"/>
      <c r="B110" s="38"/>
      <c r="C110" s="37"/>
      <c r="D110" s="37"/>
      <c r="E110" s="17"/>
      <c r="F110" s="17"/>
      <c r="G110" s="37"/>
      <c r="H110" s="32" t="str">
        <f aca="false">IF($G110="","",IFERROR(INDEX(LISTS!$P$3:$P$145,MATCH($G110,LISTS!$O$3:$O$145,0)),"Other"))</f>
        <v/>
      </c>
      <c r="I110" s="37"/>
      <c r="J110" s="17"/>
      <c r="K110" s="17"/>
      <c r="L110" s="37"/>
      <c r="M110" s="37"/>
      <c r="N110" s="39"/>
      <c r="O110" s="37"/>
      <c r="P110" s="39"/>
      <c r="Q110" s="37"/>
      <c r="R110" s="39"/>
      <c r="S110" s="17"/>
      <c r="T110" s="17"/>
      <c r="U110" s="37"/>
      <c r="V110" s="37"/>
      <c r="W110" s="17"/>
      <c r="X110" s="37"/>
      <c r="Y110" s="17"/>
      <c r="Z110" s="39"/>
      <c r="AA110" s="39"/>
      <c r="AB110" s="37"/>
      <c r="AC110" s="37"/>
      <c r="AD110" s="38"/>
      <c r="AE110" s="37"/>
      <c r="AF110" s="37"/>
      <c r="AG110" s="37"/>
      <c r="AH110" s="37"/>
      <c r="AI110" s="17"/>
      <c r="AJ110" s="37"/>
      <c r="AK110" s="17"/>
      <c r="AL110" s="39"/>
      <c r="AM110" s="17"/>
      <c r="AN110" s="17"/>
      <c r="AO110" s="37"/>
      <c r="AP110" s="17"/>
      <c r="AQ110" s="37"/>
      <c r="AR110" s="37"/>
      <c r="AS110" s="37"/>
      <c r="AT110" s="17"/>
      <c r="AU110" s="37"/>
      <c r="AV110" s="37"/>
      <c r="AW110" s="38"/>
      <c r="AX110" s="37"/>
      <c r="AY110" s="38"/>
      <c r="AZ110" s="34" t="str">
        <f aca="false">IF($E110="","",COUNTA($E110,$F110,$G110,$J110,$L110,$Q110,$U110,$X110,$AM110,$AN110,$AP110,$AR110)/12)</f>
        <v/>
      </c>
      <c r="BA110" s="32" t="str">
        <f aca="false">IF($E110="","",IF(COUNTIF($E$3:$E$402,$E110)&gt;1,"DUPLICATE",""))</f>
        <v/>
      </c>
      <c r="BB110" s="17"/>
      <c r="BC110" s="35" t="str">
        <f aca="false">IF($E110="","",IFERROR(INDEX(SCORING!$C$6:$C$15,MATCH($J110,SCORING!$B$6:$B$15,0)),0)+IFERROR(INDEX(SCORING!$C$18:$C$20,MATCH($U110,SCORING!$B$18:$B$20,0)),0)+IFERROR(INDEX(SCORING!$C$23:$C$26,MATCH($X110,SCORING!$B$23:$B$26,0)),0)+IFERROR(INDEX(SCORING!$C$29:$C$32,MATCH($Q110,SCORING!$B$29:$B$32,0)),0)+IFERROR(INDEX(SCORING!$C$35:$C$37,MATCH($L110,SCORING!$B$35:$B$37,0)),0)+IF($AP110="",0,IF(AND($AQ110="Valid",$AO110="Decision maker"),SCORING!$C$40,IF($AQ110="Valid",SCORING!$C$41,SCORING!$C$42))))</f>
        <v/>
      </c>
      <c r="BD110" s="36" t="str">
        <f aca="false">IF($BC110="","",IF($BC110&gt;=SCORING!$C$46,"A",IF($BC110&gt;=SCORING!$C$47,"B",IF($BC110&gt;=SCORING!$C$48,"C","D"))))</f>
        <v/>
      </c>
      <c r="BE110" s="37"/>
    </row>
    <row r="111" customFormat="false" ht="15" hidden="false" customHeight="false" outlineLevel="0" collapsed="false">
      <c r="A111" s="37"/>
      <c r="B111" s="38"/>
      <c r="C111" s="37"/>
      <c r="D111" s="37"/>
      <c r="E111" s="17"/>
      <c r="F111" s="17"/>
      <c r="G111" s="37"/>
      <c r="H111" s="32" t="str">
        <f aca="false">IF($G111="","",IFERROR(INDEX(LISTS!$P$3:$P$145,MATCH($G111,LISTS!$O$3:$O$145,0)),"Other"))</f>
        <v/>
      </c>
      <c r="I111" s="37"/>
      <c r="J111" s="17"/>
      <c r="K111" s="17"/>
      <c r="L111" s="37"/>
      <c r="M111" s="37"/>
      <c r="N111" s="39"/>
      <c r="O111" s="37"/>
      <c r="P111" s="39"/>
      <c r="Q111" s="37"/>
      <c r="R111" s="39"/>
      <c r="S111" s="17"/>
      <c r="T111" s="17"/>
      <c r="U111" s="37"/>
      <c r="V111" s="37"/>
      <c r="W111" s="17"/>
      <c r="X111" s="37"/>
      <c r="Y111" s="17"/>
      <c r="Z111" s="39"/>
      <c r="AA111" s="39"/>
      <c r="AB111" s="37"/>
      <c r="AC111" s="37"/>
      <c r="AD111" s="38"/>
      <c r="AE111" s="37"/>
      <c r="AF111" s="37"/>
      <c r="AG111" s="37"/>
      <c r="AH111" s="37"/>
      <c r="AI111" s="17"/>
      <c r="AJ111" s="37"/>
      <c r="AK111" s="17"/>
      <c r="AL111" s="39"/>
      <c r="AM111" s="17"/>
      <c r="AN111" s="17"/>
      <c r="AO111" s="37"/>
      <c r="AP111" s="17"/>
      <c r="AQ111" s="37"/>
      <c r="AR111" s="37"/>
      <c r="AS111" s="37"/>
      <c r="AT111" s="17"/>
      <c r="AU111" s="37"/>
      <c r="AV111" s="37"/>
      <c r="AW111" s="38"/>
      <c r="AX111" s="37"/>
      <c r="AY111" s="38"/>
      <c r="AZ111" s="34" t="str">
        <f aca="false">IF($E111="","",COUNTA($E111,$F111,$G111,$J111,$L111,$Q111,$U111,$X111,$AM111,$AN111,$AP111,$AR111)/12)</f>
        <v/>
      </c>
      <c r="BA111" s="32" t="str">
        <f aca="false">IF($E111="","",IF(COUNTIF($E$3:$E$402,$E111)&gt;1,"DUPLICATE",""))</f>
        <v/>
      </c>
      <c r="BB111" s="17"/>
      <c r="BC111" s="35" t="str">
        <f aca="false">IF($E111="","",IFERROR(INDEX(SCORING!$C$6:$C$15,MATCH($J111,SCORING!$B$6:$B$15,0)),0)+IFERROR(INDEX(SCORING!$C$18:$C$20,MATCH($U111,SCORING!$B$18:$B$20,0)),0)+IFERROR(INDEX(SCORING!$C$23:$C$26,MATCH($X111,SCORING!$B$23:$B$26,0)),0)+IFERROR(INDEX(SCORING!$C$29:$C$32,MATCH($Q111,SCORING!$B$29:$B$32,0)),0)+IFERROR(INDEX(SCORING!$C$35:$C$37,MATCH($L111,SCORING!$B$35:$B$37,0)),0)+IF($AP111="",0,IF(AND($AQ111="Valid",$AO111="Decision maker"),SCORING!$C$40,IF($AQ111="Valid",SCORING!$C$41,SCORING!$C$42))))</f>
        <v/>
      </c>
      <c r="BD111" s="36" t="str">
        <f aca="false">IF($BC111="","",IF($BC111&gt;=SCORING!$C$46,"A",IF($BC111&gt;=SCORING!$C$47,"B",IF($BC111&gt;=SCORING!$C$48,"C","D"))))</f>
        <v/>
      </c>
      <c r="BE111" s="37"/>
    </row>
    <row r="112" customFormat="false" ht="15" hidden="false" customHeight="false" outlineLevel="0" collapsed="false">
      <c r="A112" s="37"/>
      <c r="B112" s="38"/>
      <c r="C112" s="37"/>
      <c r="D112" s="37"/>
      <c r="E112" s="17"/>
      <c r="F112" s="17"/>
      <c r="G112" s="37"/>
      <c r="H112" s="32" t="str">
        <f aca="false">IF($G112="","",IFERROR(INDEX(LISTS!$P$3:$P$145,MATCH($G112,LISTS!$O$3:$O$145,0)),"Other"))</f>
        <v/>
      </c>
      <c r="I112" s="37"/>
      <c r="J112" s="17"/>
      <c r="K112" s="17"/>
      <c r="L112" s="37"/>
      <c r="M112" s="37"/>
      <c r="N112" s="39"/>
      <c r="O112" s="37"/>
      <c r="P112" s="39"/>
      <c r="Q112" s="37"/>
      <c r="R112" s="39"/>
      <c r="S112" s="17"/>
      <c r="T112" s="17"/>
      <c r="U112" s="37"/>
      <c r="V112" s="37"/>
      <c r="W112" s="17"/>
      <c r="X112" s="37"/>
      <c r="Y112" s="17"/>
      <c r="Z112" s="39"/>
      <c r="AA112" s="39"/>
      <c r="AB112" s="37"/>
      <c r="AC112" s="37"/>
      <c r="AD112" s="38"/>
      <c r="AE112" s="37"/>
      <c r="AF112" s="37"/>
      <c r="AG112" s="37"/>
      <c r="AH112" s="37"/>
      <c r="AI112" s="17"/>
      <c r="AJ112" s="37"/>
      <c r="AK112" s="17"/>
      <c r="AL112" s="39"/>
      <c r="AM112" s="17"/>
      <c r="AN112" s="17"/>
      <c r="AO112" s="37"/>
      <c r="AP112" s="17"/>
      <c r="AQ112" s="37"/>
      <c r="AR112" s="37"/>
      <c r="AS112" s="37"/>
      <c r="AT112" s="17"/>
      <c r="AU112" s="37"/>
      <c r="AV112" s="37"/>
      <c r="AW112" s="38"/>
      <c r="AX112" s="37"/>
      <c r="AY112" s="38"/>
      <c r="AZ112" s="34" t="str">
        <f aca="false">IF($E112="","",COUNTA($E112,$F112,$G112,$J112,$L112,$Q112,$U112,$X112,$AM112,$AN112,$AP112,$AR112)/12)</f>
        <v/>
      </c>
      <c r="BA112" s="32" t="str">
        <f aca="false">IF($E112="","",IF(COUNTIF($E$3:$E$402,$E112)&gt;1,"DUPLICATE",""))</f>
        <v/>
      </c>
      <c r="BB112" s="17"/>
      <c r="BC112" s="35" t="str">
        <f aca="false">IF($E112="","",IFERROR(INDEX(SCORING!$C$6:$C$15,MATCH($J112,SCORING!$B$6:$B$15,0)),0)+IFERROR(INDEX(SCORING!$C$18:$C$20,MATCH($U112,SCORING!$B$18:$B$20,0)),0)+IFERROR(INDEX(SCORING!$C$23:$C$26,MATCH($X112,SCORING!$B$23:$B$26,0)),0)+IFERROR(INDEX(SCORING!$C$29:$C$32,MATCH($Q112,SCORING!$B$29:$B$32,0)),0)+IFERROR(INDEX(SCORING!$C$35:$C$37,MATCH($L112,SCORING!$B$35:$B$37,0)),0)+IF($AP112="",0,IF(AND($AQ112="Valid",$AO112="Decision maker"),SCORING!$C$40,IF($AQ112="Valid",SCORING!$C$41,SCORING!$C$42))))</f>
        <v/>
      </c>
      <c r="BD112" s="36" t="str">
        <f aca="false">IF($BC112="","",IF($BC112&gt;=SCORING!$C$46,"A",IF($BC112&gt;=SCORING!$C$47,"B",IF($BC112&gt;=SCORING!$C$48,"C","D"))))</f>
        <v/>
      </c>
      <c r="BE112" s="37"/>
    </row>
    <row r="113" customFormat="false" ht="15" hidden="false" customHeight="false" outlineLevel="0" collapsed="false">
      <c r="A113" s="37"/>
      <c r="B113" s="38"/>
      <c r="C113" s="37"/>
      <c r="D113" s="37"/>
      <c r="E113" s="17"/>
      <c r="F113" s="17"/>
      <c r="G113" s="37"/>
      <c r="H113" s="32" t="str">
        <f aca="false">IF($G113="","",IFERROR(INDEX(LISTS!$P$3:$P$145,MATCH($G113,LISTS!$O$3:$O$145,0)),"Other"))</f>
        <v/>
      </c>
      <c r="I113" s="37"/>
      <c r="J113" s="17"/>
      <c r="K113" s="17"/>
      <c r="L113" s="37"/>
      <c r="M113" s="37"/>
      <c r="N113" s="39"/>
      <c r="O113" s="37"/>
      <c r="P113" s="39"/>
      <c r="Q113" s="37"/>
      <c r="R113" s="39"/>
      <c r="S113" s="17"/>
      <c r="T113" s="17"/>
      <c r="U113" s="37"/>
      <c r="V113" s="37"/>
      <c r="W113" s="17"/>
      <c r="X113" s="37"/>
      <c r="Y113" s="17"/>
      <c r="Z113" s="39"/>
      <c r="AA113" s="39"/>
      <c r="AB113" s="37"/>
      <c r="AC113" s="37"/>
      <c r="AD113" s="38"/>
      <c r="AE113" s="37"/>
      <c r="AF113" s="37"/>
      <c r="AG113" s="37"/>
      <c r="AH113" s="37"/>
      <c r="AI113" s="17"/>
      <c r="AJ113" s="37"/>
      <c r="AK113" s="17"/>
      <c r="AL113" s="39"/>
      <c r="AM113" s="17"/>
      <c r="AN113" s="17"/>
      <c r="AO113" s="37"/>
      <c r="AP113" s="17"/>
      <c r="AQ113" s="37"/>
      <c r="AR113" s="37"/>
      <c r="AS113" s="37"/>
      <c r="AT113" s="17"/>
      <c r="AU113" s="37"/>
      <c r="AV113" s="37"/>
      <c r="AW113" s="38"/>
      <c r="AX113" s="37"/>
      <c r="AY113" s="38"/>
      <c r="AZ113" s="34" t="str">
        <f aca="false">IF($E113="","",COUNTA($E113,$F113,$G113,$J113,$L113,$Q113,$U113,$X113,$AM113,$AN113,$AP113,$AR113)/12)</f>
        <v/>
      </c>
      <c r="BA113" s="32" t="str">
        <f aca="false">IF($E113="","",IF(COUNTIF($E$3:$E$402,$E113)&gt;1,"DUPLICATE",""))</f>
        <v/>
      </c>
      <c r="BB113" s="17"/>
      <c r="BC113" s="35" t="str">
        <f aca="false">IF($E113="","",IFERROR(INDEX(SCORING!$C$6:$C$15,MATCH($J113,SCORING!$B$6:$B$15,0)),0)+IFERROR(INDEX(SCORING!$C$18:$C$20,MATCH($U113,SCORING!$B$18:$B$20,0)),0)+IFERROR(INDEX(SCORING!$C$23:$C$26,MATCH($X113,SCORING!$B$23:$B$26,0)),0)+IFERROR(INDEX(SCORING!$C$29:$C$32,MATCH($Q113,SCORING!$B$29:$B$32,0)),0)+IFERROR(INDEX(SCORING!$C$35:$C$37,MATCH($L113,SCORING!$B$35:$B$37,0)),0)+IF($AP113="",0,IF(AND($AQ113="Valid",$AO113="Decision maker"),SCORING!$C$40,IF($AQ113="Valid",SCORING!$C$41,SCORING!$C$42))))</f>
        <v/>
      </c>
      <c r="BD113" s="36" t="str">
        <f aca="false">IF($BC113="","",IF($BC113&gt;=SCORING!$C$46,"A",IF($BC113&gt;=SCORING!$C$47,"B",IF($BC113&gt;=SCORING!$C$48,"C","D"))))</f>
        <v/>
      </c>
      <c r="BE113" s="37"/>
    </row>
    <row r="114" customFormat="false" ht="15" hidden="false" customHeight="false" outlineLevel="0" collapsed="false">
      <c r="A114" s="37"/>
      <c r="B114" s="38"/>
      <c r="C114" s="37"/>
      <c r="D114" s="37"/>
      <c r="E114" s="17"/>
      <c r="F114" s="17"/>
      <c r="G114" s="37"/>
      <c r="H114" s="32" t="str">
        <f aca="false">IF($G114="","",IFERROR(INDEX(LISTS!$P$3:$P$145,MATCH($G114,LISTS!$O$3:$O$145,0)),"Other"))</f>
        <v/>
      </c>
      <c r="I114" s="37"/>
      <c r="J114" s="17"/>
      <c r="K114" s="17"/>
      <c r="L114" s="37"/>
      <c r="M114" s="37"/>
      <c r="N114" s="39"/>
      <c r="O114" s="37"/>
      <c r="P114" s="39"/>
      <c r="Q114" s="37"/>
      <c r="R114" s="39"/>
      <c r="S114" s="17"/>
      <c r="T114" s="17"/>
      <c r="U114" s="37"/>
      <c r="V114" s="37"/>
      <c r="W114" s="17"/>
      <c r="X114" s="37"/>
      <c r="Y114" s="17"/>
      <c r="Z114" s="39"/>
      <c r="AA114" s="39"/>
      <c r="AB114" s="37"/>
      <c r="AC114" s="37"/>
      <c r="AD114" s="38"/>
      <c r="AE114" s="37"/>
      <c r="AF114" s="37"/>
      <c r="AG114" s="37"/>
      <c r="AH114" s="37"/>
      <c r="AI114" s="17"/>
      <c r="AJ114" s="37"/>
      <c r="AK114" s="17"/>
      <c r="AL114" s="39"/>
      <c r="AM114" s="17"/>
      <c r="AN114" s="17"/>
      <c r="AO114" s="37"/>
      <c r="AP114" s="17"/>
      <c r="AQ114" s="37"/>
      <c r="AR114" s="37"/>
      <c r="AS114" s="37"/>
      <c r="AT114" s="17"/>
      <c r="AU114" s="37"/>
      <c r="AV114" s="37"/>
      <c r="AW114" s="38"/>
      <c r="AX114" s="37"/>
      <c r="AY114" s="38"/>
      <c r="AZ114" s="34" t="str">
        <f aca="false">IF($E114="","",COUNTA($E114,$F114,$G114,$J114,$L114,$Q114,$U114,$X114,$AM114,$AN114,$AP114,$AR114)/12)</f>
        <v/>
      </c>
      <c r="BA114" s="32" t="str">
        <f aca="false">IF($E114="","",IF(COUNTIF($E$3:$E$402,$E114)&gt;1,"DUPLICATE",""))</f>
        <v/>
      </c>
      <c r="BB114" s="17"/>
      <c r="BC114" s="35" t="str">
        <f aca="false">IF($E114="","",IFERROR(INDEX(SCORING!$C$6:$C$15,MATCH($J114,SCORING!$B$6:$B$15,0)),0)+IFERROR(INDEX(SCORING!$C$18:$C$20,MATCH($U114,SCORING!$B$18:$B$20,0)),0)+IFERROR(INDEX(SCORING!$C$23:$C$26,MATCH($X114,SCORING!$B$23:$B$26,0)),0)+IFERROR(INDEX(SCORING!$C$29:$C$32,MATCH($Q114,SCORING!$B$29:$B$32,0)),0)+IFERROR(INDEX(SCORING!$C$35:$C$37,MATCH($L114,SCORING!$B$35:$B$37,0)),0)+IF($AP114="",0,IF(AND($AQ114="Valid",$AO114="Decision maker"),SCORING!$C$40,IF($AQ114="Valid",SCORING!$C$41,SCORING!$C$42))))</f>
        <v/>
      </c>
      <c r="BD114" s="36" t="str">
        <f aca="false">IF($BC114="","",IF($BC114&gt;=SCORING!$C$46,"A",IF($BC114&gt;=SCORING!$C$47,"B",IF($BC114&gt;=SCORING!$C$48,"C","D"))))</f>
        <v/>
      </c>
      <c r="BE114" s="37"/>
    </row>
    <row r="115" customFormat="false" ht="15" hidden="false" customHeight="false" outlineLevel="0" collapsed="false">
      <c r="A115" s="37"/>
      <c r="B115" s="38"/>
      <c r="C115" s="37"/>
      <c r="D115" s="37"/>
      <c r="E115" s="17"/>
      <c r="F115" s="17"/>
      <c r="G115" s="37"/>
      <c r="H115" s="32" t="str">
        <f aca="false">IF($G115="","",IFERROR(INDEX(LISTS!$P$3:$P$145,MATCH($G115,LISTS!$O$3:$O$145,0)),"Other"))</f>
        <v/>
      </c>
      <c r="I115" s="37"/>
      <c r="J115" s="17"/>
      <c r="K115" s="17"/>
      <c r="L115" s="37"/>
      <c r="M115" s="37"/>
      <c r="N115" s="39"/>
      <c r="O115" s="37"/>
      <c r="P115" s="39"/>
      <c r="Q115" s="37"/>
      <c r="R115" s="39"/>
      <c r="S115" s="17"/>
      <c r="T115" s="17"/>
      <c r="U115" s="37"/>
      <c r="V115" s="37"/>
      <c r="W115" s="17"/>
      <c r="X115" s="37"/>
      <c r="Y115" s="17"/>
      <c r="Z115" s="39"/>
      <c r="AA115" s="39"/>
      <c r="AB115" s="37"/>
      <c r="AC115" s="37"/>
      <c r="AD115" s="38"/>
      <c r="AE115" s="37"/>
      <c r="AF115" s="37"/>
      <c r="AG115" s="37"/>
      <c r="AH115" s="37"/>
      <c r="AI115" s="17"/>
      <c r="AJ115" s="37"/>
      <c r="AK115" s="17"/>
      <c r="AL115" s="39"/>
      <c r="AM115" s="17"/>
      <c r="AN115" s="17"/>
      <c r="AO115" s="37"/>
      <c r="AP115" s="17"/>
      <c r="AQ115" s="37"/>
      <c r="AR115" s="37"/>
      <c r="AS115" s="37"/>
      <c r="AT115" s="17"/>
      <c r="AU115" s="37"/>
      <c r="AV115" s="37"/>
      <c r="AW115" s="38"/>
      <c r="AX115" s="37"/>
      <c r="AY115" s="38"/>
      <c r="AZ115" s="34" t="str">
        <f aca="false">IF($E115="","",COUNTA($E115,$F115,$G115,$J115,$L115,$Q115,$U115,$X115,$AM115,$AN115,$AP115,$AR115)/12)</f>
        <v/>
      </c>
      <c r="BA115" s="32" t="str">
        <f aca="false">IF($E115="","",IF(COUNTIF($E$3:$E$402,$E115)&gt;1,"DUPLICATE",""))</f>
        <v/>
      </c>
      <c r="BB115" s="17"/>
      <c r="BC115" s="35" t="str">
        <f aca="false">IF($E115="","",IFERROR(INDEX(SCORING!$C$6:$C$15,MATCH($J115,SCORING!$B$6:$B$15,0)),0)+IFERROR(INDEX(SCORING!$C$18:$C$20,MATCH($U115,SCORING!$B$18:$B$20,0)),0)+IFERROR(INDEX(SCORING!$C$23:$C$26,MATCH($X115,SCORING!$B$23:$B$26,0)),0)+IFERROR(INDEX(SCORING!$C$29:$C$32,MATCH($Q115,SCORING!$B$29:$B$32,0)),0)+IFERROR(INDEX(SCORING!$C$35:$C$37,MATCH($L115,SCORING!$B$35:$B$37,0)),0)+IF($AP115="",0,IF(AND($AQ115="Valid",$AO115="Decision maker"),SCORING!$C$40,IF($AQ115="Valid",SCORING!$C$41,SCORING!$C$42))))</f>
        <v/>
      </c>
      <c r="BD115" s="36" t="str">
        <f aca="false">IF($BC115="","",IF($BC115&gt;=SCORING!$C$46,"A",IF($BC115&gt;=SCORING!$C$47,"B",IF($BC115&gt;=SCORING!$C$48,"C","D"))))</f>
        <v/>
      </c>
      <c r="BE115" s="37"/>
    </row>
    <row r="116" customFormat="false" ht="15" hidden="false" customHeight="false" outlineLevel="0" collapsed="false">
      <c r="A116" s="37"/>
      <c r="B116" s="38"/>
      <c r="C116" s="37"/>
      <c r="D116" s="37"/>
      <c r="E116" s="17"/>
      <c r="F116" s="17"/>
      <c r="G116" s="37"/>
      <c r="H116" s="32" t="str">
        <f aca="false">IF($G116="","",IFERROR(INDEX(LISTS!$P$3:$P$145,MATCH($G116,LISTS!$O$3:$O$145,0)),"Other"))</f>
        <v/>
      </c>
      <c r="I116" s="37"/>
      <c r="J116" s="17"/>
      <c r="K116" s="17"/>
      <c r="L116" s="37"/>
      <c r="M116" s="37"/>
      <c r="N116" s="39"/>
      <c r="O116" s="37"/>
      <c r="P116" s="39"/>
      <c r="Q116" s="37"/>
      <c r="R116" s="39"/>
      <c r="S116" s="17"/>
      <c r="T116" s="17"/>
      <c r="U116" s="37"/>
      <c r="V116" s="37"/>
      <c r="W116" s="17"/>
      <c r="X116" s="37"/>
      <c r="Y116" s="17"/>
      <c r="Z116" s="39"/>
      <c r="AA116" s="39"/>
      <c r="AB116" s="37"/>
      <c r="AC116" s="37"/>
      <c r="AD116" s="38"/>
      <c r="AE116" s="37"/>
      <c r="AF116" s="37"/>
      <c r="AG116" s="37"/>
      <c r="AH116" s="37"/>
      <c r="AI116" s="17"/>
      <c r="AJ116" s="37"/>
      <c r="AK116" s="17"/>
      <c r="AL116" s="39"/>
      <c r="AM116" s="17"/>
      <c r="AN116" s="17"/>
      <c r="AO116" s="37"/>
      <c r="AP116" s="17"/>
      <c r="AQ116" s="37"/>
      <c r="AR116" s="37"/>
      <c r="AS116" s="37"/>
      <c r="AT116" s="17"/>
      <c r="AU116" s="37"/>
      <c r="AV116" s="37"/>
      <c r="AW116" s="38"/>
      <c r="AX116" s="37"/>
      <c r="AY116" s="38"/>
      <c r="AZ116" s="34" t="str">
        <f aca="false">IF($E116="","",COUNTA($E116,$F116,$G116,$J116,$L116,$Q116,$U116,$X116,$AM116,$AN116,$AP116,$AR116)/12)</f>
        <v/>
      </c>
      <c r="BA116" s="32" t="str">
        <f aca="false">IF($E116="","",IF(COUNTIF($E$3:$E$402,$E116)&gt;1,"DUPLICATE",""))</f>
        <v/>
      </c>
      <c r="BB116" s="17"/>
      <c r="BC116" s="35" t="str">
        <f aca="false">IF($E116="","",IFERROR(INDEX(SCORING!$C$6:$C$15,MATCH($J116,SCORING!$B$6:$B$15,0)),0)+IFERROR(INDEX(SCORING!$C$18:$C$20,MATCH($U116,SCORING!$B$18:$B$20,0)),0)+IFERROR(INDEX(SCORING!$C$23:$C$26,MATCH($X116,SCORING!$B$23:$B$26,0)),0)+IFERROR(INDEX(SCORING!$C$29:$C$32,MATCH($Q116,SCORING!$B$29:$B$32,0)),0)+IFERROR(INDEX(SCORING!$C$35:$C$37,MATCH($L116,SCORING!$B$35:$B$37,0)),0)+IF($AP116="",0,IF(AND($AQ116="Valid",$AO116="Decision maker"),SCORING!$C$40,IF($AQ116="Valid",SCORING!$C$41,SCORING!$C$42))))</f>
        <v/>
      </c>
      <c r="BD116" s="36" t="str">
        <f aca="false">IF($BC116="","",IF($BC116&gt;=SCORING!$C$46,"A",IF($BC116&gt;=SCORING!$C$47,"B",IF($BC116&gt;=SCORING!$C$48,"C","D"))))</f>
        <v/>
      </c>
      <c r="BE116" s="37"/>
    </row>
    <row r="117" customFormat="false" ht="15" hidden="false" customHeight="false" outlineLevel="0" collapsed="false">
      <c r="A117" s="37"/>
      <c r="B117" s="38"/>
      <c r="C117" s="37"/>
      <c r="D117" s="37"/>
      <c r="E117" s="17"/>
      <c r="F117" s="17"/>
      <c r="G117" s="37"/>
      <c r="H117" s="32" t="str">
        <f aca="false">IF($G117="","",IFERROR(INDEX(LISTS!$P$3:$P$145,MATCH($G117,LISTS!$O$3:$O$145,0)),"Other"))</f>
        <v/>
      </c>
      <c r="I117" s="37"/>
      <c r="J117" s="17"/>
      <c r="K117" s="17"/>
      <c r="L117" s="37"/>
      <c r="M117" s="37"/>
      <c r="N117" s="39"/>
      <c r="O117" s="37"/>
      <c r="P117" s="39"/>
      <c r="Q117" s="37"/>
      <c r="R117" s="39"/>
      <c r="S117" s="17"/>
      <c r="T117" s="17"/>
      <c r="U117" s="37"/>
      <c r="V117" s="37"/>
      <c r="W117" s="17"/>
      <c r="X117" s="37"/>
      <c r="Y117" s="17"/>
      <c r="Z117" s="39"/>
      <c r="AA117" s="39"/>
      <c r="AB117" s="37"/>
      <c r="AC117" s="37"/>
      <c r="AD117" s="38"/>
      <c r="AE117" s="37"/>
      <c r="AF117" s="37"/>
      <c r="AG117" s="37"/>
      <c r="AH117" s="37"/>
      <c r="AI117" s="17"/>
      <c r="AJ117" s="37"/>
      <c r="AK117" s="17"/>
      <c r="AL117" s="39"/>
      <c r="AM117" s="17"/>
      <c r="AN117" s="17"/>
      <c r="AO117" s="37"/>
      <c r="AP117" s="17"/>
      <c r="AQ117" s="37"/>
      <c r="AR117" s="37"/>
      <c r="AS117" s="37"/>
      <c r="AT117" s="17"/>
      <c r="AU117" s="37"/>
      <c r="AV117" s="37"/>
      <c r="AW117" s="38"/>
      <c r="AX117" s="37"/>
      <c r="AY117" s="38"/>
      <c r="AZ117" s="34" t="str">
        <f aca="false">IF($E117="","",COUNTA($E117,$F117,$G117,$J117,$L117,$Q117,$U117,$X117,$AM117,$AN117,$AP117,$AR117)/12)</f>
        <v/>
      </c>
      <c r="BA117" s="32" t="str">
        <f aca="false">IF($E117="","",IF(COUNTIF($E$3:$E$402,$E117)&gt;1,"DUPLICATE",""))</f>
        <v/>
      </c>
      <c r="BB117" s="17"/>
      <c r="BC117" s="35" t="str">
        <f aca="false">IF($E117="","",IFERROR(INDEX(SCORING!$C$6:$C$15,MATCH($J117,SCORING!$B$6:$B$15,0)),0)+IFERROR(INDEX(SCORING!$C$18:$C$20,MATCH($U117,SCORING!$B$18:$B$20,0)),0)+IFERROR(INDEX(SCORING!$C$23:$C$26,MATCH($X117,SCORING!$B$23:$B$26,0)),0)+IFERROR(INDEX(SCORING!$C$29:$C$32,MATCH($Q117,SCORING!$B$29:$B$32,0)),0)+IFERROR(INDEX(SCORING!$C$35:$C$37,MATCH($L117,SCORING!$B$35:$B$37,0)),0)+IF($AP117="",0,IF(AND($AQ117="Valid",$AO117="Decision maker"),SCORING!$C$40,IF($AQ117="Valid",SCORING!$C$41,SCORING!$C$42))))</f>
        <v/>
      </c>
      <c r="BD117" s="36" t="str">
        <f aca="false">IF($BC117="","",IF($BC117&gt;=SCORING!$C$46,"A",IF($BC117&gt;=SCORING!$C$47,"B",IF($BC117&gt;=SCORING!$C$48,"C","D"))))</f>
        <v/>
      </c>
      <c r="BE117" s="37"/>
    </row>
    <row r="118" customFormat="false" ht="15" hidden="false" customHeight="false" outlineLevel="0" collapsed="false">
      <c r="A118" s="37"/>
      <c r="B118" s="38"/>
      <c r="C118" s="37"/>
      <c r="D118" s="37"/>
      <c r="E118" s="17"/>
      <c r="F118" s="17"/>
      <c r="G118" s="37"/>
      <c r="H118" s="32" t="str">
        <f aca="false">IF($G118="","",IFERROR(INDEX(LISTS!$P$3:$P$145,MATCH($G118,LISTS!$O$3:$O$145,0)),"Other"))</f>
        <v/>
      </c>
      <c r="I118" s="37"/>
      <c r="J118" s="17"/>
      <c r="K118" s="17"/>
      <c r="L118" s="37"/>
      <c r="M118" s="37"/>
      <c r="N118" s="39"/>
      <c r="O118" s="37"/>
      <c r="P118" s="39"/>
      <c r="Q118" s="37"/>
      <c r="R118" s="39"/>
      <c r="S118" s="17"/>
      <c r="T118" s="17"/>
      <c r="U118" s="37"/>
      <c r="V118" s="37"/>
      <c r="W118" s="17"/>
      <c r="X118" s="37"/>
      <c r="Y118" s="17"/>
      <c r="Z118" s="39"/>
      <c r="AA118" s="39"/>
      <c r="AB118" s="37"/>
      <c r="AC118" s="37"/>
      <c r="AD118" s="38"/>
      <c r="AE118" s="37"/>
      <c r="AF118" s="37"/>
      <c r="AG118" s="37"/>
      <c r="AH118" s="37"/>
      <c r="AI118" s="17"/>
      <c r="AJ118" s="37"/>
      <c r="AK118" s="17"/>
      <c r="AL118" s="39"/>
      <c r="AM118" s="17"/>
      <c r="AN118" s="17"/>
      <c r="AO118" s="37"/>
      <c r="AP118" s="17"/>
      <c r="AQ118" s="37"/>
      <c r="AR118" s="37"/>
      <c r="AS118" s="37"/>
      <c r="AT118" s="17"/>
      <c r="AU118" s="37"/>
      <c r="AV118" s="37"/>
      <c r="AW118" s="38"/>
      <c r="AX118" s="37"/>
      <c r="AY118" s="38"/>
      <c r="AZ118" s="34" t="str">
        <f aca="false">IF($E118="","",COUNTA($E118,$F118,$G118,$J118,$L118,$Q118,$U118,$X118,$AM118,$AN118,$AP118,$AR118)/12)</f>
        <v/>
      </c>
      <c r="BA118" s="32" t="str">
        <f aca="false">IF($E118="","",IF(COUNTIF($E$3:$E$402,$E118)&gt;1,"DUPLICATE",""))</f>
        <v/>
      </c>
      <c r="BB118" s="17"/>
      <c r="BC118" s="35" t="str">
        <f aca="false">IF($E118="","",IFERROR(INDEX(SCORING!$C$6:$C$15,MATCH($J118,SCORING!$B$6:$B$15,0)),0)+IFERROR(INDEX(SCORING!$C$18:$C$20,MATCH($U118,SCORING!$B$18:$B$20,0)),0)+IFERROR(INDEX(SCORING!$C$23:$C$26,MATCH($X118,SCORING!$B$23:$B$26,0)),0)+IFERROR(INDEX(SCORING!$C$29:$C$32,MATCH($Q118,SCORING!$B$29:$B$32,0)),0)+IFERROR(INDEX(SCORING!$C$35:$C$37,MATCH($L118,SCORING!$B$35:$B$37,0)),0)+IF($AP118="",0,IF(AND($AQ118="Valid",$AO118="Decision maker"),SCORING!$C$40,IF($AQ118="Valid",SCORING!$C$41,SCORING!$C$42))))</f>
        <v/>
      </c>
      <c r="BD118" s="36" t="str">
        <f aca="false">IF($BC118="","",IF($BC118&gt;=SCORING!$C$46,"A",IF($BC118&gt;=SCORING!$C$47,"B",IF($BC118&gt;=SCORING!$C$48,"C","D"))))</f>
        <v/>
      </c>
      <c r="BE118" s="37"/>
    </row>
    <row r="119" customFormat="false" ht="15" hidden="false" customHeight="false" outlineLevel="0" collapsed="false">
      <c r="A119" s="37"/>
      <c r="B119" s="38"/>
      <c r="C119" s="37"/>
      <c r="D119" s="37"/>
      <c r="E119" s="17"/>
      <c r="F119" s="17"/>
      <c r="G119" s="37"/>
      <c r="H119" s="32" t="str">
        <f aca="false">IF($G119="","",IFERROR(INDEX(LISTS!$P$3:$P$145,MATCH($G119,LISTS!$O$3:$O$145,0)),"Other"))</f>
        <v/>
      </c>
      <c r="I119" s="37"/>
      <c r="J119" s="17"/>
      <c r="K119" s="17"/>
      <c r="L119" s="37"/>
      <c r="M119" s="37"/>
      <c r="N119" s="39"/>
      <c r="O119" s="37"/>
      <c r="P119" s="39"/>
      <c r="Q119" s="37"/>
      <c r="R119" s="39"/>
      <c r="S119" s="17"/>
      <c r="T119" s="17"/>
      <c r="U119" s="37"/>
      <c r="V119" s="37"/>
      <c r="W119" s="17"/>
      <c r="X119" s="37"/>
      <c r="Y119" s="17"/>
      <c r="Z119" s="39"/>
      <c r="AA119" s="39"/>
      <c r="AB119" s="37"/>
      <c r="AC119" s="37"/>
      <c r="AD119" s="38"/>
      <c r="AE119" s="37"/>
      <c r="AF119" s="37"/>
      <c r="AG119" s="37"/>
      <c r="AH119" s="37"/>
      <c r="AI119" s="17"/>
      <c r="AJ119" s="37"/>
      <c r="AK119" s="17"/>
      <c r="AL119" s="39"/>
      <c r="AM119" s="17"/>
      <c r="AN119" s="17"/>
      <c r="AO119" s="37"/>
      <c r="AP119" s="17"/>
      <c r="AQ119" s="37"/>
      <c r="AR119" s="37"/>
      <c r="AS119" s="37"/>
      <c r="AT119" s="17"/>
      <c r="AU119" s="37"/>
      <c r="AV119" s="37"/>
      <c r="AW119" s="38"/>
      <c r="AX119" s="37"/>
      <c r="AY119" s="38"/>
      <c r="AZ119" s="34" t="str">
        <f aca="false">IF($E119="","",COUNTA($E119,$F119,$G119,$J119,$L119,$Q119,$U119,$X119,$AM119,$AN119,$AP119,$AR119)/12)</f>
        <v/>
      </c>
      <c r="BA119" s="32" t="str">
        <f aca="false">IF($E119="","",IF(COUNTIF($E$3:$E$402,$E119)&gt;1,"DUPLICATE",""))</f>
        <v/>
      </c>
      <c r="BB119" s="17"/>
      <c r="BC119" s="35" t="str">
        <f aca="false">IF($E119="","",IFERROR(INDEX(SCORING!$C$6:$C$15,MATCH($J119,SCORING!$B$6:$B$15,0)),0)+IFERROR(INDEX(SCORING!$C$18:$C$20,MATCH($U119,SCORING!$B$18:$B$20,0)),0)+IFERROR(INDEX(SCORING!$C$23:$C$26,MATCH($X119,SCORING!$B$23:$B$26,0)),0)+IFERROR(INDEX(SCORING!$C$29:$C$32,MATCH($Q119,SCORING!$B$29:$B$32,0)),0)+IFERROR(INDEX(SCORING!$C$35:$C$37,MATCH($L119,SCORING!$B$35:$B$37,0)),0)+IF($AP119="",0,IF(AND($AQ119="Valid",$AO119="Decision maker"),SCORING!$C$40,IF($AQ119="Valid",SCORING!$C$41,SCORING!$C$42))))</f>
        <v/>
      </c>
      <c r="BD119" s="36" t="str">
        <f aca="false">IF($BC119="","",IF($BC119&gt;=SCORING!$C$46,"A",IF($BC119&gt;=SCORING!$C$47,"B",IF($BC119&gt;=SCORING!$C$48,"C","D"))))</f>
        <v/>
      </c>
      <c r="BE119" s="37"/>
    </row>
    <row r="120" customFormat="false" ht="15" hidden="false" customHeight="false" outlineLevel="0" collapsed="false">
      <c r="A120" s="37"/>
      <c r="B120" s="38"/>
      <c r="C120" s="37"/>
      <c r="D120" s="37"/>
      <c r="E120" s="17"/>
      <c r="F120" s="17"/>
      <c r="G120" s="37"/>
      <c r="H120" s="32" t="str">
        <f aca="false">IF($G120="","",IFERROR(INDEX(LISTS!$P$3:$P$145,MATCH($G120,LISTS!$O$3:$O$145,0)),"Other"))</f>
        <v/>
      </c>
      <c r="I120" s="37"/>
      <c r="J120" s="17"/>
      <c r="K120" s="17"/>
      <c r="L120" s="37"/>
      <c r="M120" s="37"/>
      <c r="N120" s="39"/>
      <c r="O120" s="37"/>
      <c r="P120" s="39"/>
      <c r="Q120" s="37"/>
      <c r="R120" s="39"/>
      <c r="S120" s="17"/>
      <c r="T120" s="17"/>
      <c r="U120" s="37"/>
      <c r="V120" s="37"/>
      <c r="W120" s="17"/>
      <c r="X120" s="37"/>
      <c r="Y120" s="17"/>
      <c r="Z120" s="39"/>
      <c r="AA120" s="39"/>
      <c r="AB120" s="37"/>
      <c r="AC120" s="37"/>
      <c r="AD120" s="38"/>
      <c r="AE120" s="37"/>
      <c r="AF120" s="37"/>
      <c r="AG120" s="37"/>
      <c r="AH120" s="37"/>
      <c r="AI120" s="17"/>
      <c r="AJ120" s="37"/>
      <c r="AK120" s="17"/>
      <c r="AL120" s="39"/>
      <c r="AM120" s="17"/>
      <c r="AN120" s="17"/>
      <c r="AO120" s="37"/>
      <c r="AP120" s="17"/>
      <c r="AQ120" s="37"/>
      <c r="AR120" s="37"/>
      <c r="AS120" s="37"/>
      <c r="AT120" s="17"/>
      <c r="AU120" s="37"/>
      <c r="AV120" s="37"/>
      <c r="AW120" s="38"/>
      <c r="AX120" s="37"/>
      <c r="AY120" s="38"/>
      <c r="AZ120" s="34" t="str">
        <f aca="false">IF($E120="","",COUNTA($E120,$F120,$G120,$J120,$L120,$Q120,$U120,$X120,$AM120,$AN120,$AP120,$AR120)/12)</f>
        <v/>
      </c>
      <c r="BA120" s="32" t="str">
        <f aca="false">IF($E120="","",IF(COUNTIF($E$3:$E$402,$E120)&gt;1,"DUPLICATE",""))</f>
        <v/>
      </c>
      <c r="BB120" s="17"/>
      <c r="BC120" s="35" t="str">
        <f aca="false">IF($E120="","",IFERROR(INDEX(SCORING!$C$6:$C$15,MATCH($J120,SCORING!$B$6:$B$15,0)),0)+IFERROR(INDEX(SCORING!$C$18:$C$20,MATCH($U120,SCORING!$B$18:$B$20,0)),0)+IFERROR(INDEX(SCORING!$C$23:$C$26,MATCH($X120,SCORING!$B$23:$B$26,0)),0)+IFERROR(INDEX(SCORING!$C$29:$C$32,MATCH($Q120,SCORING!$B$29:$B$32,0)),0)+IFERROR(INDEX(SCORING!$C$35:$C$37,MATCH($L120,SCORING!$B$35:$B$37,0)),0)+IF($AP120="",0,IF(AND($AQ120="Valid",$AO120="Decision maker"),SCORING!$C$40,IF($AQ120="Valid",SCORING!$C$41,SCORING!$C$42))))</f>
        <v/>
      </c>
      <c r="BD120" s="36" t="str">
        <f aca="false">IF($BC120="","",IF($BC120&gt;=SCORING!$C$46,"A",IF($BC120&gt;=SCORING!$C$47,"B",IF($BC120&gt;=SCORING!$C$48,"C","D"))))</f>
        <v/>
      </c>
      <c r="BE120" s="37"/>
    </row>
    <row r="121" customFormat="false" ht="15" hidden="false" customHeight="false" outlineLevel="0" collapsed="false">
      <c r="A121" s="37"/>
      <c r="B121" s="38"/>
      <c r="C121" s="37"/>
      <c r="D121" s="37"/>
      <c r="E121" s="17"/>
      <c r="F121" s="17"/>
      <c r="G121" s="37"/>
      <c r="H121" s="32" t="str">
        <f aca="false">IF($G121="","",IFERROR(INDEX(LISTS!$P$3:$P$145,MATCH($G121,LISTS!$O$3:$O$145,0)),"Other"))</f>
        <v/>
      </c>
      <c r="I121" s="37"/>
      <c r="J121" s="17"/>
      <c r="K121" s="17"/>
      <c r="L121" s="37"/>
      <c r="M121" s="37"/>
      <c r="N121" s="39"/>
      <c r="O121" s="37"/>
      <c r="P121" s="39"/>
      <c r="Q121" s="37"/>
      <c r="R121" s="39"/>
      <c r="S121" s="17"/>
      <c r="T121" s="17"/>
      <c r="U121" s="37"/>
      <c r="V121" s="37"/>
      <c r="W121" s="17"/>
      <c r="X121" s="37"/>
      <c r="Y121" s="17"/>
      <c r="Z121" s="39"/>
      <c r="AA121" s="39"/>
      <c r="AB121" s="37"/>
      <c r="AC121" s="37"/>
      <c r="AD121" s="38"/>
      <c r="AE121" s="37"/>
      <c r="AF121" s="37"/>
      <c r="AG121" s="37"/>
      <c r="AH121" s="37"/>
      <c r="AI121" s="17"/>
      <c r="AJ121" s="37"/>
      <c r="AK121" s="17"/>
      <c r="AL121" s="39"/>
      <c r="AM121" s="17"/>
      <c r="AN121" s="17"/>
      <c r="AO121" s="37"/>
      <c r="AP121" s="17"/>
      <c r="AQ121" s="37"/>
      <c r="AR121" s="37"/>
      <c r="AS121" s="37"/>
      <c r="AT121" s="17"/>
      <c r="AU121" s="37"/>
      <c r="AV121" s="37"/>
      <c r="AW121" s="38"/>
      <c r="AX121" s="37"/>
      <c r="AY121" s="38"/>
      <c r="AZ121" s="34" t="str">
        <f aca="false">IF($E121="","",COUNTA($E121,$F121,$G121,$J121,$L121,$Q121,$U121,$X121,$AM121,$AN121,$AP121,$AR121)/12)</f>
        <v/>
      </c>
      <c r="BA121" s="32" t="str">
        <f aca="false">IF($E121="","",IF(COUNTIF($E$3:$E$402,$E121)&gt;1,"DUPLICATE",""))</f>
        <v/>
      </c>
      <c r="BB121" s="17"/>
      <c r="BC121" s="35" t="str">
        <f aca="false">IF($E121="","",IFERROR(INDEX(SCORING!$C$6:$C$15,MATCH($J121,SCORING!$B$6:$B$15,0)),0)+IFERROR(INDEX(SCORING!$C$18:$C$20,MATCH($U121,SCORING!$B$18:$B$20,0)),0)+IFERROR(INDEX(SCORING!$C$23:$C$26,MATCH($X121,SCORING!$B$23:$B$26,0)),0)+IFERROR(INDEX(SCORING!$C$29:$C$32,MATCH($Q121,SCORING!$B$29:$B$32,0)),0)+IFERROR(INDEX(SCORING!$C$35:$C$37,MATCH($L121,SCORING!$B$35:$B$37,0)),0)+IF($AP121="",0,IF(AND($AQ121="Valid",$AO121="Decision maker"),SCORING!$C$40,IF($AQ121="Valid",SCORING!$C$41,SCORING!$C$42))))</f>
        <v/>
      </c>
      <c r="BD121" s="36" t="str">
        <f aca="false">IF($BC121="","",IF($BC121&gt;=SCORING!$C$46,"A",IF($BC121&gt;=SCORING!$C$47,"B",IF($BC121&gt;=SCORING!$C$48,"C","D"))))</f>
        <v/>
      </c>
      <c r="BE121" s="37"/>
    </row>
    <row r="122" customFormat="false" ht="15" hidden="false" customHeight="false" outlineLevel="0" collapsed="false">
      <c r="A122" s="37"/>
      <c r="B122" s="38"/>
      <c r="C122" s="37"/>
      <c r="D122" s="37"/>
      <c r="E122" s="17"/>
      <c r="F122" s="17"/>
      <c r="G122" s="37"/>
      <c r="H122" s="32" t="str">
        <f aca="false">IF($G122="","",IFERROR(INDEX(LISTS!$P$3:$P$145,MATCH($G122,LISTS!$O$3:$O$145,0)),"Other"))</f>
        <v/>
      </c>
      <c r="I122" s="37"/>
      <c r="J122" s="17"/>
      <c r="K122" s="17"/>
      <c r="L122" s="37"/>
      <c r="M122" s="37"/>
      <c r="N122" s="39"/>
      <c r="O122" s="37"/>
      <c r="P122" s="39"/>
      <c r="Q122" s="37"/>
      <c r="R122" s="39"/>
      <c r="S122" s="17"/>
      <c r="T122" s="17"/>
      <c r="U122" s="37"/>
      <c r="V122" s="37"/>
      <c r="W122" s="17"/>
      <c r="X122" s="37"/>
      <c r="Y122" s="17"/>
      <c r="Z122" s="39"/>
      <c r="AA122" s="39"/>
      <c r="AB122" s="37"/>
      <c r="AC122" s="37"/>
      <c r="AD122" s="38"/>
      <c r="AE122" s="37"/>
      <c r="AF122" s="37"/>
      <c r="AG122" s="37"/>
      <c r="AH122" s="37"/>
      <c r="AI122" s="17"/>
      <c r="AJ122" s="37"/>
      <c r="AK122" s="17"/>
      <c r="AL122" s="39"/>
      <c r="AM122" s="17"/>
      <c r="AN122" s="17"/>
      <c r="AO122" s="37"/>
      <c r="AP122" s="17"/>
      <c r="AQ122" s="37"/>
      <c r="AR122" s="37"/>
      <c r="AS122" s="37"/>
      <c r="AT122" s="17"/>
      <c r="AU122" s="37"/>
      <c r="AV122" s="37"/>
      <c r="AW122" s="38"/>
      <c r="AX122" s="37"/>
      <c r="AY122" s="38"/>
      <c r="AZ122" s="34" t="str">
        <f aca="false">IF($E122="","",COUNTA($E122,$F122,$G122,$J122,$L122,$Q122,$U122,$X122,$AM122,$AN122,$AP122,$AR122)/12)</f>
        <v/>
      </c>
      <c r="BA122" s="32" t="str">
        <f aca="false">IF($E122="","",IF(COUNTIF($E$3:$E$402,$E122)&gt;1,"DUPLICATE",""))</f>
        <v/>
      </c>
      <c r="BB122" s="17"/>
      <c r="BC122" s="35" t="str">
        <f aca="false">IF($E122="","",IFERROR(INDEX(SCORING!$C$6:$C$15,MATCH($J122,SCORING!$B$6:$B$15,0)),0)+IFERROR(INDEX(SCORING!$C$18:$C$20,MATCH($U122,SCORING!$B$18:$B$20,0)),0)+IFERROR(INDEX(SCORING!$C$23:$C$26,MATCH($X122,SCORING!$B$23:$B$26,0)),0)+IFERROR(INDEX(SCORING!$C$29:$C$32,MATCH($Q122,SCORING!$B$29:$B$32,0)),0)+IFERROR(INDEX(SCORING!$C$35:$C$37,MATCH($L122,SCORING!$B$35:$B$37,0)),0)+IF($AP122="",0,IF(AND($AQ122="Valid",$AO122="Decision maker"),SCORING!$C$40,IF($AQ122="Valid",SCORING!$C$41,SCORING!$C$42))))</f>
        <v/>
      </c>
      <c r="BD122" s="36" t="str">
        <f aca="false">IF($BC122="","",IF($BC122&gt;=SCORING!$C$46,"A",IF($BC122&gt;=SCORING!$C$47,"B",IF($BC122&gt;=SCORING!$C$48,"C","D"))))</f>
        <v/>
      </c>
      <c r="BE122" s="37"/>
    </row>
    <row r="123" customFormat="false" ht="15" hidden="false" customHeight="false" outlineLevel="0" collapsed="false">
      <c r="A123" s="37"/>
      <c r="B123" s="38"/>
      <c r="C123" s="37"/>
      <c r="D123" s="37"/>
      <c r="E123" s="17"/>
      <c r="F123" s="17"/>
      <c r="G123" s="37"/>
      <c r="H123" s="32" t="str">
        <f aca="false">IF($G123="","",IFERROR(INDEX(LISTS!$P$3:$P$145,MATCH($G123,LISTS!$O$3:$O$145,0)),"Other"))</f>
        <v/>
      </c>
      <c r="I123" s="37"/>
      <c r="J123" s="17"/>
      <c r="K123" s="17"/>
      <c r="L123" s="37"/>
      <c r="M123" s="37"/>
      <c r="N123" s="39"/>
      <c r="O123" s="37"/>
      <c r="P123" s="39"/>
      <c r="Q123" s="37"/>
      <c r="R123" s="39"/>
      <c r="S123" s="17"/>
      <c r="T123" s="17"/>
      <c r="U123" s="37"/>
      <c r="V123" s="37"/>
      <c r="W123" s="17"/>
      <c r="X123" s="37"/>
      <c r="Y123" s="17"/>
      <c r="Z123" s="39"/>
      <c r="AA123" s="39"/>
      <c r="AB123" s="37"/>
      <c r="AC123" s="37"/>
      <c r="AD123" s="38"/>
      <c r="AE123" s="37"/>
      <c r="AF123" s="37"/>
      <c r="AG123" s="37"/>
      <c r="AH123" s="37"/>
      <c r="AI123" s="17"/>
      <c r="AJ123" s="37"/>
      <c r="AK123" s="17"/>
      <c r="AL123" s="39"/>
      <c r="AM123" s="17"/>
      <c r="AN123" s="17"/>
      <c r="AO123" s="37"/>
      <c r="AP123" s="17"/>
      <c r="AQ123" s="37"/>
      <c r="AR123" s="37"/>
      <c r="AS123" s="37"/>
      <c r="AT123" s="17"/>
      <c r="AU123" s="37"/>
      <c r="AV123" s="37"/>
      <c r="AW123" s="38"/>
      <c r="AX123" s="37"/>
      <c r="AY123" s="38"/>
      <c r="AZ123" s="34" t="str">
        <f aca="false">IF($E123="","",COUNTA($E123,$F123,$G123,$J123,$L123,$Q123,$U123,$X123,$AM123,$AN123,$AP123,$AR123)/12)</f>
        <v/>
      </c>
      <c r="BA123" s="32" t="str">
        <f aca="false">IF($E123="","",IF(COUNTIF($E$3:$E$402,$E123)&gt;1,"DUPLICATE",""))</f>
        <v/>
      </c>
      <c r="BB123" s="17"/>
      <c r="BC123" s="35" t="str">
        <f aca="false">IF($E123="","",IFERROR(INDEX(SCORING!$C$6:$C$15,MATCH($J123,SCORING!$B$6:$B$15,0)),0)+IFERROR(INDEX(SCORING!$C$18:$C$20,MATCH($U123,SCORING!$B$18:$B$20,0)),0)+IFERROR(INDEX(SCORING!$C$23:$C$26,MATCH($X123,SCORING!$B$23:$B$26,0)),0)+IFERROR(INDEX(SCORING!$C$29:$C$32,MATCH($Q123,SCORING!$B$29:$B$32,0)),0)+IFERROR(INDEX(SCORING!$C$35:$C$37,MATCH($L123,SCORING!$B$35:$B$37,0)),0)+IF($AP123="",0,IF(AND($AQ123="Valid",$AO123="Decision maker"),SCORING!$C$40,IF($AQ123="Valid",SCORING!$C$41,SCORING!$C$42))))</f>
        <v/>
      </c>
      <c r="BD123" s="36" t="str">
        <f aca="false">IF($BC123="","",IF($BC123&gt;=SCORING!$C$46,"A",IF($BC123&gt;=SCORING!$C$47,"B",IF($BC123&gt;=SCORING!$C$48,"C","D"))))</f>
        <v/>
      </c>
      <c r="BE123" s="37"/>
    </row>
    <row r="124" customFormat="false" ht="15" hidden="false" customHeight="false" outlineLevel="0" collapsed="false">
      <c r="A124" s="37"/>
      <c r="B124" s="38"/>
      <c r="C124" s="37"/>
      <c r="D124" s="37"/>
      <c r="E124" s="17"/>
      <c r="F124" s="17"/>
      <c r="G124" s="37"/>
      <c r="H124" s="32" t="str">
        <f aca="false">IF($G124="","",IFERROR(INDEX(LISTS!$P$3:$P$145,MATCH($G124,LISTS!$O$3:$O$145,0)),"Other"))</f>
        <v/>
      </c>
      <c r="I124" s="37"/>
      <c r="J124" s="17"/>
      <c r="K124" s="17"/>
      <c r="L124" s="37"/>
      <c r="M124" s="37"/>
      <c r="N124" s="39"/>
      <c r="O124" s="37"/>
      <c r="P124" s="39"/>
      <c r="Q124" s="37"/>
      <c r="R124" s="39"/>
      <c r="S124" s="17"/>
      <c r="T124" s="17"/>
      <c r="U124" s="37"/>
      <c r="V124" s="37"/>
      <c r="W124" s="17"/>
      <c r="X124" s="37"/>
      <c r="Y124" s="17"/>
      <c r="Z124" s="39"/>
      <c r="AA124" s="39"/>
      <c r="AB124" s="37"/>
      <c r="AC124" s="37"/>
      <c r="AD124" s="38"/>
      <c r="AE124" s="37"/>
      <c r="AF124" s="37"/>
      <c r="AG124" s="37"/>
      <c r="AH124" s="37"/>
      <c r="AI124" s="17"/>
      <c r="AJ124" s="37"/>
      <c r="AK124" s="17"/>
      <c r="AL124" s="39"/>
      <c r="AM124" s="17"/>
      <c r="AN124" s="17"/>
      <c r="AO124" s="37"/>
      <c r="AP124" s="17"/>
      <c r="AQ124" s="37"/>
      <c r="AR124" s="37"/>
      <c r="AS124" s="37"/>
      <c r="AT124" s="17"/>
      <c r="AU124" s="37"/>
      <c r="AV124" s="37"/>
      <c r="AW124" s="38"/>
      <c r="AX124" s="37"/>
      <c r="AY124" s="38"/>
      <c r="AZ124" s="34" t="str">
        <f aca="false">IF($E124="","",COUNTA($E124,$F124,$G124,$J124,$L124,$Q124,$U124,$X124,$AM124,$AN124,$AP124,$AR124)/12)</f>
        <v/>
      </c>
      <c r="BA124" s="32" t="str">
        <f aca="false">IF($E124="","",IF(COUNTIF($E$3:$E$402,$E124)&gt;1,"DUPLICATE",""))</f>
        <v/>
      </c>
      <c r="BB124" s="17"/>
      <c r="BC124" s="35" t="str">
        <f aca="false">IF($E124="","",IFERROR(INDEX(SCORING!$C$6:$C$15,MATCH($J124,SCORING!$B$6:$B$15,0)),0)+IFERROR(INDEX(SCORING!$C$18:$C$20,MATCH($U124,SCORING!$B$18:$B$20,0)),0)+IFERROR(INDEX(SCORING!$C$23:$C$26,MATCH($X124,SCORING!$B$23:$B$26,0)),0)+IFERROR(INDEX(SCORING!$C$29:$C$32,MATCH($Q124,SCORING!$B$29:$B$32,0)),0)+IFERROR(INDEX(SCORING!$C$35:$C$37,MATCH($L124,SCORING!$B$35:$B$37,0)),0)+IF($AP124="",0,IF(AND($AQ124="Valid",$AO124="Decision maker"),SCORING!$C$40,IF($AQ124="Valid",SCORING!$C$41,SCORING!$C$42))))</f>
        <v/>
      </c>
      <c r="BD124" s="36" t="str">
        <f aca="false">IF($BC124="","",IF($BC124&gt;=SCORING!$C$46,"A",IF($BC124&gt;=SCORING!$C$47,"B",IF($BC124&gt;=SCORING!$C$48,"C","D"))))</f>
        <v/>
      </c>
      <c r="BE124" s="37"/>
    </row>
    <row r="125" customFormat="false" ht="15" hidden="false" customHeight="false" outlineLevel="0" collapsed="false">
      <c r="A125" s="37"/>
      <c r="B125" s="38"/>
      <c r="C125" s="37"/>
      <c r="D125" s="37"/>
      <c r="E125" s="17"/>
      <c r="F125" s="17"/>
      <c r="G125" s="37"/>
      <c r="H125" s="32" t="str">
        <f aca="false">IF($G125="","",IFERROR(INDEX(LISTS!$P$3:$P$145,MATCH($G125,LISTS!$O$3:$O$145,0)),"Other"))</f>
        <v/>
      </c>
      <c r="I125" s="37"/>
      <c r="J125" s="17"/>
      <c r="K125" s="17"/>
      <c r="L125" s="37"/>
      <c r="M125" s="37"/>
      <c r="N125" s="39"/>
      <c r="O125" s="37"/>
      <c r="P125" s="39"/>
      <c r="Q125" s="37"/>
      <c r="R125" s="39"/>
      <c r="S125" s="17"/>
      <c r="T125" s="17"/>
      <c r="U125" s="37"/>
      <c r="V125" s="37"/>
      <c r="W125" s="17"/>
      <c r="X125" s="37"/>
      <c r="Y125" s="17"/>
      <c r="Z125" s="39"/>
      <c r="AA125" s="39"/>
      <c r="AB125" s="37"/>
      <c r="AC125" s="37"/>
      <c r="AD125" s="38"/>
      <c r="AE125" s="37"/>
      <c r="AF125" s="37"/>
      <c r="AG125" s="37"/>
      <c r="AH125" s="37"/>
      <c r="AI125" s="17"/>
      <c r="AJ125" s="37"/>
      <c r="AK125" s="17"/>
      <c r="AL125" s="39"/>
      <c r="AM125" s="17"/>
      <c r="AN125" s="17"/>
      <c r="AO125" s="37"/>
      <c r="AP125" s="17"/>
      <c r="AQ125" s="37"/>
      <c r="AR125" s="37"/>
      <c r="AS125" s="37"/>
      <c r="AT125" s="17"/>
      <c r="AU125" s="37"/>
      <c r="AV125" s="37"/>
      <c r="AW125" s="38"/>
      <c r="AX125" s="37"/>
      <c r="AY125" s="38"/>
      <c r="AZ125" s="34" t="str">
        <f aca="false">IF($E125="","",COUNTA($E125,$F125,$G125,$J125,$L125,$Q125,$U125,$X125,$AM125,$AN125,$AP125,$AR125)/12)</f>
        <v/>
      </c>
      <c r="BA125" s="32" t="str">
        <f aca="false">IF($E125="","",IF(COUNTIF($E$3:$E$402,$E125)&gt;1,"DUPLICATE",""))</f>
        <v/>
      </c>
      <c r="BB125" s="17"/>
      <c r="BC125" s="35" t="str">
        <f aca="false">IF($E125="","",IFERROR(INDEX(SCORING!$C$6:$C$15,MATCH($J125,SCORING!$B$6:$B$15,0)),0)+IFERROR(INDEX(SCORING!$C$18:$C$20,MATCH($U125,SCORING!$B$18:$B$20,0)),0)+IFERROR(INDEX(SCORING!$C$23:$C$26,MATCH($X125,SCORING!$B$23:$B$26,0)),0)+IFERROR(INDEX(SCORING!$C$29:$C$32,MATCH($Q125,SCORING!$B$29:$B$32,0)),0)+IFERROR(INDEX(SCORING!$C$35:$C$37,MATCH($L125,SCORING!$B$35:$B$37,0)),0)+IF($AP125="",0,IF(AND($AQ125="Valid",$AO125="Decision maker"),SCORING!$C$40,IF($AQ125="Valid",SCORING!$C$41,SCORING!$C$42))))</f>
        <v/>
      </c>
      <c r="BD125" s="36" t="str">
        <f aca="false">IF($BC125="","",IF($BC125&gt;=SCORING!$C$46,"A",IF($BC125&gt;=SCORING!$C$47,"B",IF($BC125&gt;=SCORING!$C$48,"C","D"))))</f>
        <v/>
      </c>
      <c r="BE125" s="37"/>
    </row>
    <row r="126" customFormat="false" ht="15" hidden="false" customHeight="false" outlineLevel="0" collapsed="false">
      <c r="A126" s="37"/>
      <c r="B126" s="38"/>
      <c r="C126" s="37"/>
      <c r="D126" s="37"/>
      <c r="E126" s="17"/>
      <c r="F126" s="17"/>
      <c r="G126" s="37"/>
      <c r="H126" s="32" t="str">
        <f aca="false">IF($G126="","",IFERROR(INDEX(LISTS!$P$3:$P$145,MATCH($G126,LISTS!$O$3:$O$145,0)),"Other"))</f>
        <v/>
      </c>
      <c r="I126" s="37"/>
      <c r="J126" s="17"/>
      <c r="K126" s="17"/>
      <c r="L126" s="37"/>
      <c r="M126" s="37"/>
      <c r="N126" s="39"/>
      <c r="O126" s="37"/>
      <c r="P126" s="39"/>
      <c r="Q126" s="37"/>
      <c r="R126" s="39"/>
      <c r="S126" s="17"/>
      <c r="T126" s="17"/>
      <c r="U126" s="37"/>
      <c r="V126" s="37"/>
      <c r="W126" s="17"/>
      <c r="X126" s="37"/>
      <c r="Y126" s="17"/>
      <c r="Z126" s="39"/>
      <c r="AA126" s="39"/>
      <c r="AB126" s="37"/>
      <c r="AC126" s="37"/>
      <c r="AD126" s="38"/>
      <c r="AE126" s="37"/>
      <c r="AF126" s="37"/>
      <c r="AG126" s="37"/>
      <c r="AH126" s="37"/>
      <c r="AI126" s="17"/>
      <c r="AJ126" s="37"/>
      <c r="AK126" s="17"/>
      <c r="AL126" s="39"/>
      <c r="AM126" s="17"/>
      <c r="AN126" s="17"/>
      <c r="AO126" s="37"/>
      <c r="AP126" s="17"/>
      <c r="AQ126" s="37"/>
      <c r="AR126" s="37"/>
      <c r="AS126" s="37"/>
      <c r="AT126" s="17"/>
      <c r="AU126" s="37"/>
      <c r="AV126" s="37"/>
      <c r="AW126" s="38"/>
      <c r="AX126" s="37"/>
      <c r="AY126" s="38"/>
      <c r="AZ126" s="34" t="str">
        <f aca="false">IF($E126="","",COUNTA($E126,$F126,$G126,$J126,$L126,$Q126,$U126,$X126,$AM126,$AN126,$AP126,$AR126)/12)</f>
        <v/>
      </c>
      <c r="BA126" s="32" t="str">
        <f aca="false">IF($E126="","",IF(COUNTIF($E$3:$E$402,$E126)&gt;1,"DUPLICATE",""))</f>
        <v/>
      </c>
      <c r="BB126" s="17"/>
      <c r="BC126" s="35" t="str">
        <f aca="false">IF($E126="","",IFERROR(INDEX(SCORING!$C$6:$C$15,MATCH($J126,SCORING!$B$6:$B$15,0)),0)+IFERROR(INDEX(SCORING!$C$18:$C$20,MATCH($U126,SCORING!$B$18:$B$20,0)),0)+IFERROR(INDEX(SCORING!$C$23:$C$26,MATCH($X126,SCORING!$B$23:$B$26,0)),0)+IFERROR(INDEX(SCORING!$C$29:$C$32,MATCH($Q126,SCORING!$B$29:$B$32,0)),0)+IFERROR(INDEX(SCORING!$C$35:$C$37,MATCH($L126,SCORING!$B$35:$B$37,0)),0)+IF($AP126="",0,IF(AND($AQ126="Valid",$AO126="Decision maker"),SCORING!$C$40,IF($AQ126="Valid",SCORING!$C$41,SCORING!$C$42))))</f>
        <v/>
      </c>
      <c r="BD126" s="36" t="str">
        <f aca="false">IF($BC126="","",IF($BC126&gt;=SCORING!$C$46,"A",IF($BC126&gt;=SCORING!$C$47,"B",IF($BC126&gt;=SCORING!$C$48,"C","D"))))</f>
        <v/>
      </c>
      <c r="BE126" s="37"/>
    </row>
    <row r="127" customFormat="false" ht="15" hidden="false" customHeight="false" outlineLevel="0" collapsed="false">
      <c r="A127" s="37"/>
      <c r="B127" s="38"/>
      <c r="C127" s="37"/>
      <c r="D127" s="37"/>
      <c r="E127" s="17"/>
      <c r="F127" s="17"/>
      <c r="G127" s="37"/>
      <c r="H127" s="32" t="str">
        <f aca="false">IF($G127="","",IFERROR(INDEX(LISTS!$P$3:$P$145,MATCH($G127,LISTS!$O$3:$O$145,0)),"Other"))</f>
        <v/>
      </c>
      <c r="I127" s="37"/>
      <c r="J127" s="17"/>
      <c r="K127" s="17"/>
      <c r="L127" s="37"/>
      <c r="M127" s="37"/>
      <c r="N127" s="39"/>
      <c r="O127" s="37"/>
      <c r="P127" s="39"/>
      <c r="Q127" s="37"/>
      <c r="R127" s="39"/>
      <c r="S127" s="17"/>
      <c r="T127" s="17"/>
      <c r="U127" s="37"/>
      <c r="V127" s="37"/>
      <c r="W127" s="17"/>
      <c r="X127" s="37"/>
      <c r="Y127" s="17"/>
      <c r="Z127" s="39"/>
      <c r="AA127" s="39"/>
      <c r="AB127" s="37"/>
      <c r="AC127" s="37"/>
      <c r="AD127" s="38"/>
      <c r="AE127" s="37"/>
      <c r="AF127" s="37"/>
      <c r="AG127" s="37"/>
      <c r="AH127" s="37"/>
      <c r="AI127" s="17"/>
      <c r="AJ127" s="37"/>
      <c r="AK127" s="17"/>
      <c r="AL127" s="39"/>
      <c r="AM127" s="17"/>
      <c r="AN127" s="17"/>
      <c r="AO127" s="37"/>
      <c r="AP127" s="17"/>
      <c r="AQ127" s="37"/>
      <c r="AR127" s="37"/>
      <c r="AS127" s="37"/>
      <c r="AT127" s="17"/>
      <c r="AU127" s="37"/>
      <c r="AV127" s="37"/>
      <c r="AW127" s="38"/>
      <c r="AX127" s="37"/>
      <c r="AY127" s="38"/>
      <c r="AZ127" s="34" t="str">
        <f aca="false">IF($E127="","",COUNTA($E127,$F127,$G127,$J127,$L127,$Q127,$U127,$X127,$AM127,$AN127,$AP127,$AR127)/12)</f>
        <v/>
      </c>
      <c r="BA127" s="32" t="str">
        <f aca="false">IF($E127="","",IF(COUNTIF($E$3:$E$402,$E127)&gt;1,"DUPLICATE",""))</f>
        <v/>
      </c>
      <c r="BB127" s="17"/>
      <c r="BC127" s="35" t="str">
        <f aca="false">IF($E127="","",IFERROR(INDEX(SCORING!$C$6:$C$15,MATCH($J127,SCORING!$B$6:$B$15,0)),0)+IFERROR(INDEX(SCORING!$C$18:$C$20,MATCH($U127,SCORING!$B$18:$B$20,0)),0)+IFERROR(INDEX(SCORING!$C$23:$C$26,MATCH($X127,SCORING!$B$23:$B$26,0)),0)+IFERROR(INDEX(SCORING!$C$29:$C$32,MATCH($Q127,SCORING!$B$29:$B$32,0)),0)+IFERROR(INDEX(SCORING!$C$35:$C$37,MATCH($L127,SCORING!$B$35:$B$37,0)),0)+IF($AP127="",0,IF(AND($AQ127="Valid",$AO127="Decision maker"),SCORING!$C$40,IF($AQ127="Valid",SCORING!$C$41,SCORING!$C$42))))</f>
        <v/>
      </c>
      <c r="BD127" s="36" t="str">
        <f aca="false">IF($BC127="","",IF($BC127&gt;=SCORING!$C$46,"A",IF($BC127&gt;=SCORING!$C$47,"B",IF($BC127&gt;=SCORING!$C$48,"C","D"))))</f>
        <v/>
      </c>
      <c r="BE127" s="37"/>
    </row>
    <row r="128" customFormat="false" ht="15" hidden="false" customHeight="false" outlineLevel="0" collapsed="false">
      <c r="A128" s="37"/>
      <c r="B128" s="38"/>
      <c r="C128" s="37"/>
      <c r="D128" s="37"/>
      <c r="E128" s="17"/>
      <c r="F128" s="17"/>
      <c r="G128" s="37"/>
      <c r="H128" s="32" t="str">
        <f aca="false">IF($G128="","",IFERROR(INDEX(LISTS!$P$3:$P$145,MATCH($G128,LISTS!$O$3:$O$145,0)),"Other"))</f>
        <v/>
      </c>
      <c r="I128" s="37"/>
      <c r="J128" s="17"/>
      <c r="K128" s="17"/>
      <c r="L128" s="37"/>
      <c r="M128" s="37"/>
      <c r="N128" s="39"/>
      <c r="O128" s="37"/>
      <c r="P128" s="39"/>
      <c r="Q128" s="37"/>
      <c r="R128" s="39"/>
      <c r="S128" s="17"/>
      <c r="T128" s="17"/>
      <c r="U128" s="37"/>
      <c r="V128" s="37"/>
      <c r="W128" s="17"/>
      <c r="X128" s="37"/>
      <c r="Y128" s="17"/>
      <c r="Z128" s="39"/>
      <c r="AA128" s="39"/>
      <c r="AB128" s="37"/>
      <c r="AC128" s="37"/>
      <c r="AD128" s="38"/>
      <c r="AE128" s="37"/>
      <c r="AF128" s="37"/>
      <c r="AG128" s="37"/>
      <c r="AH128" s="37"/>
      <c r="AI128" s="17"/>
      <c r="AJ128" s="37"/>
      <c r="AK128" s="17"/>
      <c r="AL128" s="39"/>
      <c r="AM128" s="17"/>
      <c r="AN128" s="17"/>
      <c r="AO128" s="37"/>
      <c r="AP128" s="17"/>
      <c r="AQ128" s="37"/>
      <c r="AR128" s="37"/>
      <c r="AS128" s="37"/>
      <c r="AT128" s="17"/>
      <c r="AU128" s="37"/>
      <c r="AV128" s="37"/>
      <c r="AW128" s="38"/>
      <c r="AX128" s="37"/>
      <c r="AY128" s="38"/>
      <c r="AZ128" s="34" t="str">
        <f aca="false">IF($E128="","",COUNTA($E128,$F128,$G128,$J128,$L128,$Q128,$U128,$X128,$AM128,$AN128,$AP128,$AR128)/12)</f>
        <v/>
      </c>
      <c r="BA128" s="32" t="str">
        <f aca="false">IF($E128="","",IF(COUNTIF($E$3:$E$402,$E128)&gt;1,"DUPLICATE",""))</f>
        <v/>
      </c>
      <c r="BB128" s="17"/>
      <c r="BC128" s="35" t="str">
        <f aca="false">IF($E128="","",IFERROR(INDEX(SCORING!$C$6:$C$15,MATCH($J128,SCORING!$B$6:$B$15,0)),0)+IFERROR(INDEX(SCORING!$C$18:$C$20,MATCH($U128,SCORING!$B$18:$B$20,0)),0)+IFERROR(INDEX(SCORING!$C$23:$C$26,MATCH($X128,SCORING!$B$23:$B$26,0)),0)+IFERROR(INDEX(SCORING!$C$29:$C$32,MATCH($Q128,SCORING!$B$29:$B$32,0)),0)+IFERROR(INDEX(SCORING!$C$35:$C$37,MATCH($L128,SCORING!$B$35:$B$37,0)),0)+IF($AP128="",0,IF(AND($AQ128="Valid",$AO128="Decision maker"),SCORING!$C$40,IF($AQ128="Valid",SCORING!$C$41,SCORING!$C$42))))</f>
        <v/>
      </c>
      <c r="BD128" s="36" t="str">
        <f aca="false">IF($BC128="","",IF($BC128&gt;=SCORING!$C$46,"A",IF($BC128&gt;=SCORING!$C$47,"B",IF($BC128&gt;=SCORING!$C$48,"C","D"))))</f>
        <v/>
      </c>
      <c r="BE128" s="37"/>
    </row>
    <row r="129" customFormat="false" ht="15" hidden="false" customHeight="false" outlineLevel="0" collapsed="false">
      <c r="A129" s="37"/>
      <c r="B129" s="38"/>
      <c r="C129" s="37"/>
      <c r="D129" s="37"/>
      <c r="E129" s="17"/>
      <c r="F129" s="17"/>
      <c r="G129" s="37"/>
      <c r="H129" s="32" t="str">
        <f aca="false">IF($G129="","",IFERROR(INDEX(LISTS!$P$3:$P$145,MATCH($G129,LISTS!$O$3:$O$145,0)),"Other"))</f>
        <v/>
      </c>
      <c r="I129" s="37"/>
      <c r="J129" s="17"/>
      <c r="K129" s="17"/>
      <c r="L129" s="37"/>
      <c r="M129" s="37"/>
      <c r="N129" s="39"/>
      <c r="O129" s="37"/>
      <c r="P129" s="39"/>
      <c r="Q129" s="37"/>
      <c r="R129" s="39"/>
      <c r="S129" s="17"/>
      <c r="T129" s="17"/>
      <c r="U129" s="37"/>
      <c r="V129" s="37"/>
      <c r="W129" s="17"/>
      <c r="X129" s="37"/>
      <c r="Y129" s="17"/>
      <c r="Z129" s="39"/>
      <c r="AA129" s="39"/>
      <c r="AB129" s="37"/>
      <c r="AC129" s="37"/>
      <c r="AD129" s="38"/>
      <c r="AE129" s="37"/>
      <c r="AF129" s="37"/>
      <c r="AG129" s="37"/>
      <c r="AH129" s="37"/>
      <c r="AI129" s="17"/>
      <c r="AJ129" s="37"/>
      <c r="AK129" s="17"/>
      <c r="AL129" s="39"/>
      <c r="AM129" s="17"/>
      <c r="AN129" s="17"/>
      <c r="AO129" s="37"/>
      <c r="AP129" s="17"/>
      <c r="AQ129" s="37"/>
      <c r="AR129" s="37"/>
      <c r="AS129" s="37"/>
      <c r="AT129" s="17"/>
      <c r="AU129" s="37"/>
      <c r="AV129" s="37"/>
      <c r="AW129" s="38"/>
      <c r="AX129" s="37"/>
      <c r="AY129" s="38"/>
      <c r="AZ129" s="34" t="str">
        <f aca="false">IF($E129="","",COUNTA($E129,$F129,$G129,$J129,$L129,$Q129,$U129,$X129,$AM129,$AN129,$AP129,$AR129)/12)</f>
        <v/>
      </c>
      <c r="BA129" s="32" t="str">
        <f aca="false">IF($E129="","",IF(COUNTIF($E$3:$E$402,$E129)&gt;1,"DUPLICATE",""))</f>
        <v/>
      </c>
      <c r="BB129" s="17"/>
      <c r="BC129" s="35" t="str">
        <f aca="false">IF($E129="","",IFERROR(INDEX(SCORING!$C$6:$C$15,MATCH($J129,SCORING!$B$6:$B$15,0)),0)+IFERROR(INDEX(SCORING!$C$18:$C$20,MATCH($U129,SCORING!$B$18:$B$20,0)),0)+IFERROR(INDEX(SCORING!$C$23:$C$26,MATCH($X129,SCORING!$B$23:$B$26,0)),0)+IFERROR(INDEX(SCORING!$C$29:$C$32,MATCH($Q129,SCORING!$B$29:$B$32,0)),0)+IFERROR(INDEX(SCORING!$C$35:$C$37,MATCH($L129,SCORING!$B$35:$B$37,0)),0)+IF($AP129="",0,IF(AND($AQ129="Valid",$AO129="Decision maker"),SCORING!$C$40,IF($AQ129="Valid",SCORING!$C$41,SCORING!$C$42))))</f>
        <v/>
      </c>
      <c r="BD129" s="36" t="str">
        <f aca="false">IF($BC129="","",IF($BC129&gt;=SCORING!$C$46,"A",IF($BC129&gt;=SCORING!$C$47,"B",IF($BC129&gt;=SCORING!$C$48,"C","D"))))</f>
        <v/>
      </c>
      <c r="BE129" s="37"/>
    </row>
    <row r="130" customFormat="false" ht="15" hidden="false" customHeight="false" outlineLevel="0" collapsed="false">
      <c r="A130" s="37"/>
      <c r="B130" s="38"/>
      <c r="C130" s="37"/>
      <c r="D130" s="37"/>
      <c r="E130" s="17"/>
      <c r="F130" s="17"/>
      <c r="G130" s="37"/>
      <c r="H130" s="32" t="str">
        <f aca="false">IF($G130="","",IFERROR(INDEX(LISTS!$P$3:$P$145,MATCH($G130,LISTS!$O$3:$O$145,0)),"Other"))</f>
        <v/>
      </c>
      <c r="I130" s="37"/>
      <c r="J130" s="17"/>
      <c r="K130" s="17"/>
      <c r="L130" s="37"/>
      <c r="M130" s="37"/>
      <c r="N130" s="39"/>
      <c r="O130" s="37"/>
      <c r="P130" s="39"/>
      <c r="Q130" s="37"/>
      <c r="R130" s="39"/>
      <c r="S130" s="17"/>
      <c r="T130" s="17"/>
      <c r="U130" s="37"/>
      <c r="V130" s="37"/>
      <c r="W130" s="17"/>
      <c r="X130" s="37"/>
      <c r="Y130" s="17"/>
      <c r="Z130" s="39"/>
      <c r="AA130" s="39"/>
      <c r="AB130" s="37"/>
      <c r="AC130" s="37"/>
      <c r="AD130" s="38"/>
      <c r="AE130" s="37"/>
      <c r="AF130" s="37"/>
      <c r="AG130" s="37"/>
      <c r="AH130" s="37"/>
      <c r="AI130" s="17"/>
      <c r="AJ130" s="37"/>
      <c r="AK130" s="17"/>
      <c r="AL130" s="39"/>
      <c r="AM130" s="17"/>
      <c r="AN130" s="17"/>
      <c r="AO130" s="37"/>
      <c r="AP130" s="17"/>
      <c r="AQ130" s="37"/>
      <c r="AR130" s="37"/>
      <c r="AS130" s="37"/>
      <c r="AT130" s="17"/>
      <c r="AU130" s="37"/>
      <c r="AV130" s="37"/>
      <c r="AW130" s="38"/>
      <c r="AX130" s="37"/>
      <c r="AY130" s="38"/>
      <c r="AZ130" s="34" t="str">
        <f aca="false">IF($E130="","",COUNTA($E130,$F130,$G130,$J130,$L130,$Q130,$U130,$X130,$AM130,$AN130,$AP130,$AR130)/12)</f>
        <v/>
      </c>
      <c r="BA130" s="32" t="str">
        <f aca="false">IF($E130="","",IF(COUNTIF($E$3:$E$402,$E130)&gt;1,"DUPLICATE",""))</f>
        <v/>
      </c>
      <c r="BB130" s="17"/>
      <c r="BC130" s="35" t="str">
        <f aca="false">IF($E130="","",IFERROR(INDEX(SCORING!$C$6:$C$15,MATCH($J130,SCORING!$B$6:$B$15,0)),0)+IFERROR(INDEX(SCORING!$C$18:$C$20,MATCH($U130,SCORING!$B$18:$B$20,0)),0)+IFERROR(INDEX(SCORING!$C$23:$C$26,MATCH($X130,SCORING!$B$23:$B$26,0)),0)+IFERROR(INDEX(SCORING!$C$29:$C$32,MATCH($Q130,SCORING!$B$29:$B$32,0)),0)+IFERROR(INDEX(SCORING!$C$35:$C$37,MATCH($L130,SCORING!$B$35:$B$37,0)),0)+IF($AP130="",0,IF(AND($AQ130="Valid",$AO130="Decision maker"),SCORING!$C$40,IF($AQ130="Valid",SCORING!$C$41,SCORING!$C$42))))</f>
        <v/>
      </c>
      <c r="BD130" s="36" t="str">
        <f aca="false">IF($BC130="","",IF($BC130&gt;=SCORING!$C$46,"A",IF($BC130&gt;=SCORING!$C$47,"B",IF($BC130&gt;=SCORING!$C$48,"C","D"))))</f>
        <v/>
      </c>
      <c r="BE130" s="37"/>
    </row>
    <row r="131" customFormat="false" ht="15" hidden="false" customHeight="false" outlineLevel="0" collapsed="false">
      <c r="A131" s="37"/>
      <c r="B131" s="38"/>
      <c r="C131" s="37"/>
      <c r="D131" s="37"/>
      <c r="E131" s="17"/>
      <c r="F131" s="17"/>
      <c r="G131" s="37"/>
      <c r="H131" s="32" t="str">
        <f aca="false">IF($G131="","",IFERROR(INDEX(LISTS!$P$3:$P$145,MATCH($G131,LISTS!$O$3:$O$145,0)),"Other"))</f>
        <v/>
      </c>
      <c r="I131" s="37"/>
      <c r="J131" s="17"/>
      <c r="K131" s="17"/>
      <c r="L131" s="37"/>
      <c r="M131" s="37"/>
      <c r="N131" s="39"/>
      <c r="O131" s="37"/>
      <c r="P131" s="39"/>
      <c r="Q131" s="37"/>
      <c r="R131" s="39"/>
      <c r="S131" s="17"/>
      <c r="T131" s="17"/>
      <c r="U131" s="37"/>
      <c r="V131" s="37"/>
      <c r="W131" s="17"/>
      <c r="X131" s="37"/>
      <c r="Y131" s="17"/>
      <c r="Z131" s="39"/>
      <c r="AA131" s="39"/>
      <c r="AB131" s="37"/>
      <c r="AC131" s="37"/>
      <c r="AD131" s="38"/>
      <c r="AE131" s="37"/>
      <c r="AF131" s="37"/>
      <c r="AG131" s="37"/>
      <c r="AH131" s="37"/>
      <c r="AI131" s="17"/>
      <c r="AJ131" s="37"/>
      <c r="AK131" s="17"/>
      <c r="AL131" s="39"/>
      <c r="AM131" s="17"/>
      <c r="AN131" s="17"/>
      <c r="AO131" s="37"/>
      <c r="AP131" s="17"/>
      <c r="AQ131" s="37"/>
      <c r="AR131" s="37"/>
      <c r="AS131" s="37"/>
      <c r="AT131" s="17"/>
      <c r="AU131" s="37"/>
      <c r="AV131" s="37"/>
      <c r="AW131" s="38"/>
      <c r="AX131" s="37"/>
      <c r="AY131" s="38"/>
      <c r="AZ131" s="34" t="str">
        <f aca="false">IF($E131="","",COUNTA($E131,$F131,$G131,$J131,$L131,$Q131,$U131,$X131,$AM131,$AN131,$AP131,$AR131)/12)</f>
        <v/>
      </c>
      <c r="BA131" s="32" t="str">
        <f aca="false">IF($E131="","",IF(COUNTIF($E$3:$E$402,$E131)&gt;1,"DUPLICATE",""))</f>
        <v/>
      </c>
      <c r="BB131" s="17"/>
      <c r="BC131" s="35" t="str">
        <f aca="false">IF($E131="","",IFERROR(INDEX(SCORING!$C$6:$C$15,MATCH($J131,SCORING!$B$6:$B$15,0)),0)+IFERROR(INDEX(SCORING!$C$18:$C$20,MATCH($U131,SCORING!$B$18:$B$20,0)),0)+IFERROR(INDEX(SCORING!$C$23:$C$26,MATCH($X131,SCORING!$B$23:$B$26,0)),0)+IFERROR(INDEX(SCORING!$C$29:$C$32,MATCH($Q131,SCORING!$B$29:$B$32,0)),0)+IFERROR(INDEX(SCORING!$C$35:$C$37,MATCH($L131,SCORING!$B$35:$B$37,0)),0)+IF($AP131="",0,IF(AND($AQ131="Valid",$AO131="Decision maker"),SCORING!$C$40,IF($AQ131="Valid",SCORING!$C$41,SCORING!$C$42))))</f>
        <v/>
      </c>
      <c r="BD131" s="36" t="str">
        <f aca="false">IF($BC131="","",IF($BC131&gt;=SCORING!$C$46,"A",IF($BC131&gt;=SCORING!$C$47,"B",IF($BC131&gt;=SCORING!$C$48,"C","D"))))</f>
        <v/>
      </c>
      <c r="BE131" s="37"/>
    </row>
    <row r="132" customFormat="false" ht="15" hidden="false" customHeight="false" outlineLevel="0" collapsed="false">
      <c r="A132" s="37"/>
      <c r="B132" s="38"/>
      <c r="C132" s="37"/>
      <c r="D132" s="37"/>
      <c r="E132" s="17"/>
      <c r="F132" s="17"/>
      <c r="G132" s="37"/>
      <c r="H132" s="32" t="str">
        <f aca="false">IF($G132="","",IFERROR(INDEX(LISTS!$P$3:$P$145,MATCH($G132,LISTS!$O$3:$O$145,0)),"Other"))</f>
        <v/>
      </c>
      <c r="I132" s="37"/>
      <c r="J132" s="17"/>
      <c r="K132" s="17"/>
      <c r="L132" s="37"/>
      <c r="M132" s="37"/>
      <c r="N132" s="39"/>
      <c r="O132" s="37"/>
      <c r="P132" s="39"/>
      <c r="Q132" s="37"/>
      <c r="R132" s="39"/>
      <c r="S132" s="17"/>
      <c r="T132" s="17"/>
      <c r="U132" s="37"/>
      <c r="V132" s="37"/>
      <c r="W132" s="17"/>
      <c r="X132" s="37"/>
      <c r="Y132" s="17"/>
      <c r="Z132" s="39"/>
      <c r="AA132" s="39"/>
      <c r="AB132" s="37"/>
      <c r="AC132" s="37"/>
      <c r="AD132" s="38"/>
      <c r="AE132" s="37"/>
      <c r="AF132" s="37"/>
      <c r="AG132" s="37"/>
      <c r="AH132" s="37"/>
      <c r="AI132" s="17"/>
      <c r="AJ132" s="37"/>
      <c r="AK132" s="17"/>
      <c r="AL132" s="39"/>
      <c r="AM132" s="17"/>
      <c r="AN132" s="17"/>
      <c r="AO132" s="37"/>
      <c r="AP132" s="17"/>
      <c r="AQ132" s="37"/>
      <c r="AR132" s="37"/>
      <c r="AS132" s="37"/>
      <c r="AT132" s="17"/>
      <c r="AU132" s="37"/>
      <c r="AV132" s="37"/>
      <c r="AW132" s="38"/>
      <c r="AX132" s="37"/>
      <c r="AY132" s="38"/>
      <c r="AZ132" s="34" t="str">
        <f aca="false">IF($E132="","",COUNTA($E132,$F132,$G132,$J132,$L132,$Q132,$U132,$X132,$AM132,$AN132,$AP132,$AR132)/12)</f>
        <v/>
      </c>
      <c r="BA132" s="32" t="str">
        <f aca="false">IF($E132="","",IF(COUNTIF($E$3:$E$402,$E132)&gt;1,"DUPLICATE",""))</f>
        <v/>
      </c>
      <c r="BB132" s="17"/>
      <c r="BC132" s="35" t="str">
        <f aca="false">IF($E132="","",IFERROR(INDEX(SCORING!$C$6:$C$15,MATCH($J132,SCORING!$B$6:$B$15,0)),0)+IFERROR(INDEX(SCORING!$C$18:$C$20,MATCH($U132,SCORING!$B$18:$B$20,0)),0)+IFERROR(INDEX(SCORING!$C$23:$C$26,MATCH($X132,SCORING!$B$23:$B$26,0)),0)+IFERROR(INDEX(SCORING!$C$29:$C$32,MATCH($Q132,SCORING!$B$29:$B$32,0)),0)+IFERROR(INDEX(SCORING!$C$35:$C$37,MATCH($L132,SCORING!$B$35:$B$37,0)),0)+IF($AP132="",0,IF(AND($AQ132="Valid",$AO132="Decision maker"),SCORING!$C$40,IF($AQ132="Valid",SCORING!$C$41,SCORING!$C$42))))</f>
        <v/>
      </c>
      <c r="BD132" s="36" t="str">
        <f aca="false">IF($BC132="","",IF($BC132&gt;=SCORING!$C$46,"A",IF($BC132&gt;=SCORING!$C$47,"B",IF($BC132&gt;=SCORING!$C$48,"C","D"))))</f>
        <v/>
      </c>
      <c r="BE132" s="37"/>
    </row>
    <row r="133" customFormat="false" ht="15" hidden="false" customHeight="false" outlineLevel="0" collapsed="false">
      <c r="A133" s="37"/>
      <c r="B133" s="38"/>
      <c r="C133" s="37"/>
      <c r="D133" s="37"/>
      <c r="E133" s="17"/>
      <c r="F133" s="17"/>
      <c r="G133" s="37"/>
      <c r="H133" s="32" t="str">
        <f aca="false">IF($G133="","",IFERROR(INDEX(LISTS!$P$3:$P$145,MATCH($G133,LISTS!$O$3:$O$145,0)),"Other"))</f>
        <v/>
      </c>
      <c r="I133" s="37"/>
      <c r="J133" s="17"/>
      <c r="K133" s="17"/>
      <c r="L133" s="37"/>
      <c r="M133" s="37"/>
      <c r="N133" s="39"/>
      <c r="O133" s="37"/>
      <c r="P133" s="39"/>
      <c r="Q133" s="37"/>
      <c r="R133" s="39"/>
      <c r="S133" s="17"/>
      <c r="T133" s="17"/>
      <c r="U133" s="37"/>
      <c r="V133" s="37"/>
      <c r="W133" s="17"/>
      <c r="X133" s="37"/>
      <c r="Y133" s="17"/>
      <c r="Z133" s="39"/>
      <c r="AA133" s="39"/>
      <c r="AB133" s="37"/>
      <c r="AC133" s="37"/>
      <c r="AD133" s="38"/>
      <c r="AE133" s="37"/>
      <c r="AF133" s="37"/>
      <c r="AG133" s="37"/>
      <c r="AH133" s="37"/>
      <c r="AI133" s="17"/>
      <c r="AJ133" s="37"/>
      <c r="AK133" s="17"/>
      <c r="AL133" s="39"/>
      <c r="AM133" s="17"/>
      <c r="AN133" s="17"/>
      <c r="AO133" s="37"/>
      <c r="AP133" s="17"/>
      <c r="AQ133" s="37"/>
      <c r="AR133" s="37"/>
      <c r="AS133" s="37"/>
      <c r="AT133" s="17"/>
      <c r="AU133" s="37"/>
      <c r="AV133" s="37"/>
      <c r="AW133" s="38"/>
      <c r="AX133" s="37"/>
      <c r="AY133" s="38"/>
      <c r="AZ133" s="34" t="str">
        <f aca="false">IF($E133="","",COUNTA($E133,$F133,$G133,$J133,$L133,$Q133,$U133,$X133,$AM133,$AN133,$AP133,$AR133)/12)</f>
        <v/>
      </c>
      <c r="BA133" s="32" t="str">
        <f aca="false">IF($E133="","",IF(COUNTIF($E$3:$E$402,$E133)&gt;1,"DUPLICATE",""))</f>
        <v/>
      </c>
      <c r="BB133" s="17"/>
      <c r="BC133" s="35" t="str">
        <f aca="false">IF($E133="","",IFERROR(INDEX(SCORING!$C$6:$C$15,MATCH($J133,SCORING!$B$6:$B$15,0)),0)+IFERROR(INDEX(SCORING!$C$18:$C$20,MATCH($U133,SCORING!$B$18:$B$20,0)),0)+IFERROR(INDEX(SCORING!$C$23:$C$26,MATCH($X133,SCORING!$B$23:$B$26,0)),0)+IFERROR(INDEX(SCORING!$C$29:$C$32,MATCH($Q133,SCORING!$B$29:$B$32,0)),0)+IFERROR(INDEX(SCORING!$C$35:$C$37,MATCH($L133,SCORING!$B$35:$B$37,0)),0)+IF($AP133="",0,IF(AND($AQ133="Valid",$AO133="Decision maker"),SCORING!$C$40,IF($AQ133="Valid",SCORING!$C$41,SCORING!$C$42))))</f>
        <v/>
      </c>
      <c r="BD133" s="36" t="str">
        <f aca="false">IF($BC133="","",IF($BC133&gt;=SCORING!$C$46,"A",IF($BC133&gt;=SCORING!$C$47,"B",IF($BC133&gt;=SCORING!$C$48,"C","D"))))</f>
        <v/>
      </c>
      <c r="BE133" s="37"/>
    </row>
    <row r="134" customFormat="false" ht="15" hidden="false" customHeight="false" outlineLevel="0" collapsed="false">
      <c r="A134" s="37"/>
      <c r="B134" s="38"/>
      <c r="C134" s="37"/>
      <c r="D134" s="37"/>
      <c r="E134" s="17"/>
      <c r="F134" s="17"/>
      <c r="G134" s="37"/>
      <c r="H134" s="32" t="str">
        <f aca="false">IF($G134="","",IFERROR(INDEX(LISTS!$P$3:$P$145,MATCH($G134,LISTS!$O$3:$O$145,0)),"Other"))</f>
        <v/>
      </c>
      <c r="I134" s="37"/>
      <c r="J134" s="17"/>
      <c r="K134" s="17"/>
      <c r="L134" s="37"/>
      <c r="M134" s="37"/>
      <c r="N134" s="39"/>
      <c r="O134" s="37"/>
      <c r="P134" s="39"/>
      <c r="Q134" s="37"/>
      <c r="R134" s="39"/>
      <c r="S134" s="17"/>
      <c r="T134" s="17"/>
      <c r="U134" s="37"/>
      <c r="V134" s="37"/>
      <c r="W134" s="17"/>
      <c r="X134" s="37"/>
      <c r="Y134" s="17"/>
      <c r="Z134" s="39"/>
      <c r="AA134" s="39"/>
      <c r="AB134" s="37"/>
      <c r="AC134" s="37"/>
      <c r="AD134" s="38"/>
      <c r="AE134" s="37"/>
      <c r="AF134" s="37"/>
      <c r="AG134" s="37"/>
      <c r="AH134" s="37"/>
      <c r="AI134" s="17"/>
      <c r="AJ134" s="37"/>
      <c r="AK134" s="17"/>
      <c r="AL134" s="39"/>
      <c r="AM134" s="17"/>
      <c r="AN134" s="17"/>
      <c r="AO134" s="37"/>
      <c r="AP134" s="17"/>
      <c r="AQ134" s="37"/>
      <c r="AR134" s="37"/>
      <c r="AS134" s="37"/>
      <c r="AT134" s="17"/>
      <c r="AU134" s="37"/>
      <c r="AV134" s="37"/>
      <c r="AW134" s="38"/>
      <c r="AX134" s="37"/>
      <c r="AY134" s="38"/>
      <c r="AZ134" s="34" t="str">
        <f aca="false">IF($E134="","",COUNTA($E134,$F134,$G134,$J134,$L134,$Q134,$U134,$X134,$AM134,$AN134,$AP134,$AR134)/12)</f>
        <v/>
      </c>
      <c r="BA134" s="32" t="str">
        <f aca="false">IF($E134="","",IF(COUNTIF($E$3:$E$402,$E134)&gt;1,"DUPLICATE",""))</f>
        <v/>
      </c>
      <c r="BB134" s="17"/>
      <c r="BC134" s="35" t="str">
        <f aca="false">IF($E134="","",IFERROR(INDEX(SCORING!$C$6:$C$15,MATCH($J134,SCORING!$B$6:$B$15,0)),0)+IFERROR(INDEX(SCORING!$C$18:$C$20,MATCH($U134,SCORING!$B$18:$B$20,0)),0)+IFERROR(INDEX(SCORING!$C$23:$C$26,MATCH($X134,SCORING!$B$23:$B$26,0)),0)+IFERROR(INDEX(SCORING!$C$29:$C$32,MATCH($Q134,SCORING!$B$29:$B$32,0)),0)+IFERROR(INDEX(SCORING!$C$35:$C$37,MATCH($L134,SCORING!$B$35:$B$37,0)),0)+IF($AP134="",0,IF(AND($AQ134="Valid",$AO134="Decision maker"),SCORING!$C$40,IF($AQ134="Valid",SCORING!$C$41,SCORING!$C$42))))</f>
        <v/>
      </c>
      <c r="BD134" s="36" t="str">
        <f aca="false">IF($BC134="","",IF($BC134&gt;=SCORING!$C$46,"A",IF($BC134&gt;=SCORING!$C$47,"B",IF($BC134&gt;=SCORING!$C$48,"C","D"))))</f>
        <v/>
      </c>
      <c r="BE134" s="37"/>
    </row>
    <row r="135" customFormat="false" ht="15" hidden="false" customHeight="false" outlineLevel="0" collapsed="false">
      <c r="A135" s="37"/>
      <c r="B135" s="38"/>
      <c r="C135" s="37"/>
      <c r="D135" s="37"/>
      <c r="E135" s="17"/>
      <c r="F135" s="17"/>
      <c r="G135" s="37"/>
      <c r="H135" s="32" t="str">
        <f aca="false">IF($G135="","",IFERROR(INDEX(LISTS!$P$3:$P$145,MATCH($G135,LISTS!$O$3:$O$145,0)),"Other"))</f>
        <v/>
      </c>
      <c r="I135" s="37"/>
      <c r="J135" s="17"/>
      <c r="K135" s="17"/>
      <c r="L135" s="37"/>
      <c r="M135" s="37"/>
      <c r="N135" s="39"/>
      <c r="O135" s="37"/>
      <c r="P135" s="39"/>
      <c r="Q135" s="37"/>
      <c r="R135" s="39"/>
      <c r="S135" s="17"/>
      <c r="T135" s="17"/>
      <c r="U135" s="37"/>
      <c r="V135" s="37"/>
      <c r="W135" s="17"/>
      <c r="X135" s="37"/>
      <c r="Y135" s="17"/>
      <c r="Z135" s="39"/>
      <c r="AA135" s="39"/>
      <c r="AB135" s="37"/>
      <c r="AC135" s="37"/>
      <c r="AD135" s="38"/>
      <c r="AE135" s="37"/>
      <c r="AF135" s="37"/>
      <c r="AG135" s="37"/>
      <c r="AH135" s="37"/>
      <c r="AI135" s="17"/>
      <c r="AJ135" s="37"/>
      <c r="AK135" s="17"/>
      <c r="AL135" s="39"/>
      <c r="AM135" s="17"/>
      <c r="AN135" s="17"/>
      <c r="AO135" s="37"/>
      <c r="AP135" s="17"/>
      <c r="AQ135" s="37"/>
      <c r="AR135" s="37"/>
      <c r="AS135" s="37"/>
      <c r="AT135" s="17"/>
      <c r="AU135" s="37"/>
      <c r="AV135" s="37"/>
      <c r="AW135" s="38"/>
      <c r="AX135" s="37"/>
      <c r="AY135" s="38"/>
      <c r="AZ135" s="34" t="str">
        <f aca="false">IF($E135="","",COUNTA($E135,$F135,$G135,$J135,$L135,$Q135,$U135,$X135,$AM135,$AN135,$AP135,$AR135)/12)</f>
        <v/>
      </c>
      <c r="BA135" s="32" t="str">
        <f aca="false">IF($E135="","",IF(COUNTIF($E$3:$E$402,$E135)&gt;1,"DUPLICATE",""))</f>
        <v/>
      </c>
      <c r="BB135" s="17"/>
      <c r="BC135" s="35" t="str">
        <f aca="false">IF($E135="","",IFERROR(INDEX(SCORING!$C$6:$C$15,MATCH($J135,SCORING!$B$6:$B$15,0)),0)+IFERROR(INDEX(SCORING!$C$18:$C$20,MATCH($U135,SCORING!$B$18:$B$20,0)),0)+IFERROR(INDEX(SCORING!$C$23:$C$26,MATCH($X135,SCORING!$B$23:$B$26,0)),0)+IFERROR(INDEX(SCORING!$C$29:$C$32,MATCH($Q135,SCORING!$B$29:$B$32,0)),0)+IFERROR(INDEX(SCORING!$C$35:$C$37,MATCH($L135,SCORING!$B$35:$B$37,0)),0)+IF($AP135="",0,IF(AND($AQ135="Valid",$AO135="Decision maker"),SCORING!$C$40,IF($AQ135="Valid",SCORING!$C$41,SCORING!$C$42))))</f>
        <v/>
      </c>
      <c r="BD135" s="36" t="str">
        <f aca="false">IF($BC135="","",IF($BC135&gt;=SCORING!$C$46,"A",IF($BC135&gt;=SCORING!$C$47,"B",IF($BC135&gt;=SCORING!$C$48,"C","D"))))</f>
        <v/>
      </c>
      <c r="BE135" s="37"/>
    </row>
    <row r="136" customFormat="false" ht="15" hidden="false" customHeight="false" outlineLevel="0" collapsed="false">
      <c r="A136" s="37"/>
      <c r="B136" s="38"/>
      <c r="C136" s="37"/>
      <c r="D136" s="37"/>
      <c r="E136" s="17"/>
      <c r="F136" s="17"/>
      <c r="G136" s="37"/>
      <c r="H136" s="32" t="str">
        <f aca="false">IF($G136="","",IFERROR(INDEX(LISTS!$P$3:$P$145,MATCH($G136,LISTS!$O$3:$O$145,0)),"Other"))</f>
        <v/>
      </c>
      <c r="I136" s="37"/>
      <c r="J136" s="17"/>
      <c r="K136" s="17"/>
      <c r="L136" s="37"/>
      <c r="M136" s="37"/>
      <c r="N136" s="39"/>
      <c r="O136" s="37"/>
      <c r="P136" s="39"/>
      <c r="Q136" s="37"/>
      <c r="R136" s="39"/>
      <c r="S136" s="17"/>
      <c r="T136" s="17"/>
      <c r="U136" s="37"/>
      <c r="V136" s="37"/>
      <c r="W136" s="17"/>
      <c r="X136" s="37"/>
      <c r="Y136" s="17"/>
      <c r="Z136" s="39"/>
      <c r="AA136" s="39"/>
      <c r="AB136" s="37"/>
      <c r="AC136" s="37"/>
      <c r="AD136" s="38"/>
      <c r="AE136" s="37"/>
      <c r="AF136" s="37"/>
      <c r="AG136" s="37"/>
      <c r="AH136" s="37"/>
      <c r="AI136" s="17"/>
      <c r="AJ136" s="37"/>
      <c r="AK136" s="17"/>
      <c r="AL136" s="39"/>
      <c r="AM136" s="17"/>
      <c r="AN136" s="17"/>
      <c r="AO136" s="37"/>
      <c r="AP136" s="17"/>
      <c r="AQ136" s="37"/>
      <c r="AR136" s="37"/>
      <c r="AS136" s="37"/>
      <c r="AT136" s="17"/>
      <c r="AU136" s="37"/>
      <c r="AV136" s="37"/>
      <c r="AW136" s="38"/>
      <c r="AX136" s="37"/>
      <c r="AY136" s="38"/>
      <c r="AZ136" s="34" t="str">
        <f aca="false">IF($E136="","",COUNTA($E136,$F136,$G136,$J136,$L136,$Q136,$U136,$X136,$AM136,$AN136,$AP136,$AR136)/12)</f>
        <v/>
      </c>
      <c r="BA136" s="32" t="str">
        <f aca="false">IF($E136="","",IF(COUNTIF($E$3:$E$402,$E136)&gt;1,"DUPLICATE",""))</f>
        <v/>
      </c>
      <c r="BB136" s="17"/>
      <c r="BC136" s="35" t="str">
        <f aca="false">IF($E136="","",IFERROR(INDEX(SCORING!$C$6:$C$15,MATCH($J136,SCORING!$B$6:$B$15,0)),0)+IFERROR(INDEX(SCORING!$C$18:$C$20,MATCH($U136,SCORING!$B$18:$B$20,0)),0)+IFERROR(INDEX(SCORING!$C$23:$C$26,MATCH($X136,SCORING!$B$23:$B$26,0)),0)+IFERROR(INDEX(SCORING!$C$29:$C$32,MATCH($Q136,SCORING!$B$29:$B$32,0)),0)+IFERROR(INDEX(SCORING!$C$35:$C$37,MATCH($L136,SCORING!$B$35:$B$37,0)),0)+IF($AP136="",0,IF(AND($AQ136="Valid",$AO136="Decision maker"),SCORING!$C$40,IF($AQ136="Valid",SCORING!$C$41,SCORING!$C$42))))</f>
        <v/>
      </c>
      <c r="BD136" s="36" t="str">
        <f aca="false">IF($BC136="","",IF($BC136&gt;=SCORING!$C$46,"A",IF($BC136&gt;=SCORING!$C$47,"B",IF($BC136&gt;=SCORING!$C$48,"C","D"))))</f>
        <v/>
      </c>
      <c r="BE136" s="37"/>
    </row>
    <row r="137" customFormat="false" ht="15" hidden="false" customHeight="false" outlineLevel="0" collapsed="false">
      <c r="A137" s="37"/>
      <c r="B137" s="38"/>
      <c r="C137" s="37"/>
      <c r="D137" s="37"/>
      <c r="E137" s="17"/>
      <c r="F137" s="17"/>
      <c r="G137" s="37"/>
      <c r="H137" s="32" t="str">
        <f aca="false">IF($G137="","",IFERROR(INDEX(LISTS!$P$3:$P$145,MATCH($G137,LISTS!$O$3:$O$145,0)),"Other"))</f>
        <v/>
      </c>
      <c r="I137" s="37"/>
      <c r="J137" s="17"/>
      <c r="K137" s="17"/>
      <c r="L137" s="37"/>
      <c r="M137" s="37"/>
      <c r="N137" s="39"/>
      <c r="O137" s="37"/>
      <c r="P137" s="39"/>
      <c r="Q137" s="37"/>
      <c r="R137" s="39"/>
      <c r="S137" s="17"/>
      <c r="T137" s="17"/>
      <c r="U137" s="37"/>
      <c r="V137" s="37"/>
      <c r="W137" s="17"/>
      <c r="X137" s="37"/>
      <c r="Y137" s="17"/>
      <c r="Z137" s="39"/>
      <c r="AA137" s="39"/>
      <c r="AB137" s="37"/>
      <c r="AC137" s="37"/>
      <c r="AD137" s="38"/>
      <c r="AE137" s="37"/>
      <c r="AF137" s="37"/>
      <c r="AG137" s="37"/>
      <c r="AH137" s="37"/>
      <c r="AI137" s="17"/>
      <c r="AJ137" s="37"/>
      <c r="AK137" s="17"/>
      <c r="AL137" s="39"/>
      <c r="AM137" s="17"/>
      <c r="AN137" s="17"/>
      <c r="AO137" s="37"/>
      <c r="AP137" s="17"/>
      <c r="AQ137" s="37"/>
      <c r="AR137" s="37"/>
      <c r="AS137" s="37"/>
      <c r="AT137" s="17"/>
      <c r="AU137" s="37"/>
      <c r="AV137" s="37"/>
      <c r="AW137" s="38"/>
      <c r="AX137" s="37"/>
      <c r="AY137" s="38"/>
      <c r="AZ137" s="34" t="str">
        <f aca="false">IF($E137="","",COUNTA($E137,$F137,$G137,$J137,$L137,$Q137,$U137,$X137,$AM137,$AN137,$AP137,$AR137)/12)</f>
        <v/>
      </c>
      <c r="BA137" s="32" t="str">
        <f aca="false">IF($E137="","",IF(COUNTIF($E$3:$E$402,$E137)&gt;1,"DUPLICATE",""))</f>
        <v/>
      </c>
      <c r="BB137" s="17"/>
      <c r="BC137" s="35" t="str">
        <f aca="false">IF($E137="","",IFERROR(INDEX(SCORING!$C$6:$C$15,MATCH($J137,SCORING!$B$6:$B$15,0)),0)+IFERROR(INDEX(SCORING!$C$18:$C$20,MATCH($U137,SCORING!$B$18:$B$20,0)),0)+IFERROR(INDEX(SCORING!$C$23:$C$26,MATCH($X137,SCORING!$B$23:$B$26,0)),0)+IFERROR(INDEX(SCORING!$C$29:$C$32,MATCH($Q137,SCORING!$B$29:$B$32,0)),0)+IFERROR(INDEX(SCORING!$C$35:$C$37,MATCH($L137,SCORING!$B$35:$B$37,0)),0)+IF($AP137="",0,IF(AND($AQ137="Valid",$AO137="Decision maker"),SCORING!$C$40,IF($AQ137="Valid",SCORING!$C$41,SCORING!$C$42))))</f>
        <v/>
      </c>
      <c r="BD137" s="36" t="str">
        <f aca="false">IF($BC137="","",IF($BC137&gt;=SCORING!$C$46,"A",IF($BC137&gt;=SCORING!$C$47,"B",IF($BC137&gt;=SCORING!$C$48,"C","D"))))</f>
        <v/>
      </c>
      <c r="BE137" s="37"/>
    </row>
    <row r="138" customFormat="false" ht="15" hidden="false" customHeight="false" outlineLevel="0" collapsed="false">
      <c r="A138" s="37"/>
      <c r="B138" s="38"/>
      <c r="C138" s="37"/>
      <c r="D138" s="37"/>
      <c r="E138" s="17"/>
      <c r="F138" s="17"/>
      <c r="G138" s="37"/>
      <c r="H138" s="32" t="str">
        <f aca="false">IF($G138="","",IFERROR(INDEX(LISTS!$P$3:$P$145,MATCH($G138,LISTS!$O$3:$O$145,0)),"Other"))</f>
        <v/>
      </c>
      <c r="I138" s="37"/>
      <c r="J138" s="17"/>
      <c r="K138" s="17"/>
      <c r="L138" s="37"/>
      <c r="M138" s="37"/>
      <c r="N138" s="39"/>
      <c r="O138" s="37"/>
      <c r="P138" s="39"/>
      <c r="Q138" s="37"/>
      <c r="R138" s="39"/>
      <c r="S138" s="17"/>
      <c r="T138" s="17"/>
      <c r="U138" s="37"/>
      <c r="V138" s="37"/>
      <c r="W138" s="17"/>
      <c r="X138" s="37"/>
      <c r="Y138" s="17"/>
      <c r="Z138" s="39"/>
      <c r="AA138" s="39"/>
      <c r="AB138" s="37"/>
      <c r="AC138" s="37"/>
      <c r="AD138" s="38"/>
      <c r="AE138" s="37"/>
      <c r="AF138" s="37"/>
      <c r="AG138" s="37"/>
      <c r="AH138" s="37"/>
      <c r="AI138" s="17"/>
      <c r="AJ138" s="37"/>
      <c r="AK138" s="17"/>
      <c r="AL138" s="39"/>
      <c r="AM138" s="17"/>
      <c r="AN138" s="17"/>
      <c r="AO138" s="37"/>
      <c r="AP138" s="17"/>
      <c r="AQ138" s="37"/>
      <c r="AR138" s="37"/>
      <c r="AS138" s="37"/>
      <c r="AT138" s="17"/>
      <c r="AU138" s="37"/>
      <c r="AV138" s="37"/>
      <c r="AW138" s="38"/>
      <c r="AX138" s="37"/>
      <c r="AY138" s="38"/>
      <c r="AZ138" s="34" t="str">
        <f aca="false">IF($E138="","",COUNTA($E138,$F138,$G138,$J138,$L138,$Q138,$U138,$X138,$AM138,$AN138,$AP138,$AR138)/12)</f>
        <v/>
      </c>
      <c r="BA138" s="32" t="str">
        <f aca="false">IF($E138="","",IF(COUNTIF($E$3:$E$402,$E138)&gt;1,"DUPLICATE",""))</f>
        <v/>
      </c>
      <c r="BB138" s="17"/>
      <c r="BC138" s="35" t="str">
        <f aca="false">IF($E138="","",IFERROR(INDEX(SCORING!$C$6:$C$15,MATCH($J138,SCORING!$B$6:$B$15,0)),0)+IFERROR(INDEX(SCORING!$C$18:$C$20,MATCH($U138,SCORING!$B$18:$B$20,0)),0)+IFERROR(INDEX(SCORING!$C$23:$C$26,MATCH($X138,SCORING!$B$23:$B$26,0)),0)+IFERROR(INDEX(SCORING!$C$29:$C$32,MATCH($Q138,SCORING!$B$29:$B$32,0)),0)+IFERROR(INDEX(SCORING!$C$35:$C$37,MATCH($L138,SCORING!$B$35:$B$37,0)),0)+IF($AP138="",0,IF(AND($AQ138="Valid",$AO138="Decision maker"),SCORING!$C$40,IF($AQ138="Valid",SCORING!$C$41,SCORING!$C$42))))</f>
        <v/>
      </c>
      <c r="BD138" s="36" t="str">
        <f aca="false">IF($BC138="","",IF($BC138&gt;=SCORING!$C$46,"A",IF($BC138&gt;=SCORING!$C$47,"B",IF($BC138&gt;=SCORING!$C$48,"C","D"))))</f>
        <v/>
      </c>
      <c r="BE138" s="37"/>
    </row>
    <row r="139" customFormat="false" ht="15" hidden="false" customHeight="false" outlineLevel="0" collapsed="false">
      <c r="A139" s="37"/>
      <c r="B139" s="38"/>
      <c r="C139" s="37"/>
      <c r="D139" s="37"/>
      <c r="E139" s="17"/>
      <c r="F139" s="17"/>
      <c r="G139" s="37"/>
      <c r="H139" s="32" t="str">
        <f aca="false">IF($G139="","",IFERROR(INDEX(LISTS!$P$3:$P$145,MATCH($G139,LISTS!$O$3:$O$145,0)),"Other"))</f>
        <v/>
      </c>
      <c r="I139" s="37"/>
      <c r="J139" s="17"/>
      <c r="K139" s="17"/>
      <c r="L139" s="37"/>
      <c r="M139" s="37"/>
      <c r="N139" s="39"/>
      <c r="O139" s="37"/>
      <c r="P139" s="39"/>
      <c r="Q139" s="37"/>
      <c r="R139" s="39"/>
      <c r="S139" s="17"/>
      <c r="T139" s="17"/>
      <c r="U139" s="37"/>
      <c r="V139" s="37"/>
      <c r="W139" s="17"/>
      <c r="X139" s="37"/>
      <c r="Y139" s="17"/>
      <c r="Z139" s="39"/>
      <c r="AA139" s="39"/>
      <c r="AB139" s="37"/>
      <c r="AC139" s="37"/>
      <c r="AD139" s="38"/>
      <c r="AE139" s="37"/>
      <c r="AF139" s="37"/>
      <c r="AG139" s="37"/>
      <c r="AH139" s="37"/>
      <c r="AI139" s="17"/>
      <c r="AJ139" s="37"/>
      <c r="AK139" s="17"/>
      <c r="AL139" s="39"/>
      <c r="AM139" s="17"/>
      <c r="AN139" s="17"/>
      <c r="AO139" s="37"/>
      <c r="AP139" s="17"/>
      <c r="AQ139" s="37"/>
      <c r="AR139" s="37"/>
      <c r="AS139" s="37"/>
      <c r="AT139" s="17"/>
      <c r="AU139" s="37"/>
      <c r="AV139" s="37"/>
      <c r="AW139" s="38"/>
      <c r="AX139" s="37"/>
      <c r="AY139" s="38"/>
      <c r="AZ139" s="34" t="str">
        <f aca="false">IF($E139="","",COUNTA($E139,$F139,$G139,$J139,$L139,$Q139,$U139,$X139,$AM139,$AN139,$AP139,$AR139)/12)</f>
        <v/>
      </c>
      <c r="BA139" s="32" t="str">
        <f aca="false">IF($E139="","",IF(COUNTIF($E$3:$E$402,$E139)&gt;1,"DUPLICATE",""))</f>
        <v/>
      </c>
      <c r="BB139" s="17"/>
      <c r="BC139" s="35" t="str">
        <f aca="false">IF($E139="","",IFERROR(INDEX(SCORING!$C$6:$C$15,MATCH($J139,SCORING!$B$6:$B$15,0)),0)+IFERROR(INDEX(SCORING!$C$18:$C$20,MATCH($U139,SCORING!$B$18:$B$20,0)),0)+IFERROR(INDEX(SCORING!$C$23:$C$26,MATCH($X139,SCORING!$B$23:$B$26,0)),0)+IFERROR(INDEX(SCORING!$C$29:$C$32,MATCH($Q139,SCORING!$B$29:$B$32,0)),0)+IFERROR(INDEX(SCORING!$C$35:$C$37,MATCH($L139,SCORING!$B$35:$B$37,0)),0)+IF($AP139="",0,IF(AND($AQ139="Valid",$AO139="Decision maker"),SCORING!$C$40,IF($AQ139="Valid",SCORING!$C$41,SCORING!$C$42))))</f>
        <v/>
      </c>
      <c r="BD139" s="36" t="str">
        <f aca="false">IF($BC139="","",IF($BC139&gt;=SCORING!$C$46,"A",IF($BC139&gt;=SCORING!$C$47,"B",IF($BC139&gt;=SCORING!$C$48,"C","D"))))</f>
        <v/>
      </c>
      <c r="BE139" s="37"/>
    </row>
    <row r="140" customFormat="false" ht="15" hidden="false" customHeight="false" outlineLevel="0" collapsed="false">
      <c r="A140" s="37"/>
      <c r="B140" s="38"/>
      <c r="C140" s="37"/>
      <c r="D140" s="37"/>
      <c r="E140" s="17"/>
      <c r="F140" s="17"/>
      <c r="G140" s="37"/>
      <c r="H140" s="32" t="str">
        <f aca="false">IF($G140="","",IFERROR(INDEX(LISTS!$P$3:$P$145,MATCH($G140,LISTS!$O$3:$O$145,0)),"Other"))</f>
        <v/>
      </c>
      <c r="I140" s="37"/>
      <c r="J140" s="17"/>
      <c r="K140" s="17"/>
      <c r="L140" s="37"/>
      <c r="M140" s="37"/>
      <c r="N140" s="39"/>
      <c r="O140" s="37"/>
      <c r="P140" s="39"/>
      <c r="Q140" s="37"/>
      <c r="R140" s="39"/>
      <c r="S140" s="17"/>
      <c r="T140" s="17"/>
      <c r="U140" s="37"/>
      <c r="V140" s="37"/>
      <c r="W140" s="17"/>
      <c r="X140" s="37"/>
      <c r="Y140" s="17"/>
      <c r="Z140" s="39"/>
      <c r="AA140" s="39"/>
      <c r="AB140" s="37"/>
      <c r="AC140" s="37"/>
      <c r="AD140" s="38"/>
      <c r="AE140" s="37"/>
      <c r="AF140" s="37"/>
      <c r="AG140" s="37"/>
      <c r="AH140" s="37"/>
      <c r="AI140" s="17"/>
      <c r="AJ140" s="37"/>
      <c r="AK140" s="17"/>
      <c r="AL140" s="39"/>
      <c r="AM140" s="17"/>
      <c r="AN140" s="17"/>
      <c r="AO140" s="37"/>
      <c r="AP140" s="17"/>
      <c r="AQ140" s="37"/>
      <c r="AR140" s="37"/>
      <c r="AS140" s="37"/>
      <c r="AT140" s="17"/>
      <c r="AU140" s="37"/>
      <c r="AV140" s="37"/>
      <c r="AW140" s="38"/>
      <c r="AX140" s="37"/>
      <c r="AY140" s="38"/>
      <c r="AZ140" s="34" t="str">
        <f aca="false">IF($E140="","",COUNTA($E140,$F140,$G140,$J140,$L140,$Q140,$U140,$X140,$AM140,$AN140,$AP140,$AR140)/12)</f>
        <v/>
      </c>
      <c r="BA140" s="32" t="str">
        <f aca="false">IF($E140="","",IF(COUNTIF($E$3:$E$402,$E140)&gt;1,"DUPLICATE",""))</f>
        <v/>
      </c>
      <c r="BB140" s="17"/>
      <c r="BC140" s="35" t="str">
        <f aca="false">IF($E140="","",IFERROR(INDEX(SCORING!$C$6:$C$15,MATCH($J140,SCORING!$B$6:$B$15,0)),0)+IFERROR(INDEX(SCORING!$C$18:$C$20,MATCH($U140,SCORING!$B$18:$B$20,0)),0)+IFERROR(INDEX(SCORING!$C$23:$C$26,MATCH($X140,SCORING!$B$23:$B$26,0)),0)+IFERROR(INDEX(SCORING!$C$29:$C$32,MATCH($Q140,SCORING!$B$29:$B$32,0)),0)+IFERROR(INDEX(SCORING!$C$35:$C$37,MATCH($L140,SCORING!$B$35:$B$37,0)),0)+IF($AP140="",0,IF(AND($AQ140="Valid",$AO140="Decision maker"),SCORING!$C$40,IF($AQ140="Valid",SCORING!$C$41,SCORING!$C$42))))</f>
        <v/>
      </c>
      <c r="BD140" s="36" t="str">
        <f aca="false">IF($BC140="","",IF($BC140&gt;=SCORING!$C$46,"A",IF($BC140&gt;=SCORING!$C$47,"B",IF($BC140&gt;=SCORING!$C$48,"C","D"))))</f>
        <v/>
      </c>
      <c r="BE140" s="37"/>
    </row>
    <row r="141" customFormat="false" ht="15" hidden="false" customHeight="false" outlineLevel="0" collapsed="false">
      <c r="A141" s="37"/>
      <c r="B141" s="38"/>
      <c r="C141" s="37"/>
      <c r="D141" s="37"/>
      <c r="E141" s="17"/>
      <c r="F141" s="17"/>
      <c r="G141" s="37"/>
      <c r="H141" s="32" t="str">
        <f aca="false">IF($G141="","",IFERROR(INDEX(LISTS!$P$3:$P$145,MATCH($G141,LISTS!$O$3:$O$145,0)),"Other"))</f>
        <v/>
      </c>
      <c r="I141" s="37"/>
      <c r="J141" s="17"/>
      <c r="K141" s="17"/>
      <c r="L141" s="37"/>
      <c r="M141" s="37"/>
      <c r="N141" s="39"/>
      <c r="O141" s="37"/>
      <c r="P141" s="39"/>
      <c r="Q141" s="37"/>
      <c r="R141" s="39"/>
      <c r="S141" s="17"/>
      <c r="T141" s="17"/>
      <c r="U141" s="37"/>
      <c r="V141" s="37"/>
      <c r="W141" s="17"/>
      <c r="X141" s="37"/>
      <c r="Y141" s="17"/>
      <c r="Z141" s="39"/>
      <c r="AA141" s="39"/>
      <c r="AB141" s="37"/>
      <c r="AC141" s="37"/>
      <c r="AD141" s="38"/>
      <c r="AE141" s="37"/>
      <c r="AF141" s="37"/>
      <c r="AG141" s="37"/>
      <c r="AH141" s="37"/>
      <c r="AI141" s="17"/>
      <c r="AJ141" s="37"/>
      <c r="AK141" s="17"/>
      <c r="AL141" s="39"/>
      <c r="AM141" s="17"/>
      <c r="AN141" s="17"/>
      <c r="AO141" s="37"/>
      <c r="AP141" s="17"/>
      <c r="AQ141" s="37"/>
      <c r="AR141" s="37"/>
      <c r="AS141" s="37"/>
      <c r="AT141" s="17"/>
      <c r="AU141" s="37"/>
      <c r="AV141" s="37"/>
      <c r="AW141" s="38"/>
      <c r="AX141" s="37"/>
      <c r="AY141" s="38"/>
      <c r="AZ141" s="34" t="str">
        <f aca="false">IF($E141="","",COUNTA($E141,$F141,$G141,$J141,$L141,$Q141,$U141,$X141,$AM141,$AN141,$AP141,$AR141)/12)</f>
        <v/>
      </c>
      <c r="BA141" s="32" t="str">
        <f aca="false">IF($E141="","",IF(COUNTIF($E$3:$E$402,$E141)&gt;1,"DUPLICATE",""))</f>
        <v/>
      </c>
      <c r="BB141" s="17"/>
      <c r="BC141" s="35" t="str">
        <f aca="false">IF($E141="","",IFERROR(INDEX(SCORING!$C$6:$C$15,MATCH($J141,SCORING!$B$6:$B$15,0)),0)+IFERROR(INDEX(SCORING!$C$18:$C$20,MATCH($U141,SCORING!$B$18:$B$20,0)),0)+IFERROR(INDEX(SCORING!$C$23:$C$26,MATCH($X141,SCORING!$B$23:$B$26,0)),0)+IFERROR(INDEX(SCORING!$C$29:$C$32,MATCH($Q141,SCORING!$B$29:$B$32,0)),0)+IFERROR(INDEX(SCORING!$C$35:$C$37,MATCH($L141,SCORING!$B$35:$B$37,0)),0)+IF($AP141="",0,IF(AND($AQ141="Valid",$AO141="Decision maker"),SCORING!$C$40,IF($AQ141="Valid",SCORING!$C$41,SCORING!$C$42))))</f>
        <v/>
      </c>
      <c r="BD141" s="36" t="str">
        <f aca="false">IF($BC141="","",IF($BC141&gt;=SCORING!$C$46,"A",IF($BC141&gt;=SCORING!$C$47,"B",IF($BC141&gt;=SCORING!$C$48,"C","D"))))</f>
        <v/>
      </c>
      <c r="BE141" s="37"/>
    </row>
    <row r="142" customFormat="false" ht="15" hidden="false" customHeight="false" outlineLevel="0" collapsed="false">
      <c r="A142" s="37"/>
      <c r="B142" s="38"/>
      <c r="C142" s="37"/>
      <c r="D142" s="37"/>
      <c r="E142" s="17"/>
      <c r="F142" s="17"/>
      <c r="G142" s="37"/>
      <c r="H142" s="32" t="str">
        <f aca="false">IF($G142="","",IFERROR(INDEX(LISTS!$P$3:$P$145,MATCH($G142,LISTS!$O$3:$O$145,0)),"Other"))</f>
        <v/>
      </c>
      <c r="I142" s="37"/>
      <c r="J142" s="17"/>
      <c r="K142" s="17"/>
      <c r="L142" s="37"/>
      <c r="M142" s="37"/>
      <c r="N142" s="39"/>
      <c r="O142" s="37"/>
      <c r="P142" s="39"/>
      <c r="Q142" s="37"/>
      <c r="R142" s="39"/>
      <c r="S142" s="17"/>
      <c r="T142" s="17"/>
      <c r="U142" s="37"/>
      <c r="V142" s="37"/>
      <c r="W142" s="17"/>
      <c r="X142" s="37"/>
      <c r="Y142" s="17"/>
      <c r="Z142" s="39"/>
      <c r="AA142" s="39"/>
      <c r="AB142" s="37"/>
      <c r="AC142" s="37"/>
      <c r="AD142" s="38"/>
      <c r="AE142" s="37"/>
      <c r="AF142" s="37"/>
      <c r="AG142" s="37"/>
      <c r="AH142" s="37"/>
      <c r="AI142" s="17"/>
      <c r="AJ142" s="37"/>
      <c r="AK142" s="17"/>
      <c r="AL142" s="39"/>
      <c r="AM142" s="17"/>
      <c r="AN142" s="17"/>
      <c r="AO142" s="37"/>
      <c r="AP142" s="17"/>
      <c r="AQ142" s="37"/>
      <c r="AR142" s="37"/>
      <c r="AS142" s="37"/>
      <c r="AT142" s="17"/>
      <c r="AU142" s="37"/>
      <c r="AV142" s="37"/>
      <c r="AW142" s="38"/>
      <c r="AX142" s="37"/>
      <c r="AY142" s="38"/>
      <c r="AZ142" s="34" t="str">
        <f aca="false">IF($E142="","",COUNTA($E142,$F142,$G142,$J142,$L142,$Q142,$U142,$X142,$AM142,$AN142,$AP142,$AR142)/12)</f>
        <v/>
      </c>
      <c r="BA142" s="32" t="str">
        <f aca="false">IF($E142="","",IF(COUNTIF($E$3:$E$402,$E142)&gt;1,"DUPLICATE",""))</f>
        <v/>
      </c>
      <c r="BB142" s="17"/>
      <c r="BC142" s="35" t="str">
        <f aca="false">IF($E142="","",IFERROR(INDEX(SCORING!$C$6:$C$15,MATCH($J142,SCORING!$B$6:$B$15,0)),0)+IFERROR(INDEX(SCORING!$C$18:$C$20,MATCH($U142,SCORING!$B$18:$B$20,0)),0)+IFERROR(INDEX(SCORING!$C$23:$C$26,MATCH($X142,SCORING!$B$23:$B$26,0)),0)+IFERROR(INDEX(SCORING!$C$29:$C$32,MATCH($Q142,SCORING!$B$29:$B$32,0)),0)+IFERROR(INDEX(SCORING!$C$35:$C$37,MATCH($L142,SCORING!$B$35:$B$37,0)),0)+IF($AP142="",0,IF(AND($AQ142="Valid",$AO142="Decision maker"),SCORING!$C$40,IF($AQ142="Valid",SCORING!$C$41,SCORING!$C$42))))</f>
        <v/>
      </c>
      <c r="BD142" s="36" t="str">
        <f aca="false">IF($BC142="","",IF($BC142&gt;=SCORING!$C$46,"A",IF($BC142&gt;=SCORING!$C$47,"B",IF($BC142&gt;=SCORING!$C$48,"C","D"))))</f>
        <v/>
      </c>
      <c r="BE142" s="37"/>
    </row>
    <row r="143" customFormat="false" ht="15" hidden="false" customHeight="false" outlineLevel="0" collapsed="false">
      <c r="A143" s="37"/>
      <c r="B143" s="38"/>
      <c r="C143" s="37"/>
      <c r="D143" s="37"/>
      <c r="E143" s="17"/>
      <c r="F143" s="17"/>
      <c r="G143" s="37"/>
      <c r="H143" s="32" t="str">
        <f aca="false">IF($G143="","",IFERROR(INDEX(LISTS!$P$3:$P$145,MATCH($G143,LISTS!$O$3:$O$145,0)),"Other"))</f>
        <v/>
      </c>
      <c r="I143" s="37"/>
      <c r="J143" s="17"/>
      <c r="K143" s="17"/>
      <c r="L143" s="37"/>
      <c r="M143" s="37"/>
      <c r="N143" s="39"/>
      <c r="O143" s="37"/>
      <c r="P143" s="39"/>
      <c r="Q143" s="37"/>
      <c r="R143" s="39"/>
      <c r="S143" s="17"/>
      <c r="T143" s="17"/>
      <c r="U143" s="37"/>
      <c r="V143" s="37"/>
      <c r="W143" s="17"/>
      <c r="X143" s="37"/>
      <c r="Y143" s="17"/>
      <c r="Z143" s="39"/>
      <c r="AA143" s="39"/>
      <c r="AB143" s="37"/>
      <c r="AC143" s="37"/>
      <c r="AD143" s="38"/>
      <c r="AE143" s="37"/>
      <c r="AF143" s="37"/>
      <c r="AG143" s="37"/>
      <c r="AH143" s="37"/>
      <c r="AI143" s="17"/>
      <c r="AJ143" s="37"/>
      <c r="AK143" s="17"/>
      <c r="AL143" s="39"/>
      <c r="AM143" s="17"/>
      <c r="AN143" s="17"/>
      <c r="AO143" s="37"/>
      <c r="AP143" s="17"/>
      <c r="AQ143" s="37"/>
      <c r="AR143" s="37"/>
      <c r="AS143" s="37"/>
      <c r="AT143" s="17"/>
      <c r="AU143" s="37"/>
      <c r="AV143" s="37"/>
      <c r="AW143" s="38"/>
      <c r="AX143" s="37"/>
      <c r="AY143" s="38"/>
      <c r="AZ143" s="34" t="str">
        <f aca="false">IF($E143="","",COUNTA($E143,$F143,$G143,$J143,$L143,$Q143,$U143,$X143,$AM143,$AN143,$AP143,$AR143)/12)</f>
        <v/>
      </c>
      <c r="BA143" s="32" t="str">
        <f aca="false">IF($E143="","",IF(COUNTIF($E$3:$E$402,$E143)&gt;1,"DUPLICATE",""))</f>
        <v/>
      </c>
      <c r="BB143" s="17"/>
      <c r="BC143" s="35" t="str">
        <f aca="false">IF($E143="","",IFERROR(INDEX(SCORING!$C$6:$C$15,MATCH($J143,SCORING!$B$6:$B$15,0)),0)+IFERROR(INDEX(SCORING!$C$18:$C$20,MATCH($U143,SCORING!$B$18:$B$20,0)),0)+IFERROR(INDEX(SCORING!$C$23:$C$26,MATCH($X143,SCORING!$B$23:$B$26,0)),0)+IFERROR(INDEX(SCORING!$C$29:$C$32,MATCH($Q143,SCORING!$B$29:$B$32,0)),0)+IFERROR(INDEX(SCORING!$C$35:$C$37,MATCH($L143,SCORING!$B$35:$B$37,0)),0)+IF($AP143="",0,IF(AND($AQ143="Valid",$AO143="Decision maker"),SCORING!$C$40,IF($AQ143="Valid",SCORING!$C$41,SCORING!$C$42))))</f>
        <v/>
      </c>
      <c r="BD143" s="36" t="str">
        <f aca="false">IF($BC143="","",IF($BC143&gt;=SCORING!$C$46,"A",IF($BC143&gt;=SCORING!$C$47,"B",IF($BC143&gt;=SCORING!$C$48,"C","D"))))</f>
        <v/>
      </c>
      <c r="BE143" s="37"/>
    </row>
    <row r="144" customFormat="false" ht="15" hidden="false" customHeight="false" outlineLevel="0" collapsed="false">
      <c r="A144" s="37"/>
      <c r="B144" s="38"/>
      <c r="C144" s="37"/>
      <c r="D144" s="37"/>
      <c r="E144" s="17"/>
      <c r="F144" s="17"/>
      <c r="G144" s="37"/>
      <c r="H144" s="32" t="str">
        <f aca="false">IF($G144="","",IFERROR(INDEX(LISTS!$P$3:$P$145,MATCH($G144,LISTS!$O$3:$O$145,0)),"Other"))</f>
        <v/>
      </c>
      <c r="I144" s="37"/>
      <c r="J144" s="17"/>
      <c r="K144" s="17"/>
      <c r="L144" s="37"/>
      <c r="M144" s="37"/>
      <c r="N144" s="39"/>
      <c r="O144" s="37"/>
      <c r="P144" s="39"/>
      <c r="Q144" s="37"/>
      <c r="R144" s="39"/>
      <c r="S144" s="17"/>
      <c r="T144" s="17"/>
      <c r="U144" s="37"/>
      <c r="V144" s="37"/>
      <c r="W144" s="17"/>
      <c r="X144" s="37"/>
      <c r="Y144" s="17"/>
      <c r="Z144" s="39"/>
      <c r="AA144" s="39"/>
      <c r="AB144" s="37"/>
      <c r="AC144" s="37"/>
      <c r="AD144" s="38"/>
      <c r="AE144" s="37"/>
      <c r="AF144" s="37"/>
      <c r="AG144" s="37"/>
      <c r="AH144" s="37"/>
      <c r="AI144" s="17"/>
      <c r="AJ144" s="37"/>
      <c r="AK144" s="17"/>
      <c r="AL144" s="39"/>
      <c r="AM144" s="17"/>
      <c r="AN144" s="17"/>
      <c r="AO144" s="37"/>
      <c r="AP144" s="17"/>
      <c r="AQ144" s="37"/>
      <c r="AR144" s="37"/>
      <c r="AS144" s="37"/>
      <c r="AT144" s="17"/>
      <c r="AU144" s="37"/>
      <c r="AV144" s="37"/>
      <c r="AW144" s="38"/>
      <c r="AX144" s="37"/>
      <c r="AY144" s="38"/>
      <c r="AZ144" s="34" t="str">
        <f aca="false">IF($E144="","",COUNTA($E144,$F144,$G144,$J144,$L144,$Q144,$U144,$X144,$AM144,$AN144,$AP144,$AR144)/12)</f>
        <v/>
      </c>
      <c r="BA144" s="32" t="str">
        <f aca="false">IF($E144="","",IF(COUNTIF($E$3:$E$402,$E144)&gt;1,"DUPLICATE",""))</f>
        <v/>
      </c>
      <c r="BB144" s="17"/>
      <c r="BC144" s="35" t="str">
        <f aca="false">IF($E144="","",IFERROR(INDEX(SCORING!$C$6:$C$15,MATCH($J144,SCORING!$B$6:$B$15,0)),0)+IFERROR(INDEX(SCORING!$C$18:$C$20,MATCH($U144,SCORING!$B$18:$B$20,0)),0)+IFERROR(INDEX(SCORING!$C$23:$C$26,MATCH($X144,SCORING!$B$23:$B$26,0)),0)+IFERROR(INDEX(SCORING!$C$29:$C$32,MATCH($Q144,SCORING!$B$29:$B$32,0)),0)+IFERROR(INDEX(SCORING!$C$35:$C$37,MATCH($L144,SCORING!$B$35:$B$37,0)),0)+IF($AP144="",0,IF(AND($AQ144="Valid",$AO144="Decision maker"),SCORING!$C$40,IF($AQ144="Valid",SCORING!$C$41,SCORING!$C$42))))</f>
        <v/>
      </c>
      <c r="BD144" s="36" t="str">
        <f aca="false">IF($BC144="","",IF($BC144&gt;=SCORING!$C$46,"A",IF($BC144&gt;=SCORING!$C$47,"B",IF($BC144&gt;=SCORING!$C$48,"C","D"))))</f>
        <v/>
      </c>
      <c r="BE144" s="37"/>
    </row>
    <row r="145" customFormat="false" ht="15" hidden="false" customHeight="false" outlineLevel="0" collapsed="false">
      <c r="A145" s="37"/>
      <c r="B145" s="38"/>
      <c r="C145" s="37"/>
      <c r="D145" s="37"/>
      <c r="E145" s="17"/>
      <c r="F145" s="17"/>
      <c r="G145" s="37"/>
      <c r="H145" s="32" t="str">
        <f aca="false">IF($G145="","",IFERROR(INDEX(LISTS!$P$3:$P$145,MATCH($G145,LISTS!$O$3:$O$145,0)),"Other"))</f>
        <v/>
      </c>
      <c r="I145" s="37"/>
      <c r="J145" s="17"/>
      <c r="K145" s="17"/>
      <c r="L145" s="37"/>
      <c r="M145" s="37"/>
      <c r="N145" s="39"/>
      <c r="O145" s="37"/>
      <c r="P145" s="39"/>
      <c r="Q145" s="37"/>
      <c r="R145" s="39"/>
      <c r="S145" s="17"/>
      <c r="T145" s="17"/>
      <c r="U145" s="37"/>
      <c r="V145" s="37"/>
      <c r="W145" s="17"/>
      <c r="X145" s="37"/>
      <c r="Y145" s="17"/>
      <c r="Z145" s="39"/>
      <c r="AA145" s="39"/>
      <c r="AB145" s="37"/>
      <c r="AC145" s="37"/>
      <c r="AD145" s="38"/>
      <c r="AE145" s="37"/>
      <c r="AF145" s="37"/>
      <c r="AG145" s="37"/>
      <c r="AH145" s="37"/>
      <c r="AI145" s="17"/>
      <c r="AJ145" s="37"/>
      <c r="AK145" s="17"/>
      <c r="AL145" s="39"/>
      <c r="AM145" s="17"/>
      <c r="AN145" s="17"/>
      <c r="AO145" s="37"/>
      <c r="AP145" s="17"/>
      <c r="AQ145" s="37"/>
      <c r="AR145" s="37"/>
      <c r="AS145" s="37"/>
      <c r="AT145" s="17"/>
      <c r="AU145" s="37"/>
      <c r="AV145" s="37"/>
      <c r="AW145" s="38"/>
      <c r="AX145" s="37"/>
      <c r="AY145" s="38"/>
      <c r="AZ145" s="34" t="str">
        <f aca="false">IF($E145="","",COUNTA($E145,$F145,$G145,$J145,$L145,$Q145,$U145,$X145,$AM145,$AN145,$AP145,$AR145)/12)</f>
        <v/>
      </c>
      <c r="BA145" s="32" t="str">
        <f aca="false">IF($E145="","",IF(COUNTIF($E$3:$E$402,$E145)&gt;1,"DUPLICATE",""))</f>
        <v/>
      </c>
      <c r="BB145" s="17"/>
      <c r="BC145" s="35" t="str">
        <f aca="false">IF($E145="","",IFERROR(INDEX(SCORING!$C$6:$C$15,MATCH($J145,SCORING!$B$6:$B$15,0)),0)+IFERROR(INDEX(SCORING!$C$18:$C$20,MATCH($U145,SCORING!$B$18:$B$20,0)),0)+IFERROR(INDEX(SCORING!$C$23:$C$26,MATCH($X145,SCORING!$B$23:$B$26,0)),0)+IFERROR(INDEX(SCORING!$C$29:$C$32,MATCH($Q145,SCORING!$B$29:$B$32,0)),0)+IFERROR(INDEX(SCORING!$C$35:$C$37,MATCH($L145,SCORING!$B$35:$B$37,0)),0)+IF($AP145="",0,IF(AND($AQ145="Valid",$AO145="Decision maker"),SCORING!$C$40,IF($AQ145="Valid",SCORING!$C$41,SCORING!$C$42))))</f>
        <v/>
      </c>
      <c r="BD145" s="36" t="str">
        <f aca="false">IF($BC145="","",IF($BC145&gt;=SCORING!$C$46,"A",IF($BC145&gt;=SCORING!$C$47,"B",IF($BC145&gt;=SCORING!$C$48,"C","D"))))</f>
        <v/>
      </c>
      <c r="BE145" s="37"/>
    </row>
    <row r="146" customFormat="false" ht="15" hidden="false" customHeight="false" outlineLevel="0" collapsed="false">
      <c r="A146" s="37"/>
      <c r="B146" s="38"/>
      <c r="C146" s="37"/>
      <c r="D146" s="37"/>
      <c r="E146" s="17"/>
      <c r="F146" s="17"/>
      <c r="G146" s="37"/>
      <c r="H146" s="32" t="str">
        <f aca="false">IF($G146="","",IFERROR(INDEX(LISTS!$P$3:$P$145,MATCH($G146,LISTS!$O$3:$O$145,0)),"Other"))</f>
        <v/>
      </c>
      <c r="I146" s="37"/>
      <c r="J146" s="17"/>
      <c r="K146" s="17"/>
      <c r="L146" s="37"/>
      <c r="M146" s="37"/>
      <c r="N146" s="39"/>
      <c r="O146" s="37"/>
      <c r="P146" s="39"/>
      <c r="Q146" s="37"/>
      <c r="R146" s="39"/>
      <c r="S146" s="17"/>
      <c r="T146" s="17"/>
      <c r="U146" s="37"/>
      <c r="V146" s="37"/>
      <c r="W146" s="17"/>
      <c r="X146" s="37"/>
      <c r="Y146" s="17"/>
      <c r="Z146" s="39"/>
      <c r="AA146" s="39"/>
      <c r="AB146" s="37"/>
      <c r="AC146" s="37"/>
      <c r="AD146" s="38"/>
      <c r="AE146" s="37"/>
      <c r="AF146" s="37"/>
      <c r="AG146" s="37"/>
      <c r="AH146" s="37"/>
      <c r="AI146" s="17"/>
      <c r="AJ146" s="37"/>
      <c r="AK146" s="17"/>
      <c r="AL146" s="39"/>
      <c r="AM146" s="17"/>
      <c r="AN146" s="17"/>
      <c r="AO146" s="37"/>
      <c r="AP146" s="17"/>
      <c r="AQ146" s="37"/>
      <c r="AR146" s="37"/>
      <c r="AS146" s="37"/>
      <c r="AT146" s="17"/>
      <c r="AU146" s="37"/>
      <c r="AV146" s="37"/>
      <c r="AW146" s="38"/>
      <c r="AX146" s="37"/>
      <c r="AY146" s="38"/>
      <c r="AZ146" s="34" t="str">
        <f aca="false">IF($E146="","",COUNTA($E146,$F146,$G146,$J146,$L146,$Q146,$U146,$X146,$AM146,$AN146,$AP146,$AR146)/12)</f>
        <v/>
      </c>
      <c r="BA146" s="32" t="str">
        <f aca="false">IF($E146="","",IF(COUNTIF($E$3:$E$402,$E146)&gt;1,"DUPLICATE",""))</f>
        <v/>
      </c>
      <c r="BB146" s="17"/>
      <c r="BC146" s="35" t="str">
        <f aca="false">IF($E146="","",IFERROR(INDEX(SCORING!$C$6:$C$15,MATCH($J146,SCORING!$B$6:$B$15,0)),0)+IFERROR(INDEX(SCORING!$C$18:$C$20,MATCH($U146,SCORING!$B$18:$B$20,0)),0)+IFERROR(INDEX(SCORING!$C$23:$C$26,MATCH($X146,SCORING!$B$23:$B$26,0)),0)+IFERROR(INDEX(SCORING!$C$29:$C$32,MATCH($Q146,SCORING!$B$29:$B$32,0)),0)+IFERROR(INDEX(SCORING!$C$35:$C$37,MATCH($L146,SCORING!$B$35:$B$37,0)),0)+IF($AP146="",0,IF(AND($AQ146="Valid",$AO146="Decision maker"),SCORING!$C$40,IF($AQ146="Valid",SCORING!$C$41,SCORING!$C$42))))</f>
        <v/>
      </c>
      <c r="BD146" s="36" t="str">
        <f aca="false">IF($BC146="","",IF($BC146&gt;=SCORING!$C$46,"A",IF($BC146&gt;=SCORING!$C$47,"B",IF($BC146&gt;=SCORING!$C$48,"C","D"))))</f>
        <v/>
      </c>
      <c r="BE146" s="37"/>
    </row>
    <row r="147" customFormat="false" ht="15" hidden="false" customHeight="false" outlineLevel="0" collapsed="false">
      <c r="A147" s="37"/>
      <c r="B147" s="38"/>
      <c r="C147" s="37"/>
      <c r="D147" s="37"/>
      <c r="E147" s="17"/>
      <c r="F147" s="17"/>
      <c r="G147" s="37"/>
      <c r="H147" s="32" t="str">
        <f aca="false">IF($G147="","",IFERROR(INDEX(LISTS!$P$3:$P$145,MATCH($G147,LISTS!$O$3:$O$145,0)),"Other"))</f>
        <v/>
      </c>
      <c r="I147" s="37"/>
      <c r="J147" s="17"/>
      <c r="K147" s="17"/>
      <c r="L147" s="37"/>
      <c r="M147" s="37"/>
      <c r="N147" s="39"/>
      <c r="O147" s="37"/>
      <c r="P147" s="39"/>
      <c r="Q147" s="37"/>
      <c r="R147" s="39"/>
      <c r="S147" s="17"/>
      <c r="T147" s="17"/>
      <c r="U147" s="37"/>
      <c r="V147" s="37"/>
      <c r="W147" s="17"/>
      <c r="X147" s="37"/>
      <c r="Y147" s="17"/>
      <c r="Z147" s="39"/>
      <c r="AA147" s="39"/>
      <c r="AB147" s="37"/>
      <c r="AC147" s="37"/>
      <c r="AD147" s="38"/>
      <c r="AE147" s="37"/>
      <c r="AF147" s="37"/>
      <c r="AG147" s="37"/>
      <c r="AH147" s="37"/>
      <c r="AI147" s="17"/>
      <c r="AJ147" s="37"/>
      <c r="AK147" s="17"/>
      <c r="AL147" s="39"/>
      <c r="AM147" s="17"/>
      <c r="AN147" s="17"/>
      <c r="AO147" s="37"/>
      <c r="AP147" s="17"/>
      <c r="AQ147" s="37"/>
      <c r="AR147" s="37"/>
      <c r="AS147" s="37"/>
      <c r="AT147" s="17"/>
      <c r="AU147" s="37"/>
      <c r="AV147" s="37"/>
      <c r="AW147" s="38"/>
      <c r="AX147" s="37"/>
      <c r="AY147" s="38"/>
      <c r="AZ147" s="34" t="str">
        <f aca="false">IF($E147="","",COUNTA($E147,$F147,$G147,$J147,$L147,$Q147,$U147,$X147,$AM147,$AN147,$AP147,$AR147)/12)</f>
        <v/>
      </c>
      <c r="BA147" s="32" t="str">
        <f aca="false">IF($E147="","",IF(COUNTIF($E$3:$E$402,$E147)&gt;1,"DUPLICATE",""))</f>
        <v/>
      </c>
      <c r="BB147" s="17"/>
      <c r="BC147" s="35" t="str">
        <f aca="false">IF($E147="","",IFERROR(INDEX(SCORING!$C$6:$C$15,MATCH($J147,SCORING!$B$6:$B$15,0)),0)+IFERROR(INDEX(SCORING!$C$18:$C$20,MATCH($U147,SCORING!$B$18:$B$20,0)),0)+IFERROR(INDEX(SCORING!$C$23:$C$26,MATCH($X147,SCORING!$B$23:$B$26,0)),0)+IFERROR(INDEX(SCORING!$C$29:$C$32,MATCH($Q147,SCORING!$B$29:$B$32,0)),0)+IFERROR(INDEX(SCORING!$C$35:$C$37,MATCH($L147,SCORING!$B$35:$B$37,0)),0)+IF($AP147="",0,IF(AND($AQ147="Valid",$AO147="Decision maker"),SCORING!$C$40,IF($AQ147="Valid",SCORING!$C$41,SCORING!$C$42))))</f>
        <v/>
      </c>
      <c r="BD147" s="36" t="str">
        <f aca="false">IF($BC147="","",IF($BC147&gt;=SCORING!$C$46,"A",IF($BC147&gt;=SCORING!$C$47,"B",IF($BC147&gt;=SCORING!$C$48,"C","D"))))</f>
        <v/>
      </c>
      <c r="BE147" s="37"/>
    </row>
    <row r="148" customFormat="false" ht="15" hidden="false" customHeight="false" outlineLevel="0" collapsed="false">
      <c r="A148" s="37"/>
      <c r="B148" s="38"/>
      <c r="C148" s="37"/>
      <c r="D148" s="37"/>
      <c r="E148" s="17"/>
      <c r="F148" s="17"/>
      <c r="G148" s="37"/>
      <c r="H148" s="32" t="str">
        <f aca="false">IF($G148="","",IFERROR(INDEX(LISTS!$P$3:$P$145,MATCH($G148,LISTS!$O$3:$O$145,0)),"Other"))</f>
        <v/>
      </c>
      <c r="I148" s="37"/>
      <c r="J148" s="17"/>
      <c r="K148" s="17"/>
      <c r="L148" s="37"/>
      <c r="M148" s="37"/>
      <c r="N148" s="39"/>
      <c r="O148" s="37"/>
      <c r="P148" s="39"/>
      <c r="Q148" s="37"/>
      <c r="R148" s="39"/>
      <c r="S148" s="17"/>
      <c r="T148" s="17"/>
      <c r="U148" s="37"/>
      <c r="V148" s="37"/>
      <c r="W148" s="17"/>
      <c r="X148" s="37"/>
      <c r="Y148" s="17"/>
      <c r="Z148" s="39"/>
      <c r="AA148" s="39"/>
      <c r="AB148" s="37"/>
      <c r="AC148" s="37"/>
      <c r="AD148" s="38"/>
      <c r="AE148" s="37"/>
      <c r="AF148" s="37"/>
      <c r="AG148" s="37"/>
      <c r="AH148" s="37"/>
      <c r="AI148" s="17"/>
      <c r="AJ148" s="37"/>
      <c r="AK148" s="17"/>
      <c r="AL148" s="39"/>
      <c r="AM148" s="17"/>
      <c r="AN148" s="17"/>
      <c r="AO148" s="37"/>
      <c r="AP148" s="17"/>
      <c r="AQ148" s="37"/>
      <c r="AR148" s="37"/>
      <c r="AS148" s="37"/>
      <c r="AT148" s="17"/>
      <c r="AU148" s="37"/>
      <c r="AV148" s="37"/>
      <c r="AW148" s="38"/>
      <c r="AX148" s="37"/>
      <c r="AY148" s="38"/>
      <c r="AZ148" s="34" t="str">
        <f aca="false">IF($E148="","",COUNTA($E148,$F148,$G148,$J148,$L148,$Q148,$U148,$X148,$AM148,$AN148,$AP148,$AR148)/12)</f>
        <v/>
      </c>
      <c r="BA148" s="32" t="str">
        <f aca="false">IF($E148="","",IF(COUNTIF($E$3:$E$402,$E148)&gt;1,"DUPLICATE",""))</f>
        <v/>
      </c>
      <c r="BB148" s="17"/>
      <c r="BC148" s="35" t="str">
        <f aca="false">IF($E148="","",IFERROR(INDEX(SCORING!$C$6:$C$15,MATCH($J148,SCORING!$B$6:$B$15,0)),0)+IFERROR(INDEX(SCORING!$C$18:$C$20,MATCH($U148,SCORING!$B$18:$B$20,0)),0)+IFERROR(INDEX(SCORING!$C$23:$C$26,MATCH($X148,SCORING!$B$23:$B$26,0)),0)+IFERROR(INDEX(SCORING!$C$29:$C$32,MATCH($Q148,SCORING!$B$29:$B$32,0)),0)+IFERROR(INDEX(SCORING!$C$35:$C$37,MATCH($L148,SCORING!$B$35:$B$37,0)),0)+IF($AP148="",0,IF(AND($AQ148="Valid",$AO148="Decision maker"),SCORING!$C$40,IF($AQ148="Valid",SCORING!$C$41,SCORING!$C$42))))</f>
        <v/>
      </c>
      <c r="BD148" s="36" t="str">
        <f aca="false">IF($BC148="","",IF($BC148&gt;=SCORING!$C$46,"A",IF($BC148&gt;=SCORING!$C$47,"B",IF($BC148&gt;=SCORING!$C$48,"C","D"))))</f>
        <v/>
      </c>
      <c r="BE148" s="37"/>
    </row>
    <row r="149" customFormat="false" ht="15" hidden="false" customHeight="false" outlineLevel="0" collapsed="false">
      <c r="A149" s="37"/>
      <c r="B149" s="38"/>
      <c r="C149" s="37"/>
      <c r="D149" s="37"/>
      <c r="E149" s="17"/>
      <c r="F149" s="17"/>
      <c r="G149" s="37"/>
      <c r="H149" s="32" t="str">
        <f aca="false">IF($G149="","",IFERROR(INDEX(LISTS!$P$3:$P$145,MATCH($G149,LISTS!$O$3:$O$145,0)),"Other"))</f>
        <v/>
      </c>
      <c r="I149" s="37"/>
      <c r="J149" s="17"/>
      <c r="K149" s="17"/>
      <c r="L149" s="37"/>
      <c r="M149" s="37"/>
      <c r="N149" s="39"/>
      <c r="O149" s="37"/>
      <c r="P149" s="39"/>
      <c r="Q149" s="37"/>
      <c r="R149" s="39"/>
      <c r="S149" s="17"/>
      <c r="T149" s="17"/>
      <c r="U149" s="37"/>
      <c r="V149" s="37"/>
      <c r="W149" s="17"/>
      <c r="X149" s="37"/>
      <c r="Y149" s="17"/>
      <c r="Z149" s="39"/>
      <c r="AA149" s="39"/>
      <c r="AB149" s="37"/>
      <c r="AC149" s="37"/>
      <c r="AD149" s="38"/>
      <c r="AE149" s="37"/>
      <c r="AF149" s="37"/>
      <c r="AG149" s="37"/>
      <c r="AH149" s="37"/>
      <c r="AI149" s="17"/>
      <c r="AJ149" s="37"/>
      <c r="AK149" s="17"/>
      <c r="AL149" s="39"/>
      <c r="AM149" s="17"/>
      <c r="AN149" s="17"/>
      <c r="AO149" s="37"/>
      <c r="AP149" s="17"/>
      <c r="AQ149" s="37"/>
      <c r="AR149" s="37"/>
      <c r="AS149" s="37"/>
      <c r="AT149" s="17"/>
      <c r="AU149" s="37"/>
      <c r="AV149" s="37"/>
      <c r="AW149" s="38"/>
      <c r="AX149" s="37"/>
      <c r="AY149" s="38"/>
      <c r="AZ149" s="34" t="str">
        <f aca="false">IF($E149="","",COUNTA($E149,$F149,$G149,$J149,$L149,$Q149,$U149,$X149,$AM149,$AN149,$AP149,$AR149)/12)</f>
        <v/>
      </c>
      <c r="BA149" s="32" t="str">
        <f aca="false">IF($E149="","",IF(COUNTIF($E$3:$E$402,$E149)&gt;1,"DUPLICATE",""))</f>
        <v/>
      </c>
      <c r="BB149" s="17"/>
      <c r="BC149" s="35" t="str">
        <f aca="false">IF($E149="","",IFERROR(INDEX(SCORING!$C$6:$C$15,MATCH($J149,SCORING!$B$6:$B$15,0)),0)+IFERROR(INDEX(SCORING!$C$18:$C$20,MATCH($U149,SCORING!$B$18:$B$20,0)),0)+IFERROR(INDEX(SCORING!$C$23:$C$26,MATCH($X149,SCORING!$B$23:$B$26,0)),0)+IFERROR(INDEX(SCORING!$C$29:$C$32,MATCH($Q149,SCORING!$B$29:$B$32,0)),0)+IFERROR(INDEX(SCORING!$C$35:$C$37,MATCH($L149,SCORING!$B$35:$B$37,0)),0)+IF($AP149="",0,IF(AND($AQ149="Valid",$AO149="Decision maker"),SCORING!$C$40,IF($AQ149="Valid",SCORING!$C$41,SCORING!$C$42))))</f>
        <v/>
      </c>
      <c r="BD149" s="36" t="str">
        <f aca="false">IF($BC149="","",IF($BC149&gt;=SCORING!$C$46,"A",IF($BC149&gt;=SCORING!$C$47,"B",IF($BC149&gt;=SCORING!$C$48,"C","D"))))</f>
        <v/>
      </c>
      <c r="BE149" s="37"/>
    </row>
    <row r="150" customFormat="false" ht="15" hidden="false" customHeight="false" outlineLevel="0" collapsed="false">
      <c r="A150" s="37"/>
      <c r="B150" s="38"/>
      <c r="C150" s="37"/>
      <c r="D150" s="37"/>
      <c r="E150" s="17"/>
      <c r="F150" s="17"/>
      <c r="G150" s="37"/>
      <c r="H150" s="32" t="str">
        <f aca="false">IF($G150="","",IFERROR(INDEX(LISTS!$P$3:$P$145,MATCH($G150,LISTS!$O$3:$O$145,0)),"Other"))</f>
        <v/>
      </c>
      <c r="I150" s="37"/>
      <c r="J150" s="17"/>
      <c r="K150" s="17"/>
      <c r="L150" s="37"/>
      <c r="M150" s="37"/>
      <c r="N150" s="39"/>
      <c r="O150" s="37"/>
      <c r="P150" s="39"/>
      <c r="Q150" s="37"/>
      <c r="R150" s="39"/>
      <c r="S150" s="17"/>
      <c r="T150" s="17"/>
      <c r="U150" s="37"/>
      <c r="V150" s="37"/>
      <c r="W150" s="17"/>
      <c r="X150" s="37"/>
      <c r="Y150" s="17"/>
      <c r="Z150" s="39"/>
      <c r="AA150" s="39"/>
      <c r="AB150" s="37"/>
      <c r="AC150" s="37"/>
      <c r="AD150" s="38"/>
      <c r="AE150" s="37"/>
      <c r="AF150" s="37"/>
      <c r="AG150" s="37"/>
      <c r="AH150" s="37"/>
      <c r="AI150" s="17"/>
      <c r="AJ150" s="37"/>
      <c r="AK150" s="17"/>
      <c r="AL150" s="39"/>
      <c r="AM150" s="17"/>
      <c r="AN150" s="17"/>
      <c r="AO150" s="37"/>
      <c r="AP150" s="17"/>
      <c r="AQ150" s="37"/>
      <c r="AR150" s="37"/>
      <c r="AS150" s="37"/>
      <c r="AT150" s="17"/>
      <c r="AU150" s="37"/>
      <c r="AV150" s="37"/>
      <c r="AW150" s="38"/>
      <c r="AX150" s="37"/>
      <c r="AY150" s="38"/>
      <c r="AZ150" s="34" t="str">
        <f aca="false">IF($E150="","",COUNTA($E150,$F150,$G150,$J150,$L150,$Q150,$U150,$X150,$AM150,$AN150,$AP150,$AR150)/12)</f>
        <v/>
      </c>
      <c r="BA150" s="32" t="str">
        <f aca="false">IF($E150="","",IF(COUNTIF($E$3:$E$402,$E150)&gt;1,"DUPLICATE",""))</f>
        <v/>
      </c>
      <c r="BB150" s="17"/>
      <c r="BC150" s="35" t="str">
        <f aca="false">IF($E150="","",IFERROR(INDEX(SCORING!$C$6:$C$15,MATCH($J150,SCORING!$B$6:$B$15,0)),0)+IFERROR(INDEX(SCORING!$C$18:$C$20,MATCH($U150,SCORING!$B$18:$B$20,0)),0)+IFERROR(INDEX(SCORING!$C$23:$C$26,MATCH($X150,SCORING!$B$23:$B$26,0)),0)+IFERROR(INDEX(SCORING!$C$29:$C$32,MATCH($Q150,SCORING!$B$29:$B$32,0)),0)+IFERROR(INDEX(SCORING!$C$35:$C$37,MATCH($L150,SCORING!$B$35:$B$37,0)),0)+IF($AP150="",0,IF(AND($AQ150="Valid",$AO150="Decision maker"),SCORING!$C$40,IF($AQ150="Valid",SCORING!$C$41,SCORING!$C$42))))</f>
        <v/>
      </c>
      <c r="BD150" s="36" t="str">
        <f aca="false">IF($BC150="","",IF($BC150&gt;=SCORING!$C$46,"A",IF($BC150&gt;=SCORING!$C$47,"B",IF($BC150&gt;=SCORING!$C$48,"C","D"))))</f>
        <v/>
      </c>
      <c r="BE150" s="37"/>
    </row>
    <row r="151" customFormat="false" ht="15" hidden="false" customHeight="false" outlineLevel="0" collapsed="false">
      <c r="A151" s="37"/>
      <c r="B151" s="38"/>
      <c r="C151" s="37"/>
      <c r="D151" s="37"/>
      <c r="E151" s="17"/>
      <c r="F151" s="17"/>
      <c r="G151" s="37"/>
      <c r="H151" s="32" t="str">
        <f aca="false">IF($G151="","",IFERROR(INDEX(LISTS!$P$3:$P$145,MATCH($G151,LISTS!$O$3:$O$145,0)),"Other"))</f>
        <v/>
      </c>
      <c r="I151" s="37"/>
      <c r="J151" s="17"/>
      <c r="K151" s="17"/>
      <c r="L151" s="37"/>
      <c r="M151" s="37"/>
      <c r="N151" s="39"/>
      <c r="O151" s="37"/>
      <c r="P151" s="39"/>
      <c r="Q151" s="37"/>
      <c r="R151" s="39"/>
      <c r="S151" s="17"/>
      <c r="T151" s="17"/>
      <c r="U151" s="37"/>
      <c r="V151" s="37"/>
      <c r="W151" s="17"/>
      <c r="X151" s="37"/>
      <c r="Y151" s="17"/>
      <c r="Z151" s="39"/>
      <c r="AA151" s="39"/>
      <c r="AB151" s="37"/>
      <c r="AC151" s="37"/>
      <c r="AD151" s="38"/>
      <c r="AE151" s="37"/>
      <c r="AF151" s="37"/>
      <c r="AG151" s="37"/>
      <c r="AH151" s="37"/>
      <c r="AI151" s="17"/>
      <c r="AJ151" s="37"/>
      <c r="AK151" s="17"/>
      <c r="AL151" s="39"/>
      <c r="AM151" s="17"/>
      <c r="AN151" s="17"/>
      <c r="AO151" s="37"/>
      <c r="AP151" s="17"/>
      <c r="AQ151" s="37"/>
      <c r="AR151" s="37"/>
      <c r="AS151" s="37"/>
      <c r="AT151" s="17"/>
      <c r="AU151" s="37"/>
      <c r="AV151" s="37"/>
      <c r="AW151" s="38"/>
      <c r="AX151" s="37"/>
      <c r="AY151" s="38"/>
      <c r="AZ151" s="34" t="str">
        <f aca="false">IF($E151="","",COUNTA($E151,$F151,$G151,$J151,$L151,$Q151,$U151,$X151,$AM151,$AN151,$AP151,$AR151)/12)</f>
        <v/>
      </c>
      <c r="BA151" s="32" t="str">
        <f aca="false">IF($E151="","",IF(COUNTIF($E$3:$E$402,$E151)&gt;1,"DUPLICATE",""))</f>
        <v/>
      </c>
      <c r="BB151" s="17"/>
      <c r="BC151" s="35" t="str">
        <f aca="false">IF($E151="","",IFERROR(INDEX(SCORING!$C$6:$C$15,MATCH($J151,SCORING!$B$6:$B$15,0)),0)+IFERROR(INDEX(SCORING!$C$18:$C$20,MATCH($U151,SCORING!$B$18:$B$20,0)),0)+IFERROR(INDEX(SCORING!$C$23:$C$26,MATCH($X151,SCORING!$B$23:$B$26,0)),0)+IFERROR(INDEX(SCORING!$C$29:$C$32,MATCH($Q151,SCORING!$B$29:$B$32,0)),0)+IFERROR(INDEX(SCORING!$C$35:$C$37,MATCH($L151,SCORING!$B$35:$B$37,0)),0)+IF($AP151="",0,IF(AND($AQ151="Valid",$AO151="Decision maker"),SCORING!$C$40,IF($AQ151="Valid",SCORING!$C$41,SCORING!$C$42))))</f>
        <v/>
      </c>
      <c r="BD151" s="36" t="str">
        <f aca="false">IF($BC151="","",IF($BC151&gt;=SCORING!$C$46,"A",IF($BC151&gt;=SCORING!$C$47,"B",IF($BC151&gt;=SCORING!$C$48,"C","D"))))</f>
        <v/>
      </c>
      <c r="BE151" s="37"/>
    </row>
    <row r="152" customFormat="false" ht="15" hidden="false" customHeight="false" outlineLevel="0" collapsed="false">
      <c r="A152" s="37"/>
      <c r="B152" s="38"/>
      <c r="C152" s="37"/>
      <c r="D152" s="37"/>
      <c r="E152" s="17"/>
      <c r="F152" s="17"/>
      <c r="G152" s="37"/>
      <c r="H152" s="32" t="str">
        <f aca="false">IF($G152="","",IFERROR(INDEX(LISTS!$P$3:$P$145,MATCH($G152,LISTS!$O$3:$O$145,0)),"Other"))</f>
        <v/>
      </c>
      <c r="I152" s="37"/>
      <c r="J152" s="17"/>
      <c r="K152" s="17"/>
      <c r="L152" s="37"/>
      <c r="M152" s="37"/>
      <c r="N152" s="39"/>
      <c r="O152" s="37"/>
      <c r="P152" s="39"/>
      <c r="Q152" s="37"/>
      <c r="R152" s="39"/>
      <c r="S152" s="17"/>
      <c r="T152" s="17"/>
      <c r="U152" s="37"/>
      <c r="V152" s="37"/>
      <c r="W152" s="17"/>
      <c r="X152" s="37"/>
      <c r="Y152" s="17"/>
      <c r="Z152" s="39"/>
      <c r="AA152" s="39"/>
      <c r="AB152" s="37"/>
      <c r="AC152" s="37"/>
      <c r="AD152" s="38"/>
      <c r="AE152" s="37"/>
      <c r="AF152" s="37"/>
      <c r="AG152" s="37"/>
      <c r="AH152" s="37"/>
      <c r="AI152" s="17"/>
      <c r="AJ152" s="37"/>
      <c r="AK152" s="17"/>
      <c r="AL152" s="39"/>
      <c r="AM152" s="17"/>
      <c r="AN152" s="17"/>
      <c r="AO152" s="37"/>
      <c r="AP152" s="17"/>
      <c r="AQ152" s="37"/>
      <c r="AR152" s="37"/>
      <c r="AS152" s="37"/>
      <c r="AT152" s="17"/>
      <c r="AU152" s="37"/>
      <c r="AV152" s="37"/>
      <c r="AW152" s="38"/>
      <c r="AX152" s="37"/>
      <c r="AY152" s="38"/>
      <c r="AZ152" s="34" t="str">
        <f aca="false">IF($E152="","",COUNTA($E152,$F152,$G152,$J152,$L152,$Q152,$U152,$X152,$AM152,$AN152,$AP152,$AR152)/12)</f>
        <v/>
      </c>
      <c r="BA152" s="32" t="str">
        <f aca="false">IF($E152="","",IF(COUNTIF($E$3:$E$402,$E152)&gt;1,"DUPLICATE",""))</f>
        <v/>
      </c>
      <c r="BB152" s="17"/>
      <c r="BC152" s="35" t="str">
        <f aca="false">IF($E152="","",IFERROR(INDEX(SCORING!$C$6:$C$15,MATCH($J152,SCORING!$B$6:$B$15,0)),0)+IFERROR(INDEX(SCORING!$C$18:$C$20,MATCH($U152,SCORING!$B$18:$B$20,0)),0)+IFERROR(INDEX(SCORING!$C$23:$C$26,MATCH($X152,SCORING!$B$23:$B$26,0)),0)+IFERROR(INDEX(SCORING!$C$29:$C$32,MATCH($Q152,SCORING!$B$29:$B$32,0)),0)+IFERROR(INDEX(SCORING!$C$35:$C$37,MATCH($L152,SCORING!$B$35:$B$37,0)),0)+IF($AP152="",0,IF(AND($AQ152="Valid",$AO152="Decision maker"),SCORING!$C$40,IF($AQ152="Valid",SCORING!$C$41,SCORING!$C$42))))</f>
        <v/>
      </c>
      <c r="BD152" s="36" t="str">
        <f aca="false">IF($BC152="","",IF($BC152&gt;=SCORING!$C$46,"A",IF($BC152&gt;=SCORING!$C$47,"B",IF($BC152&gt;=SCORING!$C$48,"C","D"))))</f>
        <v/>
      </c>
      <c r="BE152" s="37"/>
    </row>
    <row r="153" customFormat="false" ht="15" hidden="false" customHeight="false" outlineLevel="0" collapsed="false">
      <c r="A153" s="37"/>
      <c r="B153" s="38"/>
      <c r="C153" s="37"/>
      <c r="D153" s="37"/>
      <c r="E153" s="17"/>
      <c r="F153" s="17"/>
      <c r="G153" s="37"/>
      <c r="H153" s="32" t="str">
        <f aca="false">IF($G153="","",IFERROR(INDEX(LISTS!$P$3:$P$145,MATCH($G153,LISTS!$O$3:$O$145,0)),"Other"))</f>
        <v/>
      </c>
      <c r="I153" s="37"/>
      <c r="J153" s="17"/>
      <c r="K153" s="17"/>
      <c r="L153" s="37"/>
      <c r="M153" s="37"/>
      <c r="N153" s="39"/>
      <c r="O153" s="37"/>
      <c r="P153" s="39"/>
      <c r="Q153" s="37"/>
      <c r="R153" s="39"/>
      <c r="S153" s="17"/>
      <c r="T153" s="17"/>
      <c r="U153" s="37"/>
      <c r="V153" s="37"/>
      <c r="W153" s="17"/>
      <c r="X153" s="37"/>
      <c r="Y153" s="17"/>
      <c r="Z153" s="39"/>
      <c r="AA153" s="39"/>
      <c r="AB153" s="37"/>
      <c r="AC153" s="37"/>
      <c r="AD153" s="38"/>
      <c r="AE153" s="37"/>
      <c r="AF153" s="37"/>
      <c r="AG153" s="37"/>
      <c r="AH153" s="37"/>
      <c r="AI153" s="17"/>
      <c r="AJ153" s="37"/>
      <c r="AK153" s="17"/>
      <c r="AL153" s="39"/>
      <c r="AM153" s="17"/>
      <c r="AN153" s="17"/>
      <c r="AO153" s="37"/>
      <c r="AP153" s="17"/>
      <c r="AQ153" s="37"/>
      <c r="AR153" s="37"/>
      <c r="AS153" s="37"/>
      <c r="AT153" s="17"/>
      <c r="AU153" s="37"/>
      <c r="AV153" s="37"/>
      <c r="AW153" s="38"/>
      <c r="AX153" s="37"/>
      <c r="AY153" s="38"/>
      <c r="AZ153" s="34" t="str">
        <f aca="false">IF($E153="","",COUNTA($E153,$F153,$G153,$J153,$L153,$Q153,$U153,$X153,$AM153,$AN153,$AP153,$AR153)/12)</f>
        <v/>
      </c>
      <c r="BA153" s="32" t="str">
        <f aca="false">IF($E153="","",IF(COUNTIF($E$3:$E$402,$E153)&gt;1,"DUPLICATE",""))</f>
        <v/>
      </c>
      <c r="BB153" s="17"/>
      <c r="BC153" s="35" t="str">
        <f aca="false">IF($E153="","",IFERROR(INDEX(SCORING!$C$6:$C$15,MATCH($J153,SCORING!$B$6:$B$15,0)),0)+IFERROR(INDEX(SCORING!$C$18:$C$20,MATCH($U153,SCORING!$B$18:$B$20,0)),0)+IFERROR(INDEX(SCORING!$C$23:$C$26,MATCH($X153,SCORING!$B$23:$B$26,0)),0)+IFERROR(INDEX(SCORING!$C$29:$C$32,MATCH($Q153,SCORING!$B$29:$B$32,0)),0)+IFERROR(INDEX(SCORING!$C$35:$C$37,MATCH($L153,SCORING!$B$35:$B$37,0)),0)+IF($AP153="",0,IF(AND($AQ153="Valid",$AO153="Decision maker"),SCORING!$C$40,IF($AQ153="Valid",SCORING!$C$41,SCORING!$C$42))))</f>
        <v/>
      </c>
      <c r="BD153" s="36" t="str">
        <f aca="false">IF($BC153="","",IF($BC153&gt;=SCORING!$C$46,"A",IF($BC153&gt;=SCORING!$C$47,"B",IF($BC153&gt;=SCORING!$C$48,"C","D"))))</f>
        <v/>
      </c>
      <c r="BE153" s="37"/>
    </row>
    <row r="154" customFormat="false" ht="15" hidden="false" customHeight="false" outlineLevel="0" collapsed="false">
      <c r="A154" s="37"/>
      <c r="B154" s="38"/>
      <c r="C154" s="37"/>
      <c r="D154" s="37"/>
      <c r="E154" s="17"/>
      <c r="F154" s="17"/>
      <c r="G154" s="37"/>
      <c r="H154" s="32" t="str">
        <f aca="false">IF($G154="","",IFERROR(INDEX(LISTS!$P$3:$P$145,MATCH($G154,LISTS!$O$3:$O$145,0)),"Other"))</f>
        <v/>
      </c>
      <c r="I154" s="37"/>
      <c r="J154" s="17"/>
      <c r="K154" s="17"/>
      <c r="L154" s="37"/>
      <c r="M154" s="37"/>
      <c r="N154" s="39"/>
      <c r="O154" s="37"/>
      <c r="P154" s="39"/>
      <c r="Q154" s="37"/>
      <c r="R154" s="39"/>
      <c r="S154" s="17"/>
      <c r="T154" s="17"/>
      <c r="U154" s="37"/>
      <c r="V154" s="37"/>
      <c r="W154" s="17"/>
      <c r="X154" s="37"/>
      <c r="Y154" s="17"/>
      <c r="Z154" s="39"/>
      <c r="AA154" s="39"/>
      <c r="AB154" s="37"/>
      <c r="AC154" s="37"/>
      <c r="AD154" s="38"/>
      <c r="AE154" s="37"/>
      <c r="AF154" s="37"/>
      <c r="AG154" s="37"/>
      <c r="AH154" s="37"/>
      <c r="AI154" s="17"/>
      <c r="AJ154" s="37"/>
      <c r="AK154" s="17"/>
      <c r="AL154" s="39"/>
      <c r="AM154" s="17"/>
      <c r="AN154" s="17"/>
      <c r="AO154" s="37"/>
      <c r="AP154" s="17"/>
      <c r="AQ154" s="37"/>
      <c r="AR154" s="37"/>
      <c r="AS154" s="37"/>
      <c r="AT154" s="17"/>
      <c r="AU154" s="37"/>
      <c r="AV154" s="37"/>
      <c r="AW154" s="38"/>
      <c r="AX154" s="37"/>
      <c r="AY154" s="38"/>
      <c r="AZ154" s="34" t="str">
        <f aca="false">IF($E154="","",COUNTA($E154,$F154,$G154,$J154,$L154,$Q154,$U154,$X154,$AM154,$AN154,$AP154,$AR154)/12)</f>
        <v/>
      </c>
      <c r="BA154" s="32" t="str">
        <f aca="false">IF($E154="","",IF(COUNTIF($E$3:$E$402,$E154)&gt;1,"DUPLICATE",""))</f>
        <v/>
      </c>
      <c r="BB154" s="17"/>
      <c r="BC154" s="35" t="str">
        <f aca="false">IF($E154="","",IFERROR(INDEX(SCORING!$C$6:$C$15,MATCH($J154,SCORING!$B$6:$B$15,0)),0)+IFERROR(INDEX(SCORING!$C$18:$C$20,MATCH($U154,SCORING!$B$18:$B$20,0)),0)+IFERROR(INDEX(SCORING!$C$23:$C$26,MATCH($X154,SCORING!$B$23:$B$26,0)),0)+IFERROR(INDEX(SCORING!$C$29:$C$32,MATCH($Q154,SCORING!$B$29:$B$32,0)),0)+IFERROR(INDEX(SCORING!$C$35:$C$37,MATCH($L154,SCORING!$B$35:$B$37,0)),0)+IF($AP154="",0,IF(AND($AQ154="Valid",$AO154="Decision maker"),SCORING!$C$40,IF($AQ154="Valid",SCORING!$C$41,SCORING!$C$42))))</f>
        <v/>
      </c>
      <c r="BD154" s="36" t="str">
        <f aca="false">IF($BC154="","",IF($BC154&gt;=SCORING!$C$46,"A",IF($BC154&gt;=SCORING!$C$47,"B",IF($BC154&gt;=SCORING!$C$48,"C","D"))))</f>
        <v/>
      </c>
      <c r="BE154" s="37"/>
    </row>
    <row r="155" customFormat="false" ht="15" hidden="false" customHeight="false" outlineLevel="0" collapsed="false">
      <c r="A155" s="37"/>
      <c r="B155" s="38"/>
      <c r="C155" s="37"/>
      <c r="D155" s="37"/>
      <c r="E155" s="17"/>
      <c r="F155" s="17"/>
      <c r="G155" s="37"/>
      <c r="H155" s="32" t="str">
        <f aca="false">IF($G155="","",IFERROR(INDEX(LISTS!$P$3:$P$145,MATCH($G155,LISTS!$O$3:$O$145,0)),"Other"))</f>
        <v/>
      </c>
      <c r="I155" s="37"/>
      <c r="J155" s="17"/>
      <c r="K155" s="17"/>
      <c r="L155" s="37"/>
      <c r="M155" s="37"/>
      <c r="N155" s="39"/>
      <c r="O155" s="37"/>
      <c r="P155" s="39"/>
      <c r="Q155" s="37"/>
      <c r="R155" s="39"/>
      <c r="S155" s="17"/>
      <c r="T155" s="17"/>
      <c r="U155" s="37"/>
      <c r="V155" s="37"/>
      <c r="W155" s="17"/>
      <c r="X155" s="37"/>
      <c r="Y155" s="17"/>
      <c r="Z155" s="39"/>
      <c r="AA155" s="39"/>
      <c r="AB155" s="37"/>
      <c r="AC155" s="37"/>
      <c r="AD155" s="38"/>
      <c r="AE155" s="37"/>
      <c r="AF155" s="37"/>
      <c r="AG155" s="37"/>
      <c r="AH155" s="37"/>
      <c r="AI155" s="17"/>
      <c r="AJ155" s="37"/>
      <c r="AK155" s="17"/>
      <c r="AL155" s="39"/>
      <c r="AM155" s="17"/>
      <c r="AN155" s="17"/>
      <c r="AO155" s="37"/>
      <c r="AP155" s="17"/>
      <c r="AQ155" s="37"/>
      <c r="AR155" s="37"/>
      <c r="AS155" s="37"/>
      <c r="AT155" s="17"/>
      <c r="AU155" s="37"/>
      <c r="AV155" s="37"/>
      <c r="AW155" s="38"/>
      <c r="AX155" s="37"/>
      <c r="AY155" s="38"/>
      <c r="AZ155" s="34" t="str">
        <f aca="false">IF($E155="","",COUNTA($E155,$F155,$G155,$J155,$L155,$Q155,$U155,$X155,$AM155,$AN155,$AP155,$AR155)/12)</f>
        <v/>
      </c>
      <c r="BA155" s="32" t="str">
        <f aca="false">IF($E155="","",IF(COUNTIF($E$3:$E$402,$E155)&gt;1,"DUPLICATE",""))</f>
        <v/>
      </c>
      <c r="BB155" s="17"/>
      <c r="BC155" s="35" t="str">
        <f aca="false">IF($E155="","",IFERROR(INDEX(SCORING!$C$6:$C$15,MATCH($J155,SCORING!$B$6:$B$15,0)),0)+IFERROR(INDEX(SCORING!$C$18:$C$20,MATCH($U155,SCORING!$B$18:$B$20,0)),0)+IFERROR(INDEX(SCORING!$C$23:$C$26,MATCH($X155,SCORING!$B$23:$B$26,0)),0)+IFERROR(INDEX(SCORING!$C$29:$C$32,MATCH($Q155,SCORING!$B$29:$B$32,0)),0)+IFERROR(INDEX(SCORING!$C$35:$C$37,MATCH($L155,SCORING!$B$35:$B$37,0)),0)+IF($AP155="",0,IF(AND($AQ155="Valid",$AO155="Decision maker"),SCORING!$C$40,IF($AQ155="Valid",SCORING!$C$41,SCORING!$C$42))))</f>
        <v/>
      </c>
      <c r="BD155" s="36" t="str">
        <f aca="false">IF($BC155="","",IF($BC155&gt;=SCORING!$C$46,"A",IF($BC155&gt;=SCORING!$C$47,"B",IF($BC155&gt;=SCORING!$C$48,"C","D"))))</f>
        <v/>
      </c>
      <c r="BE155" s="37"/>
    </row>
    <row r="156" customFormat="false" ht="15" hidden="false" customHeight="false" outlineLevel="0" collapsed="false">
      <c r="A156" s="37"/>
      <c r="B156" s="38"/>
      <c r="C156" s="37"/>
      <c r="D156" s="37"/>
      <c r="E156" s="17"/>
      <c r="F156" s="17"/>
      <c r="G156" s="37"/>
      <c r="H156" s="32" t="str">
        <f aca="false">IF($G156="","",IFERROR(INDEX(LISTS!$P$3:$P$145,MATCH($G156,LISTS!$O$3:$O$145,0)),"Other"))</f>
        <v/>
      </c>
      <c r="I156" s="37"/>
      <c r="J156" s="17"/>
      <c r="K156" s="17"/>
      <c r="L156" s="37"/>
      <c r="M156" s="37"/>
      <c r="N156" s="39"/>
      <c r="O156" s="37"/>
      <c r="P156" s="39"/>
      <c r="Q156" s="37"/>
      <c r="R156" s="39"/>
      <c r="S156" s="17"/>
      <c r="T156" s="17"/>
      <c r="U156" s="37"/>
      <c r="V156" s="37"/>
      <c r="W156" s="17"/>
      <c r="X156" s="37"/>
      <c r="Y156" s="17"/>
      <c r="Z156" s="39"/>
      <c r="AA156" s="39"/>
      <c r="AB156" s="37"/>
      <c r="AC156" s="37"/>
      <c r="AD156" s="38"/>
      <c r="AE156" s="37"/>
      <c r="AF156" s="37"/>
      <c r="AG156" s="37"/>
      <c r="AH156" s="37"/>
      <c r="AI156" s="17"/>
      <c r="AJ156" s="37"/>
      <c r="AK156" s="17"/>
      <c r="AL156" s="39"/>
      <c r="AM156" s="17"/>
      <c r="AN156" s="17"/>
      <c r="AO156" s="37"/>
      <c r="AP156" s="17"/>
      <c r="AQ156" s="37"/>
      <c r="AR156" s="37"/>
      <c r="AS156" s="37"/>
      <c r="AT156" s="17"/>
      <c r="AU156" s="37"/>
      <c r="AV156" s="37"/>
      <c r="AW156" s="38"/>
      <c r="AX156" s="37"/>
      <c r="AY156" s="38"/>
      <c r="AZ156" s="34" t="str">
        <f aca="false">IF($E156="","",COUNTA($E156,$F156,$G156,$J156,$L156,$Q156,$U156,$X156,$AM156,$AN156,$AP156,$AR156)/12)</f>
        <v/>
      </c>
      <c r="BA156" s="32" t="str">
        <f aca="false">IF($E156="","",IF(COUNTIF($E$3:$E$402,$E156)&gt;1,"DUPLICATE",""))</f>
        <v/>
      </c>
      <c r="BB156" s="17"/>
      <c r="BC156" s="35" t="str">
        <f aca="false">IF($E156="","",IFERROR(INDEX(SCORING!$C$6:$C$15,MATCH($J156,SCORING!$B$6:$B$15,0)),0)+IFERROR(INDEX(SCORING!$C$18:$C$20,MATCH($U156,SCORING!$B$18:$B$20,0)),0)+IFERROR(INDEX(SCORING!$C$23:$C$26,MATCH($X156,SCORING!$B$23:$B$26,0)),0)+IFERROR(INDEX(SCORING!$C$29:$C$32,MATCH($Q156,SCORING!$B$29:$B$32,0)),0)+IFERROR(INDEX(SCORING!$C$35:$C$37,MATCH($L156,SCORING!$B$35:$B$37,0)),0)+IF($AP156="",0,IF(AND($AQ156="Valid",$AO156="Decision maker"),SCORING!$C$40,IF($AQ156="Valid",SCORING!$C$41,SCORING!$C$42))))</f>
        <v/>
      </c>
      <c r="BD156" s="36" t="str">
        <f aca="false">IF($BC156="","",IF($BC156&gt;=SCORING!$C$46,"A",IF($BC156&gt;=SCORING!$C$47,"B",IF($BC156&gt;=SCORING!$C$48,"C","D"))))</f>
        <v/>
      </c>
      <c r="BE156" s="37"/>
    </row>
    <row r="157" customFormat="false" ht="15" hidden="false" customHeight="false" outlineLevel="0" collapsed="false">
      <c r="A157" s="37"/>
      <c r="B157" s="38"/>
      <c r="C157" s="37"/>
      <c r="D157" s="37"/>
      <c r="E157" s="17"/>
      <c r="F157" s="17"/>
      <c r="G157" s="37"/>
      <c r="H157" s="32" t="str">
        <f aca="false">IF($G157="","",IFERROR(INDEX(LISTS!$P$3:$P$145,MATCH($G157,LISTS!$O$3:$O$145,0)),"Other"))</f>
        <v/>
      </c>
      <c r="I157" s="37"/>
      <c r="J157" s="17"/>
      <c r="K157" s="17"/>
      <c r="L157" s="37"/>
      <c r="M157" s="37"/>
      <c r="N157" s="39"/>
      <c r="O157" s="37"/>
      <c r="P157" s="39"/>
      <c r="Q157" s="37"/>
      <c r="R157" s="39"/>
      <c r="S157" s="17"/>
      <c r="T157" s="17"/>
      <c r="U157" s="37"/>
      <c r="V157" s="37"/>
      <c r="W157" s="17"/>
      <c r="X157" s="37"/>
      <c r="Y157" s="17"/>
      <c r="Z157" s="39"/>
      <c r="AA157" s="39"/>
      <c r="AB157" s="37"/>
      <c r="AC157" s="37"/>
      <c r="AD157" s="38"/>
      <c r="AE157" s="37"/>
      <c r="AF157" s="37"/>
      <c r="AG157" s="37"/>
      <c r="AH157" s="37"/>
      <c r="AI157" s="17"/>
      <c r="AJ157" s="37"/>
      <c r="AK157" s="17"/>
      <c r="AL157" s="39"/>
      <c r="AM157" s="17"/>
      <c r="AN157" s="17"/>
      <c r="AO157" s="37"/>
      <c r="AP157" s="17"/>
      <c r="AQ157" s="37"/>
      <c r="AR157" s="37"/>
      <c r="AS157" s="37"/>
      <c r="AT157" s="17"/>
      <c r="AU157" s="37"/>
      <c r="AV157" s="37"/>
      <c r="AW157" s="38"/>
      <c r="AX157" s="37"/>
      <c r="AY157" s="38"/>
      <c r="AZ157" s="34" t="str">
        <f aca="false">IF($E157="","",COUNTA($E157,$F157,$G157,$J157,$L157,$Q157,$U157,$X157,$AM157,$AN157,$AP157,$AR157)/12)</f>
        <v/>
      </c>
      <c r="BA157" s="32" t="str">
        <f aca="false">IF($E157="","",IF(COUNTIF($E$3:$E$402,$E157)&gt;1,"DUPLICATE",""))</f>
        <v/>
      </c>
      <c r="BB157" s="17"/>
      <c r="BC157" s="35" t="str">
        <f aca="false">IF($E157="","",IFERROR(INDEX(SCORING!$C$6:$C$15,MATCH($J157,SCORING!$B$6:$B$15,0)),0)+IFERROR(INDEX(SCORING!$C$18:$C$20,MATCH($U157,SCORING!$B$18:$B$20,0)),0)+IFERROR(INDEX(SCORING!$C$23:$C$26,MATCH($X157,SCORING!$B$23:$B$26,0)),0)+IFERROR(INDEX(SCORING!$C$29:$C$32,MATCH($Q157,SCORING!$B$29:$B$32,0)),0)+IFERROR(INDEX(SCORING!$C$35:$C$37,MATCH($L157,SCORING!$B$35:$B$37,0)),0)+IF($AP157="",0,IF(AND($AQ157="Valid",$AO157="Decision maker"),SCORING!$C$40,IF($AQ157="Valid",SCORING!$C$41,SCORING!$C$42))))</f>
        <v/>
      </c>
      <c r="BD157" s="36" t="str">
        <f aca="false">IF($BC157="","",IF($BC157&gt;=SCORING!$C$46,"A",IF($BC157&gt;=SCORING!$C$47,"B",IF($BC157&gt;=SCORING!$C$48,"C","D"))))</f>
        <v/>
      </c>
      <c r="BE157" s="37"/>
    </row>
    <row r="158" customFormat="false" ht="15" hidden="false" customHeight="false" outlineLevel="0" collapsed="false">
      <c r="A158" s="37"/>
      <c r="B158" s="38"/>
      <c r="C158" s="37"/>
      <c r="D158" s="37"/>
      <c r="E158" s="17"/>
      <c r="F158" s="17"/>
      <c r="G158" s="37"/>
      <c r="H158" s="32" t="str">
        <f aca="false">IF($G158="","",IFERROR(INDEX(LISTS!$P$3:$P$145,MATCH($G158,LISTS!$O$3:$O$145,0)),"Other"))</f>
        <v/>
      </c>
      <c r="I158" s="37"/>
      <c r="J158" s="17"/>
      <c r="K158" s="17"/>
      <c r="L158" s="37"/>
      <c r="M158" s="37"/>
      <c r="N158" s="39"/>
      <c r="O158" s="37"/>
      <c r="P158" s="39"/>
      <c r="Q158" s="37"/>
      <c r="R158" s="39"/>
      <c r="S158" s="17"/>
      <c r="T158" s="17"/>
      <c r="U158" s="37"/>
      <c r="V158" s="37"/>
      <c r="W158" s="17"/>
      <c r="X158" s="37"/>
      <c r="Y158" s="17"/>
      <c r="Z158" s="39"/>
      <c r="AA158" s="39"/>
      <c r="AB158" s="37"/>
      <c r="AC158" s="37"/>
      <c r="AD158" s="38"/>
      <c r="AE158" s="37"/>
      <c r="AF158" s="37"/>
      <c r="AG158" s="37"/>
      <c r="AH158" s="37"/>
      <c r="AI158" s="17"/>
      <c r="AJ158" s="37"/>
      <c r="AK158" s="17"/>
      <c r="AL158" s="39"/>
      <c r="AM158" s="17"/>
      <c r="AN158" s="17"/>
      <c r="AO158" s="37"/>
      <c r="AP158" s="17"/>
      <c r="AQ158" s="37"/>
      <c r="AR158" s="37"/>
      <c r="AS158" s="37"/>
      <c r="AT158" s="17"/>
      <c r="AU158" s="37"/>
      <c r="AV158" s="37"/>
      <c r="AW158" s="38"/>
      <c r="AX158" s="37"/>
      <c r="AY158" s="38"/>
      <c r="AZ158" s="34" t="str">
        <f aca="false">IF($E158="","",COUNTA($E158,$F158,$G158,$J158,$L158,$Q158,$U158,$X158,$AM158,$AN158,$AP158,$AR158)/12)</f>
        <v/>
      </c>
      <c r="BA158" s="32" t="str">
        <f aca="false">IF($E158="","",IF(COUNTIF($E$3:$E$402,$E158)&gt;1,"DUPLICATE",""))</f>
        <v/>
      </c>
      <c r="BB158" s="17"/>
      <c r="BC158" s="35" t="str">
        <f aca="false">IF($E158="","",IFERROR(INDEX(SCORING!$C$6:$C$15,MATCH($J158,SCORING!$B$6:$B$15,0)),0)+IFERROR(INDEX(SCORING!$C$18:$C$20,MATCH($U158,SCORING!$B$18:$B$20,0)),0)+IFERROR(INDEX(SCORING!$C$23:$C$26,MATCH($X158,SCORING!$B$23:$B$26,0)),0)+IFERROR(INDEX(SCORING!$C$29:$C$32,MATCH($Q158,SCORING!$B$29:$B$32,0)),0)+IFERROR(INDEX(SCORING!$C$35:$C$37,MATCH($L158,SCORING!$B$35:$B$37,0)),0)+IF($AP158="",0,IF(AND($AQ158="Valid",$AO158="Decision maker"),SCORING!$C$40,IF($AQ158="Valid",SCORING!$C$41,SCORING!$C$42))))</f>
        <v/>
      </c>
      <c r="BD158" s="36" t="str">
        <f aca="false">IF($BC158="","",IF($BC158&gt;=SCORING!$C$46,"A",IF($BC158&gt;=SCORING!$C$47,"B",IF($BC158&gt;=SCORING!$C$48,"C","D"))))</f>
        <v/>
      </c>
      <c r="BE158" s="37"/>
    </row>
    <row r="159" customFormat="false" ht="15" hidden="false" customHeight="false" outlineLevel="0" collapsed="false">
      <c r="A159" s="37"/>
      <c r="B159" s="38"/>
      <c r="C159" s="37"/>
      <c r="D159" s="37"/>
      <c r="E159" s="17"/>
      <c r="F159" s="17"/>
      <c r="G159" s="37"/>
      <c r="H159" s="32" t="str">
        <f aca="false">IF($G159="","",IFERROR(INDEX(LISTS!$P$3:$P$145,MATCH($G159,LISTS!$O$3:$O$145,0)),"Other"))</f>
        <v/>
      </c>
      <c r="I159" s="37"/>
      <c r="J159" s="17"/>
      <c r="K159" s="17"/>
      <c r="L159" s="37"/>
      <c r="M159" s="37"/>
      <c r="N159" s="39"/>
      <c r="O159" s="37"/>
      <c r="P159" s="39"/>
      <c r="Q159" s="37"/>
      <c r="R159" s="39"/>
      <c r="S159" s="17"/>
      <c r="T159" s="17"/>
      <c r="U159" s="37"/>
      <c r="V159" s="37"/>
      <c r="W159" s="17"/>
      <c r="X159" s="37"/>
      <c r="Y159" s="17"/>
      <c r="Z159" s="39"/>
      <c r="AA159" s="39"/>
      <c r="AB159" s="37"/>
      <c r="AC159" s="37"/>
      <c r="AD159" s="38"/>
      <c r="AE159" s="37"/>
      <c r="AF159" s="37"/>
      <c r="AG159" s="37"/>
      <c r="AH159" s="37"/>
      <c r="AI159" s="17"/>
      <c r="AJ159" s="37"/>
      <c r="AK159" s="17"/>
      <c r="AL159" s="39"/>
      <c r="AM159" s="17"/>
      <c r="AN159" s="17"/>
      <c r="AO159" s="37"/>
      <c r="AP159" s="17"/>
      <c r="AQ159" s="37"/>
      <c r="AR159" s="37"/>
      <c r="AS159" s="37"/>
      <c r="AT159" s="17"/>
      <c r="AU159" s="37"/>
      <c r="AV159" s="37"/>
      <c r="AW159" s="38"/>
      <c r="AX159" s="37"/>
      <c r="AY159" s="38"/>
      <c r="AZ159" s="34" t="str">
        <f aca="false">IF($E159="","",COUNTA($E159,$F159,$G159,$J159,$L159,$Q159,$U159,$X159,$AM159,$AN159,$AP159,$AR159)/12)</f>
        <v/>
      </c>
      <c r="BA159" s="32" t="str">
        <f aca="false">IF($E159="","",IF(COUNTIF($E$3:$E$402,$E159)&gt;1,"DUPLICATE",""))</f>
        <v/>
      </c>
      <c r="BB159" s="17"/>
      <c r="BC159" s="35" t="str">
        <f aca="false">IF($E159="","",IFERROR(INDEX(SCORING!$C$6:$C$15,MATCH($J159,SCORING!$B$6:$B$15,0)),0)+IFERROR(INDEX(SCORING!$C$18:$C$20,MATCH($U159,SCORING!$B$18:$B$20,0)),0)+IFERROR(INDEX(SCORING!$C$23:$C$26,MATCH($X159,SCORING!$B$23:$B$26,0)),0)+IFERROR(INDEX(SCORING!$C$29:$C$32,MATCH($Q159,SCORING!$B$29:$B$32,0)),0)+IFERROR(INDEX(SCORING!$C$35:$C$37,MATCH($L159,SCORING!$B$35:$B$37,0)),0)+IF($AP159="",0,IF(AND($AQ159="Valid",$AO159="Decision maker"),SCORING!$C$40,IF($AQ159="Valid",SCORING!$C$41,SCORING!$C$42))))</f>
        <v/>
      </c>
      <c r="BD159" s="36" t="str">
        <f aca="false">IF($BC159="","",IF($BC159&gt;=SCORING!$C$46,"A",IF($BC159&gt;=SCORING!$C$47,"B",IF($BC159&gt;=SCORING!$C$48,"C","D"))))</f>
        <v/>
      </c>
      <c r="BE159" s="37"/>
    </row>
    <row r="160" customFormat="false" ht="15" hidden="false" customHeight="false" outlineLevel="0" collapsed="false">
      <c r="A160" s="37"/>
      <c r="B160" s="38"/>
      <c r="C160" s="37"/>
      <c r="D160" s="37"/>
      <c r="E160" s="17"/>
      <c r="F160" s="17"/>
      <c r="G160" s="37"/>
      <c r="H160" s="32" t="str">
        <f aca="false">IF($G160="","",IFERROR(INDEX(LISTS!$P$3:$P$145,MATCH($G160,LISTS!$O$3:$O$145,0)),"Other"))</f>
        <v/>
      </c>
      <c r="I160" s="37"/>
      <c r="J160" s="17"/>
      <c r="K160" s="17"/>
      <c r="L160" s="37"/>
      <c r="M160" s="37"/>
      <c r="N160" s="39"/>
      <c r="O160" s="37"/>
      <c r="P160" s="39"/>
      <c r="Q160" s="37"/>
      <c r="R160" s="39"/>
      <c r="S160" s="17"/>
      <c r="T160" s="17"/>
      <c r="U160" s="37"/>
      <c r="V160" s="37"/>
      <c r="W160" s="17"/>
      <c r="X160" s="37"/>
      <c r="Y160" s="17"/>
      <c r="Z160" s="39"/>
      <c r="AA160" s="39"/>
      <c r="AB160" s="37"/>
      <c r="AC160" s="37"/>
      <c r="AD160" s="38"/>
      <c r="AE160" s="37"/>
      <c r="AF160" s="37"/>
      <c r="AG160" s="37"/>
      <c r="AH160" s="37"/>
      <c r="AI160" s="17"/>
      <c r="AJ160" s="37"/>
      <c r="AK160" s="17"/>
      <c r="AL160" s="39"/>
      <c r="AM160" s="17"/>
      <c r="AN160" s="17"/>
      <c r="AO160" s="37"/>
      <c r="AP160" s="17"/>
      <c r="AQ160" s="37"/>
      <c r="AR160" s="37"/>
      <c r="AS160" s="37"/>
      <c r="AT160" s="17"/>
      <c r="AU160" s="37"/>
      <c r="AV160" s="37"/>
      <c r="AW160" s="38"/>
      <c r="AX160" s="37"/>
      <c r="AY160" s="38"/>
      <c r="AZ160" s="34" t="str">
        <f aca="false">IF($E160="","",COUNTA($E160,$F160,$G160,$J160,$L160,$Q160,$U160,$X160,$AM160,$AN160,$AP160,$AR160)/12)</f>
        <v/>
      </c>
      <c r="BA160" s="32" t="str">
        <f aca="false">IF($E160="","",IF(COUNTIF($E$3:$E$402,$E160)&gt;1,"DUPLICATE",""))</f>
        <v/>
      </c>
      <c r="BB160" s="17"/>
      <c r="BC160" s="35" t="str">
        <f aca="false">IF($E160="","",IFERROR(INDEX(SCORING!$C$6:$C$15,MATCH($J160,SCORING!$B$6:$B$15,0)),0)+IFERROR(INDEX(SCORING!$C$18:$C$20,MATCH($U160,SCORING!$B$18:$B$20,0)),0)+IFERROR(INDEX(SCORING!$C$23:$C$26,MATCH($X160,SCORING!$B$23:$B$26,0)),0)+IFERROR(INDEX(SCORING!$C$29:$C$32,MATCH($Q160,SCORING!$B$29:$B$32,0)),0)+IFERROR(INDEX(SCORING!$C$35:$C$37,MATCH($L160,SCORING!$B$35:$B$37,0)),0)+IF($AP160="",0,IF(AND($AQ160="Valid",$AO160="Decision maker"),SCORING!$C$40,IF($AQ160="Valid",SCORING!$C$41,SCORING!$C$42))))</f>
        <v/>
      </c>
      <c r="BD160" s="36" t="str">
        <f aca="false">IF($BC160="","",IF($BC160&gt;=SCORING!$C$46,"A",IF($BC160&gt;=SCORING!$C$47,"B",IF($BC160&gt;=SCORING!$C$48,"C","D"))))</f>
        <v/>
      </c>
      <c r="BE160" s="37"/>
    </row>
    <row r="161" customFormat="false" ht="15" hidden="false" customHeight="false" outlineLevel="0" collapsed="false">
      <c r="A161" s="37"/>
      <c r="B161" s="38"/>
      <c r="C161" s="37"/>
      <c r="D161" s="37"/>
      <c r="E161" s="17"/>
      <c r="F161" s="17"/>
      <c r="G161" s="37"/>
      <c r="H161" s="32" t="str">
        <f aca="false">IF($G161="","",IFERROR(INDEX(LISTS!$P$3:$P$145,MATCH($G161,LISTS!$O$3:$O$145,0)),"Other"))</f>
        <v/>
      </c>
      <c r="I161" s="37"/>
      <c r="J161" s="17"/>
      <c r="K161" s="17"/>
      <c r="L161" s="37"/>
      <c r="M161" s="37"/>
      <c r="N161" s="39"/>
      <c r="O161" s="37"/>
      <c r="P161" s="39"/>
      <c r="Q161" s="37"/>
      <c r="R161" s="39"/>
      <c r="S161" s="17"/>
      <c r="T161" s="17"/>
      <c r="U161" s="37"/>
      <c r="V161" s="37"/>
      <c r="W161" s="17"/>
      <c r="X161" s="37"/>
      <c r="Y161" s="17"/>
      <c r="Z161" s="39"/>
      <c r="AA161" s="39"/>
      <c r="AB161" s="37"/>
      <c r="AC161" s="37"/>
      <c r="AD161" s="38"/>
      <c r="AE161" s="37"/>
      <c r="AF161" s="37"/>
      <c r="AG161" s="37"/>
      <c r="AH161" s="37"/>
      <c r="AI161" s="17"/>
      <c r="AJ161" s="37"/>
      <c r="AK161" s="17"/>
      <c r="AL161" s="39"/>
      <c r="AM161" s="17"/>
      <c r="AN161" s="17"/>
      <c r="AO161" s="37"/>
      <c r="AP161" s="17"/>
      <c r="AQ161" s="37"/>
      <c r="AR161" s="37"/>
      <c r="AS161" s="37"/>
      <c r="AT161" s="17"/>
      <c r="AU161" s="37"/>
      <c r="AV161" s="37"/>
      <c r="AW161" s="38"/>
      <c r="AX161" s="37"/>
      <c r="AY161" s="38"/>
      <c r="AZ161" s="34" t="str">
        <f aca="false">IF($E161="","",COUNTA($E161,$F161,$G161,$J161,$L161,$Q161,$U161,$X161,$AM161,$AN161,$AP161,$AR161)/12)</f>
        <v/>
      </c>
      <c r="BA161" s="32" t="str">
        <f aca="false">IF($E161="","",IF(COUNTIF($E$3:$E$402,$E161)&gt;1,"DUPLICATE",""))</f>
        <v/>
      </c>
      <c r="BB161" s="17"/>
      <c r="BC161" s="35" t="str">
        <f aca="false">IF($E161="","",IFERROR(INDEX(SCORING!$C$6:$C$15,MATCH($J161,SCORING!$B$6:$B$15,0)),0)+IFERROR(INDEX(SCORING!$C$18:$C$20,MATCH($U161,SCORING!$B$18:$B$20,0)),0)+IFERROR(INDEX(SCORING!$C$23:$C$26,MATCH($X161,SCORING!$B$23:$B$26,0)),0)+IFERROR(INDEX(SCORING!$C$29:$C$32,MATCH($Q161,SCORING!$B$29:$B$32,0)),0)+IFERROR(INDEX(SCORING!$C$35:$C$37,MATCH($L161,SCORING!$B$35:$B$37,0)),0)+IF($AP161="",0,IF(AND($AQ161="Valid",$AO161="Decision maker"),SCORING!$C$40,IF($AQ161="Valid",SCORING!$C$41,SCORING!$C$42))))</f>
        <v/>
      </c>
      <c r="BD161" s="36" t="str">
        <f aca="false">IF($BC161="","",IF($BC161&gt;=SCORING!$C$46,"A",IF($BC161&gt;=SCORING!$C$47,"B",IF($BC161&gt;=SCORING!$C$48,"C","D"))))</f>
        <v/>
      </c>
      <c r="BE161" s="37"/>
    </row>
    <row r="162" customFormat="false" ht="15" hidden="false" customHeight="false" outlineLevel="0" collapsed="false">
      <c r="A162" s="37"/>
      <c r="B162" s="38"/>
      <c r="C162" s="37"/>
      <c r="D162" s="37"/>
      <c r="E162" s="17"/>
      <c r="F162" s="17"/>
      <c r="G162" s="37"/>
      <c r="H162" s="32" t="str">
        <f aca="false">IF($G162="","",IFERROR(INDEX(LISTS!$P$3:$P$145,MATCH($G162,LISTS!$O$3:$O$145,0)),"Other"))</f>
        <v/>
      </c>
      <c r="I162" s="37"/>
      <c r="J162" s="17"/>
      <c r="K162" s="17"/>
      <c r="L162" s="37"/>
      <c r="M162" s="37"/>
      <c r="N162" s="39"/>
      <c r="O162" s="37"/>
      <c r="P162" s="39"/>
      <c r="Q162" s="37"/>
      <c r="R162" s="39"/>
      <c r="S162" s="17"/>
      <c r="T162" s="17"/>
      <c r="U162" s="37"/>
      <c r="V162" s="37"/>
      <c r="W162" s="17"/>
      <c r="X162" s="37"/>
      <c r="Y162" s="17"/>
      <c r="Z162" s="39"/>
      <c r="AA162" s="39"/>
      <c r="AB162" s="37"/>
      <c r="AC162" s="37"/>
      <c r="AD162" s="38"/>
      <c r="AE162" s="37"/>
      <c r="AF162" s="37"/>
      <c r="AG162" s="37"/>
      <c r="AH162" s="37"/>
      <c r="AI162" s="17"/>
      <c r="AJ162" s="37"/>
      <c r="AK162" s="17"/>
      <c r="AL162" s="39"/>
      <c r="AM162" s="17"/>
      <c r="AN162" s="17"/>
      <c r="AO162" s="37"/>
      <c r="AP162" s="17"/>
      <c r="AQ162" s="37"/>
      <c r="AR162" s="37"/>
      <c r="AS162" s="37"/>
      <c r="AT162" s="17"/>
      <c r="AU162" s="37"/>
      <c r="AV162" s="37"/>
      <c r="AW162" s="38"/>
      <c r="AX162" s="37"/>
      <c r="AY162" s="38"/>
      <c r="AZ162" s="34" t="str">
        <f aca="false">IF($E162="","",COUNTA($E162,$F162,$G162,$J162,$L162,$Q162,$U162,$X162,$AM162,$AN162,$AP162,$AR162)/12)</f>
        <v/>
      </c>
      <c r="BA162" s="32" t="str">
        <f aca="false">IF($E162="","",IF(COUNTIF($E$3:$E$402,$E162)&gt;1,"DUPLICATE",""))</f>
        <v/>
      </c>
      <c r="BB162" s="17"/>
      <c r="BC162" s="35" t="str">
        <f aca="false">IF($E162="","",IFERROR(INDEX(SCORING!$C$6:$C$15,MATCH($J162,SCORING!$B$6:$B$15,0)),0)+IFERROR(INDEX(SCORING!$C$18:$C$20,MATCH($U162,SCORING!$B$18:$B$20,0)),0)+IFERROR(INDEX(SCORING!$C$23:$C$26,MATCH($X162,SCORING!$B$23:$B$26,0)),0)+IFERROR(INDEX(SCORING!$C$29:$C$32,MATCH($Q162,SCORING!$B$29:$B$32,0)),0)+IFERROR(INDEX(SCORING!$C$35:$C$37,MATCH($L162,SCORING!$B$35:$B$37,0)),0)+IF($AP162="",0,IF(AND($AQ162="Valid",$AO162="Decision maker"),SCORING!$C$40,IF($AQ162="Valid",SCORING!$C$41,SCORING!$C$42))))</f>
        <v/>
      </c>
      <c r="BD162" s="36" t="str">
        <f aca="false">IF($BC162="","",IF($BC162&gt;=SCORING!$C$46,"A",IF($BC162&gt;=SCORING!$C$47,"B",IF($BC162&gt;=SCORING!$C$48,"C","D"))))</f>
        <v/>
      </c>
      <c r="BE162" s="37"/>
    </row>
    <row r="163" customFormat="false" ht="15" hidden="false" customHeight="false" outlineLevel="0" collapsed="false">
      <c r="A163" s="37"/>
      <c r="B163" s="38"/>
      <c r="C163" s="37"/>
      <c r="D163" s="37"/>
      <c r="E163" s="17"/>
      <c r="F163" s="17"/>
      <c r="G163" s="37"/>
      <c r="H163" s="32" t="str">
        <f aca="false">IF($G163="","",IFERROR(INDEX(LISTS!$P$3:$P$145,MATCH($G163,LISTS!$O$3:$O$145,0)),"Other"))</f>
        <v/>
      </c>
      <c r="I163" s="37"/>
      <c r="J163" s="17"/>
      <c r="K163" s="17"/>
      <c r="L163" s="37"/>
      <c r="M163" s="37"/>
      <c r="N163" s="39"/>
      <c r="O163" s="37"/>
      <c r="P163" s="39"/>
      <c r="Q163" s="37"/>
      <c r="R163" s="39"/>
      <c r="S163" s="17"/>
      <c r="T163" s="17"/>
      <c r="U163" s="37"/>
      <c r="V163" s="37"/>
      <c r="W163" s="17"/>
      <c r="X163" s="37"/>
      <c r="Y163" s="17"/>
      <c r="Z163" s="39"/>
      <c r="AA163" s="39"/>
      <c r="AB163" s="37"/>
      <c r="AC163" s="37"/>
      <c r="AD163" s="38"/>
      <c r="AE163" s="37"/>
      <c r="AF163" s="37"/>
      <c r="AG163" s="37"/>
      <c r="AH163" s="37"/>
      <c r="AI163" s="17"/>
      <c r="AJ163" s="37"/>
      <c r="AK163" s="17"/>
      <c r="AL163" s="39"/>
      <c r="AM163" s="17"/>
      <c r="AN163" s="17"/>
      <c r="AO163" s="37"/>
      <c r="AP163" s="17"/>
      <c r="AQ163" s="37"/>
      <c r="AR163" s="37"/>
      <c r="AS163" s="37"/>
      <c r="AT163" s="17"/>
      <c r="AU163" s="37"/>
      <c r="AV163" s="37"/>
      <c r="AW163" s="38"/>
      <c r="AX163" s="37"/>
      <c r="AY163" s="38"/>
      <c r="AZ163" s="34" t="str">
        <f aca="false">IF($E163="","",COUNTA($E163,$F163,$G163,$J163,$L163,$Q163,$U163,$X163,$AM163,$AN163,$AP163,$AR163)/12)</f>
        <v/>
      </c>
      <c r="BA163" s="32" t="str">
        <f aca="false">IF($E163="","",IF(COUNTIF($E$3:$E$402,$E163)&gt;1,"DUPLICATE",""))</f>
        <v/>
      </c>
      <c r="BB163" s="17"/>
      <c r="BC163" s="35" t="str">
        <f aca="false">IF($E163="","",IFERROR(INDEX(SCORING!$C$6:$C$15,MATCH($J163,SCORING!$B$6:$B$15,0)),0)+IFERROR(INDEX(SCORING!$C$18:$C$20,MATCH($U163,SCORING!$B$18:$B$20,0)),0)+IFERROR(INDEX(SCORING!$C$23:$C$26,MATCH($X163,SCORING!$B$23:$B$26,0)),0)+IFERROR(INDEX(SCORING!$C$29:$C$32,MATCH($Q163,SCORING!$B$29:$B$32,0)),0)+IFERROR(INDEX(SCORING!$C$35:$C$37,MATCH($L163,SCORING!$B$35:$B$37,0)),0)+IF($AP163="",0,IF(AND($AQ163="Valid",$AO163="Decision maker"),SCORING!$C$40,IF($AQ163="Valid",SCORING!$C$41,SCORING!$C$42))))</f>
        <v/>
      </c>
      <c r="BD163" s="36" t="str">
        <f aca="false">IF($BC163="","",IF($BC163&gt;=SCORING!$C$46,"A",IF($BC163&gt;=SCORING!$C$47,"B",IF($BC163&gt;=SCORING!$C$48,"C","D"))))</f>
        <v/>
      </c>
      <c r="BE163" s="37"/>
    </row>
    <row r="164" customFormat="false" ht="15" hidden="false" customHeight="false" outlineLevel="0" collapsed="false">
      <c r="A164" s="37"/>
      <c r="B164" s="38"/>
      <c r="C164" s="37"/>
      <c r="D164" s="37"/>
      <c r="E164" s="17"/>
      <c r="F164" s="17"/>
      <c r="G164" s="37"/>
      <c r="H164" s="32" t="str">
        <f aca="false">IF($G164="","",IFERROR(INDEX(LISTS!$P$3:$P$145,MATCH($G164,LISTS!$O$3:$O$145,0)),"Other"))</f>
        <v/>
      </c>
      <c r="I164" s="37"/>
      <c r="J164" s="17"/>
      <c r="K164" s="17"/>
      <c r="L164" s="37"/>
      <c r="M164" s="37"/>
      <c r="N164" s="39"/>
      <c r="O164" s="37"/>
      <c r="P164" s="39"/>
      <c r="Q164" s="37"/>
      <c r="R164" s="39"/>
      <c r="S164" s="17"/>
      <c r="T164" s="17"/>
      <c r="U164" s="37"/>
      <c r="V164" s="37"/>
      <c r="W164" s="17"/>
      <c r="X164" s="37"/>
      <c r="Y164" s="17"/>
      <c r="Z164" s="39"/>
      <c r="AA164" s="39"/>
      <c r="AB164" s="37"/>
      <c r="AC164" s="37"/>
      <c r="AD164" s="38"/>
      <c r="AE164" s="37"/>
      <c r="AF164" s="37"/>
      <c r="AG164" s="37"/>
      <c r="AH164" s="37"/>
      <c r="AI164" s="17"/>
      <c r="AJ164" s="37"/>
      <c r="AK164" s="17"/>
      <c r="AL164" s="39"/>
      <c r="AM164" s="17"/>
      <c r="AN164" s="17"/>
      <c r="AO164" s="37"/>
      <c r="AP164" s="17"/>
      <c r="AQ164" s="37"/>
      <c r="AR164" s="37"/>
      <c r="AS164" s="37"/>
      <c r="AT164" s="17"/>
      <c r="AU164" s="37"/>
      <c r="AV164" s="37"/>
      <c r="AW164" s="38"/>
      <c r="AX164" s="37"/>
      <c r="AY164" s="38"/>
      <c r="AZ164" s="34" t="str">
        <f aca="false">IF($E164="","",COUNTA($E164,$F164,$G164,$J164,$L164,$Q164,$U164,$X164,$AM164,$AN164,$AP164,$AR164)/12)</f>
        <v/>
      </c>
      <c r="BA164" s="32" t="str">
        <f aca="false">IF($E164="","",IF(COUNTIF($E$3:$E$402,$E164)&gt;1,"DUPLICATE",""))</f>
        <v/>
      </c>
      <c r="BB164" s="17"/>
      <c r="BC164" s="35" t="str">
        <f aca="false">IF($E164="","",IFERROR(INDEX(SCORING!$C$6:$C$15,MATCH($J164,SCORING!$B$6:$B$15,0)),0)+IFERROR(INDEX(SCORING!$C$18:$C$20,MATCH($U164,SCORING!$B$18:$B$20,0)),0)+IFERROR(INDEX(SCORING!$C$23:$C$26,MATCH($X164,SCORING!$B$23:$B$26,0)),0)+IFERROR(INDEX(SCORING!$C$29:$C$32,MATCH($Q164,SCORING!$B$29:$B$32,0)),0)+IFERROR(INDEX(SCORING!$C$35:$C$37,MATCH($L164,SCORING!$B$35:$B$37,0)),0)+IF($AP164="",0,IF(AND($AQ164="Valid",$AO164="Decision maker"),SCORING!$C$40,IF($AQ164="Valid",SCORING!$C$41,SCORING!$C$42))))</f>
        <v/>
      </c>
      <c r="BD164" s="36" t="str">
        <f aca="false">IF($BC164="","",IF($BC164&gt;=SCORING!$C$46,"A",IF($BC164&gt;=SCORING!$C$47,"B",IF($BC164&gt;=SCORING!$C$48,"C","D"))))</f>
        <v/>
      </c>
      <c r="BE164" s="37"/>
    </row>
    <row r="165" customFormat="false" ht="15" hidden="false" customHeight="false" outlineLevel="0" collapsed="false">
      <c r="A165" s="37"/>
      <c r="B165" s="38"/>
      <c r="C165" s="37"/>
      <c r="D165" s="37"/>
      <c r="E165" s="17"/>
      <c r="F165" s="17"/>
      <c r="G165" s="37"/>
      <c r="H165" s="32" t="str">
        <f aca="false">IF($G165="","",IFERROR(INDEX(LISTS!$P$3:$P$145,MATCH($G165,LISTS!$O$3:$O$145,0)),"Other"))</f>
        <v/>
      </c>
      <c r="I165" s="37"/>
      <c r="J165" s="17"/>
      <c r="K165" s="17"/>
      <c r="L165" s="37"/>
      <c r="M165" s="37"/>
      <c r="N165" s="39"/>
      <c r="O165" s="37"/>
      <c r="P165" s="39"/>
      <c r="Q165" s="37"/>
      <c r="R165" s="39"/>
      <c r="S165" s="17"/>
      <c r="T165" s="17"/>
      <c r="U165" s="37"/>
      <c r="V165" s="37"/>
      <c r="W165" s="17"/>
      <c r="X165" s="37"/>
      <c r="Y165" s="17"/>
      <c r="Z165" s="39"/>
      <c r="AA165" s="39"/>
      <c r="AB165" s="37"/>
      <c r="AC165" s="37"/>
      <c r="AD165" s="38"/>
      <c r="AE165" s="37"/>
      <c r="AF165" s="37"/>
      <c r="AG165" s="37"/>
      <c r="AH165" s="37"/>
      <c r="AI165" s="17"/>
      <c r="AJ165" s="37"/>
      <c r="AK165" s="17"/>
      <c r="AL165" s="39"/>
      <c r="AM165" s="17"/>
      <c r="AN165" s="17"/>
      <c r="AO165" s="37"/>
      <c r="AP165" s="17"/>
      <c r="AQ165" s="37"/>
      <c r="AR165" s="37"/>
      <c r="AS165" s="37"/>
      <c r="AT165" s="17"/>
      <c r="AU165" s="37"/>
      <c r="AV165" s="37"/>
      <c r="AW165" s="38"/>
      <c r="AX165" s="37"/>
      <c r="AY165" s="38"/>
      <c r="AZ165" s="34" t="str">
        <f aca="false">IF($E165="","",COUNTA($E165,$F165,$G165,$J165,$L165,$Q165,$U165,$X165,$AM165,$AN165,$AP165,$AR165)/12)</f>
        <v/>
      </c>
      <c r="BA165" s="32" t="str">
        <f aca="false">IF($E165="","",IF(COUNTIF($E$3:$E$402,$E165)&gt;1,"DUPLICATE",""))</f>
        <v/>
      </c>
      <c r="BB165" s="17"/>
      <c r="BC165" s="35" t="str">
        <f aca="false">IF($E165="","",IFERROR(INDEX(SCORING!$C$6:$C$15,MATCH($J165,SCORING!$B$6:$B$15,0)),0)+IFERROR(INDEX(SCORING!$C$18:$C$20,MATCH($U165,SCORING!$B$18:$B$20,0)),0)+IFERROR(INDEX(SCORING!$C$23:$C$26,MATCH($X165,SCORING!$B$23:$B$26,0)),0)+IFERROR(INDEX(SCORING!$C$29:$C$32,MATCH($Q165,SCORING!$B$29:$B$32,0)),0)+IFERROR(INDEX(SCORING!$C$35:$C$37,MATCH($L165,SCORING!$B$35:$B$37,0)),0)+IF($AP165="",0,IF(AND($AQ165="Valid",$AO165="Decision maker"),SCORING!$C$40,IF($AQ165="Valid",SCORING!$C$41,SCORING!$C$42))))</f>
        <v/>
      </c>
      <c r="BD165" s="36" t="str">
        <f aca="false">IF($BC165="","",IF($BC165&gt;=SCORING!$C$46,"A",IF($BC165&gt;=SCORING!$C$47,"B",IF($BC165&gt;=SCORING!$C$48,"C","D"))))</f>
        <v/>
      </c>
      <c r="BE165" s="37"/>
    </row>
    <row r="166" customFormat="false" ht="15" hidden="false" customHeight="false" outlineLevel="0" collapsed="false">
      <c r="A166" s="37"/>
      <c r="B166" s="38"/>
      <c r="C166" s="37"/>
      <c r="D166" s="37"/>
      <c r="E166" s="17"/>
      <c r="F166" s="17"/>
      <c r="G166" s="37"/>
      <c r="H166" s="32" t="str">
        <f aca="false">IF($G166="","",IFERROR(INDEX(LISTS!$P$3:$P$145,MATCH($G166,LISTS!$O$3:$O$145,0)),"Other"))</f>
        <v/>
      </c>
      <c r="I166" s="37"/>
      <c r="J166" s="17"/>
      <c r="K166" s="17"/>
      <c r="L166" s="37"/>
      <c r="M166" s="37"/>
      <c r="N166" s="39"/>
      <c r="O166" s="37"/>
      <c r="P166" s="39"/>
      <c r="Q166" s="37"/>
      <c r="R166" s="39"/>
      <c r="S166" s="17"/>
      <c r="T166" s="17"/>
      <c r="U166" s="37"/>
      <c r="V166" s="37"/>
      <c r="W166" s="17"/>
      <c r="X166" s="37"/>
      <c r="Y166" s="17"/>
      <c r="Z166" s="39"/>
      <c r="AA166" s="39"/>
      <c r="AB166" s="37"/>
      <c r="AC166" s="37"/>
      <c r="AD166" s="38"/>
      <c r="AE166" s="37"/>
      <c r="AF166" s="37"/>
      <c r="AG166" s="37"/>
      <c r="AH166" s="37"/>
      <c r="AI166" s="17"/>
      <c r="AJ166" s="37"/>
      <c r="AK166" s="17"/>
      <c r="AL166" s="39"/>
      <c r="AM166" s="17"/>
      <c r="AN166" s="17"/>
      <c r="AO166" s="37"/>
      <c r="AP166" s="17"/>
      <c r="AQ166" s="37"/>
      <c r="AR166" s="37"/>
      <c r="AS166" s="37"/>
      <c r="AT166" s="17"/>
      <c r="AU166" s="37"/>
      <c r="AV166" s="37"/>
      <c r="AW166" s="38"/>
      <c r="AX166" s="37"/>
      <c r="AY166" s="38"/>
      <c r="AZ166" s="34" t="str">
        <f aca="false">IF($E166="","",COUNTA($E166,$F166,$G166,$J166,$L166,$Q166,$U166,$X166,$AM166,$AN166,$AP166,$AR166)/12)</f>
        <v/>
      </c>
      <c r="BA166" s="32" t="str">
        <f aca="false">IF($E166="","",IF(COUNTIF($E$3:$E$402,$E166)&gt;1,"DUPLICATE",""))</f>
        <v/>
      </c>
      <c r="BB166" s="17"/>
      <c r="BC166" s="35" t="str">
        <f aca="false">IF($E166="","",IFERROR(INDEX(SCORING!$C$6:$C$15,MATCH($J166,SCORING!$B$6:$B$15,0)),0)+IFERROR(INDEX(SCORING!$C$18:$C$20,MATCH($U166,SCORING!$B$18:$B$20,0)),0)+IFERROR(INDEX(SCORING!$C$23:$C$26,MATCH($X166,SCORING!$B$23:$B$26,0)),0)+IFERROR(INDEX(SCORING!$C$29:$C$32,MATCH($Q166,SCORING!$B$29:$B$32,0)),0)+IFERROR(INDEX(SCORING!$C$35:$C$37,MATCH($L166,SCORING!$B$35:$B$37,0)),0)+IF($AP166="",0,IF(AND($AQ166="Valid",$AO166="Decision maker"),SCORING!$C$40,IF($AQ166="Valid",SCORING!$C$41,SCORING!$C$42))))</f>
        <v/>
      </c>
      <c r="BD166" s="36" t="str">
        <f aca="false">IF($BC166="","",IF($BC166&gt;=SCORING!$C$46,"A",IF($BC166&gt;=SCORING!$C$47,"B",IF($BC166&gt;=SCORING!$C$48,"C","D"))))</f>
        <v/>
      </c>
      <c r="BE166" s="37"/>
    </row>
    <row r="167" customFormat="false" ht="15" hidden="false" customHeight="false" outlineLevel="0" collapsed="false">
      <c r="A167" s="37"/>
      <c r="B167" s="38"/>
      <c r="C167" s="37"/>
      <c r="D167" s="37"/>
      <c r="E167" s="17"/>
      <c r="F167" s="17"/>
      <c r="G167" s="37"/>
      <c r="H167" s="32" t="str">
        <f aca="false">IF($G167="","",IFERROR(INDEX(LISTS!$P$3:$P$145,MATCH($G167,LISTS!$O$3:$O$145,0)),"Other"))</f>
        <v/>
      </c>
      <c r="I167" s="37"/>
      <c r="J167" s="17"/>
      <c r="K167" s="17"/>
      <c r="L167" s="37"/>
      <c r="M167" s="37"/>
      <c r="N167" s="39"/>
      <c r="O167" s="37"/>
      <c r="P167" s="39"/>
      <c r="Q167" s="37"/>
      <c r="R167" s="39"/>
      <c r="S167" s="17"/>
      <c r="T167" s="17"/>
      <c r="U167" s="37"/>
      <c r="V167" s="37"/>
      <c r="W167" s="17"/>
      <c r="X167" s="37"/>
      <c r="Y167" s="17"/>
      <c r="Z167" s="39"/>
      <c r="AA167" s="39"/>
      <c r="AB167" s="37"/>
      <c r="AC167" s="37"/>
      <c r="AD167" s="38"/>
      <c r="AE167" s="37"/>
      <c r="AF167" s="37"/>
      <c r="AG167" s="37"/>
      <c r="AH167" s="37"/>
      <c r="AI167" s="17"/>
      <c r="AJ167" s="37"/>
      <c r="AK167" s="17"/>
      <c r="AL167" s="39"/>
      <c r="AM167" s="17"/>
      <c r="AN167" s="17"/>
      <c r="AO167" s="37"/>
      <c r="AP167" s="17"/>
      <c r="AQ167" s="37"/>
      <c r="AR167" s="37"/>
      <c r="AS167" s="37"/>
      <c r="AT167" s="17"/>
      <c r="AU167" s="37"/>
      <c r="AV167" s="37"/>
      <c r="AW167" s="38"/>
      <c r="AX167" s="37"/>
      <c r="AY167" s="38"/>
      <c r="AZ167" s="34" t="str">
        <f aca="false">IF($E167="","",COUNTA($E167,$F167,$G167,$J167,$L167,$Q167,$U167,$X167,$AM167,$AN167,$AP167,$AR167)/12)</f>
        <v/>
      </c>
      <c r="BA167" s="32" t="str">
        <f aca="false">IF($E167="","",IF(COUNTIF($E$3:$E$402,$E167)&gt;1,"DUPLICATE",""))</f>
        <v/>
      </c>
      <c r="BB167" s="17"/>
      <c r="BC167" s="35" t="str">
        <f aca="false">IF($E167="","",IFERROR(INDEX(SCORING!$C$6:$C$15,MATCH($J167,SCORING!$B$6:$B$15,0)),0)+IFERROR(INDEX(SCORING!$C$18:$C$20,MATCH($U167,SCORING!$B$18:$B$20,0)),0)+IFERROR(INDEX(SCORING!$C$23:$C$26,MATCH($X167,SCORING!$B$23:$B$26,0)),0)+IFERROR(INDEX(SCORING!$C$29:$C$32,MATCH($Q167,SCORING!$B$29:$B$32,0)),0)+IFERROR(INDEX(SCORING!$C$35:$C$37,MATCH($L167,SCORING!$B$35:$B$37,0)),0)+IF($AP167="",0,IF(AND($AQ167="Valid",$AO167="Decision maker"),SCORING!$C$40,IF($AQ167="Valid",SCORING!$C$41,SCORING!$C$42))))</f>
        <v/>
      </c>
      <c r="BD167" s="36" t="str">
        <f aca="false">IF($BC167="","",IF($BC167&gt;=SCORING!$C$46,"A",IF($BC167&gt;=SCORING!$C$47,"B",IF($BC167&gt;=SCORING!$C$48,"C","D"))))</f>
        <v/>
      </c>
      <c r="BE167" s="37"/>
    </row>
    <row r="168" customFormat="false" ht="15" hidden="false" customHeight="false" outlineLevel="0" collapsed="false">
      <c r="A168" s="37"/>
      <c r="B168" s="38"/>
      <c r="C168" s="37"/>
      <c r="D168" s="37"/>
      <c r="E168" s="17"/>
      <c r="F168" s="17"/>
      <c r="G168" s="37"/>
      <c r="H168" s="32" t="str">
        <f aca="false">IF($G168="","",IFERROR(INDEX(LISTS!$P$3:$P$145,MATCH($G168,LISTS!$O$3:$O$145,0)),"Other"))</f>
        <v/>
      </c>
      <c r="I168" s="37"/>
      <c r="J168" s="17"/>
      <c r="K168" s="17"/>
      <c r="L168" s="37"/>
      <c r="M168" s="37"/>
      <c r="N168" s="39"/>
      <c r="O168" s="37"/>
      <c r="P168" s="39"/>
      <c r="Q168" s="37"/>
      <c r="R168" s="39"/>
      <c r="S168" s="17"/>
      <c r="T168" s="17"/>
      <c r="U168" s="37"/>
      <c r="V168" s="37"/>
      <c r="W168" s="17"/>
      <c r="X168" s="37"/>
      <c r="Y168" s="17"/>
      <c r="Z168" s="39"/>
      <c r="AA168" s="39"/>
      <c r="AB168" s="37"/>
      <c r="AC168" s="37"/>
      <c r="AD168" s="38"/>
      <c r="AE168" s="37"/>
      <c r="AF168" s="37"/>
      <c r="AG168" s="37"/>
      <c r="AH168" s="37"/>
      <c r="AI168" s="17"/>
      <c r="AJ168" s="37"/>
      <c r="AK168" s="17"/>
      <c r="AL168" s="39"/>
      <c r="AM168" s="17"/>
      <c r="AN168" s="17"/>
      <c r="AO168" s="37"/>
      <c r="AP168" s="17"/>
      <c r="AQ168" s="37"/>
      <c r="AR168" s="37"/>
      <c r="AS168" s="37"/>
      <c r="AT168" s="17"/>
      <c r="AU168" s="37"/>
      <c r="AV168" s="37"/>
      <c r="AW168" s="38"/>
      <c r="AX168" s="37"/>
      <c r="AY168" s="38"/>
      <c r="AZ168" s="34" t="str">
        <f aca="false">IF($E168="","",COUNTA($E168,$F168,$G168,$J168,$L168,$Q168,$U168,$X168,$AM168,$AN168,$AP168,$AR168)/12)</f>
        <v/>
      </c>
      <c r="BA168" s="32" t="str">
        <f aca="false">IF($E168="","",IF(COUNTIF($E$3:$E$402,$E168)&gt;1,"DUPLICATE",""))</f>
        <v/>
      </c>
      <c r="BB168" s="17"/>
      <c r="BC168" s="35" t="str">
        <f aca="false">IF($E168="","",IFERROR(INDEX(SCORING!$C$6:$C$15,MATCH($J168,SCORING!$B$6:$B$15,0)),0)+IFERROR(INDEX(SCORING!$C$18:$C$20,MATCH($U168,SCORING!$B$18:$B$20,0)),0)+IFERROR(INDEX(SCORING!$C$23:$C$26,MATCH($X168,SCORING!$B$23:$B$26,0)),0)+IFERROR(INDEX(SCORING!$C$29:$C$32,MATCH($Q168,SCORING!$B$29:$B$32,0)),0)+IFERROR(INDEX(SCORING!$C$35:$C$37,MATCH($L168,SCORING!$B$35:$B$37,0)),0)+IF($AP168="",0,IF(AND($AQ168="Valid",$AO168="Decision maker"),SCORING!$C$40,IF($AQ168="Valid",SCORING!$C$41,SCORING!$C$42))))</f>
        <v/>
      </c>
      <c r="BD168" s="36" t="str">
        <f aca="false">IF($BC168="","",IF($BC168&gt;=SCORING!$C$46,"A",IF($BC168&gt;=SCORING!$C$47,"B",IF($BC168&gt;=SCORING!$C$48,"C","D"))))</f>
        <v/>
      </c>
      <c r="BE168" s="37"/>
    </row>
    <row r="169" customFormat="false" ht="15" hidden="false" customHeight="false" outlineLevel="0" collapsed="false">
      <c r="A169" s="37"/>
      <c r="B169" s="38"/>
      <c r="C169" s="37"/>
      <c r="D169" s="37"/>
      <c r="E169" s="17"/>
      <c r="F169" s="17"/>
      <c r="G169" s="37"/>
      <c r="H169" s="32" t="str">
        <f aca="false">IF($G169="","",IFERROR(INDEX(LISTS!$P$3:$P$145,MATCH($G169,LISTS!$O$3:$O$145,0)),"Other"))</f>
        <v/>
      </c>
      <c r="I169" s="37"/>
      <c r="J169" s="17"/>
      <c r="K169" s="17"/>
      <c r="L169" s="37"/>
      <c r="M169" s="37"/>
      <c r="N169" s="39"/>
      <c r="O169" s="37"/>
      <c r="P169" s="39"/>
      <c r="Q169" s="37"/>
      <c r="R169" s="39"/>
      <c r="S169" s="17"/>
      <c r="T169" s="17"/>
      <c r="U169" s="37"/>
      <c r="V169" s="37"/>
      <c r="W169" s="17"/>
      <c r="X169" s="37"/>
      <c r="Y169" s="17"/>
      <c r="Z169" s="39"/>
      <c r="AA169" s="39"/>
      <c r="AB169" s="37"/>
      <c r="AC169" s="37"/>
      <c r="AD169" s="38"/>
      <c r="AE169" s="37"/>
      <c r="AF169" s="37"/>
      <c r="AG169" s="37"/>
      <c r="AH169" s="37"/>
      <c r="AI169" s="17"/>
      <c r="AJ169" s="37"/>
      <c r="AK169" s="17"/>
      <c r="AL169" s="39"/>
      <c r="AM169" s="17"/>
      <c r="AN169" s="17"/>
      <c r="AO169" s="37"/>
      <c r="AP169" s="17"/>
      <c r="AQ169" s="37"/>
      <c r="AR169" s="37"/>
      <c r="AS169" s="37"/>
      <c r="AT169" s="17"/>
      <c r="AU169" s="37"/>
      <c r="AV169" s="37"/>
      <c r="AW169" s="38"/>
      <c r="AX169" s="37"/>
      <c r="AY169" s="38"/>
      <c r="AZ169" s="34" t="str">
        <f aca="false">IF($E169="","",COUNTA($E169,$F169,$G169,$J169,$L169,$Q169,$U169,$X169,$AM169,$AN169,$AP169,$AR169)/12)</f>
        <v/>
      </c>
      <c r="BA169" s="32" t="str">
        <f aca="false">IF($E169="","",IF(COUNTIF($E$3:$E$402,$E169)&gt;1,"DUPLICATE",""))</f>
        <v/>
      </c>
      <c r="BB169" s="17"/>
      <c r="BC169" s="35" t="str">
        <f aca="false">IF($E169="","",IFERROR(INDEX(SCORING!$C$6:$C$15,MATCH($J169,SCORING!$B$6:$B$15,0)),0)+IFERROR(INDEX(SCORING!$C$18:$C$20,MATCH($U169,SCORING!$B$18:$B$20,0)),0)+IFERROR(INDEX(SCORING!$C$23:$C$26,MATCH($X169,SCORING!$B$23:$B$26,0)),0)+IFERROR(INDEX(SCORING!$C$29:$C$32,MATCH($Q169,SCORING!$B$29:$B$32,0)),0)+IFERROR(INDEX(SCORING!$C$35:$C$37,MATCH($L169,SCORING!$B$35:$B$37,0)),0)+IF($AP169="",0,IF(AND($AQ169="Valid",$AO169="Decision maker"),SCORING!$C$40,IF($AQ169="Valid",SCORING!$C$41,SCORING!$C$42))))</f>
        <v/>
      </c>
      <c r="BD169" s="36" t="str">
        <f aca="false">IF($BC169="","",IF($BC169&gt;=SCORING!$C$46,"A",IF($BC169&gt;=SCORING!$C$47,"B",IF($BC169&gt;=SCORING!$C$48,"C","D"))))</f>
        <v/>
      </c>
      <c r="BE169" s="37"/>
    </row>
    <row r="170" customFormat="false" ht="15" hidden="false" customHeight="false" outlineLevel="0" collapsed="false">
      <c r="A170" s="37"/>
      <c r="B170" s="38"/>
      <c r="C170" s="37"/>
      <c r="D170" s="37"/>
      <c r="E170" s="17"/>
      <c r="F170" s="17"/>
      <c r="G170" s="37"/>
      <c r="H170" s="32" t="str">
        <f aca="false">IF($G170="","",IFERROR(INDEX(LISTS!$P$3:$P$145,MATCH($G170,LISTS!$O$3:$O$145,0)),"Other"))</f>
        <v/>
      </c>
      <c r="I170" s="37"/>
      <c r="J170" s="17"/>
      <c r="K170" s="17"/>
      <c r="L170" s="37"/>
      <c r="M170" s="37"/>
      <c r="N170" s="39"/>
      <c r="O170" s="37"/>
      <c r="P170" s="39"/>
      <c r="Q170" s="37"/>
      <c r="R170" s="39"/>
      <c r="S170" s="17"/>
      <c r="T170" s="17"/>
      <c r="U170" s="37"/>
      <c r="V170" s="37"/>
      <c r="W170" s="17"/>
      <c r="X170" s="37"/>
      <c r="Y170" s="17"/>
      <c r="Z170" s="39"/>
      <c r="AA170" s="39"/>
      <c r="AB170" s="37"/>
      <c r="AC170" s="37"/>
      <c r="AD170" s="38"/>
      <c r="AE170" s="37"/>
      <c r="AF170" s="37"/>
      <c r="AG170" s="37"/>
      <c r="AH170" s="37"/>
      <c r="AI170" s="17"/>
      <c r="AJ170" s="37"/>
      <c r="AK170" s="17"/>
      <c r="AL170" s="39"/>
      <c r="AM170" s="17"/>
      <c r="AN170" s="17"/>
      <c r="AO170" s="37"/>
      <c r="AP170" s="17"/>
      <c r="AQ170" s="37"/>
      <c r="AR170" s="37"/>
      <c r="AS170" s="37"/>
      <c r="AT170" s="17"/>
      <c r="AU170" s="37"/>
      <c r="AV170" s="37"/>
      <c r="AW170" s="38"/>
      <c r="AX170" s="37"/>
      <c r="AY170" s="38"/>
      <c r="AZ170" s="34" t="str">
        <f aca="false">IF($E170="","",COUNTA($E170,$F170,$G170,$J170,$L170,$Q170,$U170,$X170,$AM170,$AN170,$AP170,$AR170)/12)</f>
        <v/>
      </c>
      <c r="BA170" s="32" t="str">
        <f aca="false">IF($E170="","",IF(COUNTIF($E$3:$E$402,$E170)&gt;1,"DUPLICATE",""))</f>
        <v/>
      </c>
      <c r="BB170" s="17"/>
      <c r="BC170" s="35" t="str">
        <f aca="false">IF($E170="","",IFERROR(INDEX(SCORING!$C$6:$C$15,MATCH($J170,SCORING!$B$6:$B$15,0)),0)+IFERROR(INDEX(SCORING!$C$18:$C$20,MATCH($U170,SCORING!$B$18:$B$20,0)),0)+IFERROR(INDEX(SCORING!$C$23:$C$26,MATCH($X170,SCORING!$B$23:$B$26,0)),0)+IFERROR(INDEX(SCORING!$C$29:$C$32,MATCH($Q170,SCORING!$B$29:$B$32,0)),0)+IFERROR(INDEX(SCORING!$C$35:$C$37,MATCH($L170,SCORING!$B$35:$B$37,0)),0)+IF($AP170="",0,IF(AND($AQ170="Valid",$AO170="Decision maker"),SCORING!$C$40,IF($AQ170="Valid",SCORING!$C$41,SCORING!$C$42))))</f>
        <v/>
      </c>
      <c r="BD170" s="36" t="str">
        <f aca="false">IF($BC170="","",IF($BC170&gt;=SCORING!$C$46,"A",IF($BC170&gt;=SCORING!$C$47,"B",IF($BC170&gt;=SCORING!$C$48,"C","D"))))</f>
        <v/>
      </c>
      <c r="BE170" s="37"/>
    </row>
    <row r="171" customFormat="false" ht="15" hidden="false" customHeight="false" outlineLevel="0" collapsed="false">
      <c r="A171" s="37"/>
      <c r="B171" s="38"/>
      <c r="C171" s="37"/>
      <c r="D171" s="37"/>
      <c r="E171" s="17"/>
      <c r="F171" s="17"/>
      <c r="G171" s="37"/>
      <c r="H171" s="32" t="str">
        <f aca="false">IF($G171="","",IFERROR(INDEX(LISTS!$P$3:$P$145,MATCH($G171,LISTS!$O$3:$O$145,0)),"Other"))</f>
        <v/>
      </c>
      <c r="I171" s="37"/>
      <c r="J171" s="17"/>
      <c r="K171" s="17"/>
      <c r="L171" s="37"/>
      <c r="M171" s="37"/>
      <c r="N171" s="39"/>
      <c r="O171" s="37"/>
      <c r="P171" s="39"/>
      <c r="Q171" s="37"/>
      <c r="R171" s="39"/>
      <c r="S171" s="17"/>
      <c r="T171" s="17"/>
      <c r="U171" s="37"/>
      <c r="V171" s="37"/>
      <c r="W171" s="17"/>
      <c r="X171" s="37"/>
      <c r="Y171" s="17"/>
      <c r="Z171" s="39"/>
      <c r="AA171" s="39"/>
      <c r="AB171" s="37"/>
      <c r="AC171" s="37"/>
      <c r="AD171" s="38"/>
      <c r="AE171" s="37"/>
      <c r="AF171" s="37"/>
      <c r="AG171" s="37"/>
      <c r="AH171" s="37"/>
      <c r="AI171" s="17"/>
      <c r="AJ171" s="37"/>
      <c r="AK171" s="17"/>
      <c r="AL171" s="39"/>
      <c r="AM171" s="17"/>
      <c r="AN171" s="17"/>
      <c r="AO171" s="37"/>
      <c r="AP171" s="17"/>
      <c r="AQ171" s="37"/>
      <c r="AR171" s="37"/>
      <c r="AS171" s="37"/>
      <c r="AT171" s="17"/>
      <c r="AU171" s="37"/>
      <c r="AV171" s="37"/>
      <c r="AW171" s="38"/>
      <c r="AX171" s="37"/>
      <c r="AY171" s="38"/>
      <c r="AZ171" s="34" t="str">
        <f aca="false">IF($E171="","",COUNTA($E171,$F171,$G171,$J171,$L171,$Q171,$U171,$X171,$AM171,$AN171,$AP171,$AR171)/12)</f>
        <v/>
      </c>
      <c r="BA171" s="32" t="str">
        <f aca="false">IF($E171="","",IF(COUNTIF($E$3:$E$402,$E171)&gt;1,"DUPLICATE",""))</f>
        <v/>
      </c>
      <c r="BB171" s="17"/>
      <c r="BC171" s="35" t="str">
        <f aca="false">IF($E171="","",IFERROR(INDEX(SCORING!$C$6:$C$15,MATCH($J171,SCORING!$B$6:$B$15,0)),0)+IFERROR(INDEX(SCORING!$C$18:$C$20,MATCH($U171,SCORING!$B$18:$B$20,0)),0)+IFERROR(INDEX(SCORING!$C$23:$C$26,MATCH($X171,SCORING!$B$23:$B$26,0)),0)+IFERROR(INDEX(SCORING!$C$29:$C$32,MATCH($Q171,SCORING!$B$29:$B$32,0)),0)+IFERROR(INDEX(SCORING!$C$35:$C$37,MATCH($L171,SCORING!$B$35:$B$37,0)),0)+IF($AP171="",0,IF(AND($AQ171="Valid",$AO171="Decision maker"),SCORING!$C$40,IF($AQ171="Valid",SCORING!$C$41,SCORING!$C$42))))</f>
        <v/>
      </c>
      <c r="BD171" s="36" t="str">
        <f aca="false">IF($BC171="","",IF($BC171&gt;=SCORING!$C$46,"A",IF($BC171&gt;=SCORING!$C$47,"B",IF($BC171&gt;=SCORING!$C$48,"C","D"))))</f>
        <v/>
      </c>
      <c r="BE171" s="37"/>
    </row>
    <row r="172" customFormat="false" ht="15" hidden="false" customHeight="false" outlineLevel="0" collapsed="false">
      <c r="A172" s="37"/>
      <c r="B172" s="38"/>
      <c r="C172" s="37"/>
      <c r="D172" s="37"/>
      <c r="E172" s="17"/>
      <c r="F172" s="17"/>
      <c r="G172" s="37"/>
      <c r="H172" s="32" t="str">
        <f aca="false">IF($G172="","",IFERROR(INDEX(LISTS!$P$3:$P$145,MATCH($G172,LISTS!$O$3:$O$145,0)),"Other"))</f>
        <v/>
      </c>
      <c r="I172" s="37"/>
      <c r="J172" s="17"/>
      <c r="K172" s="17"/>
      <c r="L172" s="37"/>
      <c r="M172" s="37"/>
      <c r="N172" s="39"/>
      <c r="O172" s="37"/>
      <c r="P172" s="39"/>
      <c r="Q172" s="37"/>
      <c r="R172" s="39"/>
      <c r="S172" s="17"/>
      <c r="T172" s="17"/>
      <c r="U172" s="37"/>
      <c r="V172" s="37"/>
      <c r="W172" s="17"/>
      <c r="X172" s="37"/>
      <c r="Y172" s="17"/>
      <c r="Z172" s="39"/>
      <c r="AA172" s="39"/>
      <c r="AB172" s="37"/>
      <c r="AC172" s="37"/>
      <c r="AD172" s="38"/>
      <c r="AE172" s="37"/>
      <c r="AF172" s="37"/>
      <c r="AG172" s="37"/>
      <c r="AH172" s="37"/>
      <c r="AI172" s="17"/>
      <c r="AJ172" s="37"/>
      <c r="AK172" s="17"/>
      <c r="AL172" s="39"/>
      <c r="AM172" s="17"/>
      <c r="AN172" s="17"/>
      <c r="AO172" s="37"/>
      <c r="AP172" s="17"/>
      <c r="AQ172" s="37"/>
      <c r="AR172" s="37"/>
      <c r="AS172" s="37"/>
      <c r="AT172" s="17"/>
      <c r="AU172" s="37"/>
      <c r="AV172" s="37"/>
      <c r="AW172" s="38"/>
      <c r="AX172" s="37"/>
      <c r="AY172" s="38"/>
      <c r="AZ172" s="34" t="str">
        <f aca="false">IF($E172="","",COUNTA($E172,$F172,$G172,$J172,$L172,$Q172,$U172,$X172,$AM172,$AN172,$AP172,$AR172)/12)</f>
        <v/>
      </c>
      <c r="BA172" s="32" t="str">
        <f aca="false">IF($E172="","",IF(COUNTIF($E$3:$E$402,$E172)&gt;1,"DUPLICATE",""))</f>
        <v/>
      </c>
      <c r="BB172" s="17"/>
      <c r="BC172" s="35" t="str">
        <f aca="false">IF($E172="","",IFERROR(INDEX(SCORING!$C$6:$C$15,MATCH($J172,SCORING!$B$6:$B$15,0)),0)+IFERROR(INDEX(SCORING!$C$18:$C$20,MATCH($U172,SCORING!$B$18:$B$20,0)),0)+IFERROR(INDEX(SCORING!$C$23:$C$26,MATCH($X172,SCORING!$B$23:$B$26,0)),0)+IFERROR(INDEX(SCORING!$C$29:$C$32,MATCH($Q172,SCORING!$B$29:$B$32,0)),0)+IFERROR(INDEX(SCORING!$C$35:$C$37,MATCH($L172,SCORING!$B$35:$B$37,0)),0)+IF($AP172="",0,IF(AND($AQ172="Valid",$AO172="Decision maker"),SCORING!$C$40,IF($AQ172="Valid",SCORING!$C$41,SCORING!$C$42))))</f>
        <v/>
      </c>
      <c r="BD172" s="36" t="str">
        <f aca="false">IF($BC172="","",IF($BC172&gt;=SCORING!$C$46,"A",IF($BC172&gt;=SCORING!$C$47,"B",IF($BC172&gt;=SCORING!$C$48,"C","D"))))</f>
        <v/>
      </c>
      <c r="BE172" s="37"/>
    </row>
    <row r="173" customFormat="false" ht="15" hidden="false" customHeight="false" outlineLevel="0" collapsed="false">
      <c r="A173" s="37"/>
      <c r="B173" s="38"/>
      <c r="C173" s="37"/>
      <c r="D173" s="37"/>
      <c r="E173" s="17"/>
      <c r="F173" s="17"/>
      <c r="G173" s="37"/>
      <c r="H173" s="32" t="str">
        <f aca="false">IF($G173="","",IFERROR(INDEX(LISTS!$P$3:$P$145,MATCH($G173,LISTS!$O$3:$O$145,0)),"Other"))</f>
        <v/>
      </c>
      <c r="I173" s="37"/>
      <c r="J173" s="17"/>
      <c r="K173" s="17"/>
      <c r="L173" s="37"/>
      <c r="M173" s="37"/>
      <c r="N173" s="39"/>
      <c r="O173" s="37"/>
      <c r="P173" s="39"/>
      <c r="Q173" s="37"/>
      <c r="R173" s="39"/>
      <c r="S173" s="17"/>
      <c r="T173" s="17"/>
      <c r="U173" s="37"/>
      <c r="V173" s="37"/>
      <c r="W173" s="17"/>
      <c r="X173" s="37"/>
      <c r="Y173" s="17"/>
      <c r="Z173" s="39"/>
      <c r="AA173" s="39"/>
      <c r="AB173" s="37"/>
      <c r="AC173" s="37"/>
      <c r="AD173" s="38"/>
      <c r="AE173" s="37"/>
      <c r="AF173" s="37"/>
      <c r="AG173" s="37"/>
      <c r="AH173" s="37"/>
      <c r="AI173" s="17"/>
      <c r="AJ173" s="37"/>
      <c r="AK173" s="17"/>
      <c r="AL173" s="39"/>
      <c r="AM173" s="17"/>
      <c r="AN173" s="17"/>
      <c r="AO173" s="37"/>
      <c r="AP173" s="17"/>
      <c r="AQ173" s="37"/>
      <c r="AR173" s="37"/>
      <c r="AS173" s="37"/>
      <c r="AT173" s="17"/>
      <c r="AU173" s="37"/>
      <c r="AV173" s="37"/>
      <c r="AW173" s="38"/>
      <c r="AX173" s="37"/>
      <c r="AY173" s="38"/>
      <c r="AZ173" s="34" t="str">
        <f aca="false">IF($E173="","",COUNTA($E173,$F173,$G173,$J173,$L173,$Q173,$U173,$X173,$AM173,$AN173,$AP173,$AR173)/12)</f>
        <v/>
      </c>
      <c r="BA173" s="32" t="str">
        <f aca="false">IF($E173="","",IF(COUNTIF($E$3:$E$402,$E173)&gt;1,"DUPLICATE",""))</f>
        <v/>
      </c>
      <c r="BB173" s="17"/>
      <c r="BC173" s="35" t="str">
        <f aca="false">IF($E173="","",IFERROR(INDEX(SCORING!$C$6:$C$15,MATCH($J173,SCORING!$B$6:$B$15,0)),0)+IFERROR(INDEX(SCORING!$C$18:$C$20,MATCH($U173,SCORING!$B$18:$B$20,0)),0)+IFERROR(INDEX(SCORING!$C$23:$C$26,MATCH($X173,SCORING!$B$23:$B$26,0)),0)+IFERROR(INDEX(SCORING!$C$29:$C$32,MATCH($Q173,SCORING!$B$29:$B$32,0)),0)+IFERROR(INDEX(SCORING!$C$35:$C$37,MATCH($L173,SCORING!$B$35:$B$37,0)),0)+IF($AP173="",0,IF(AND($AQ173="Valid",$AO173="Decision maker"),SCORING!$C$40,IF($AQ173="Valid",SCORING!$C$41,SCORING!$C$42))))</f>
        <v/>
      </c>
      <c r="BD173" s="36" t="str">
        <f aca="false">IF($BC173="","",IF($BC173&gt;=SCORING!$C$46,"A",IF($BC173&gt;=SCORING!$C$47,"B",IF($BC173&gt;=SCORING!$C$48,"C","D"))))</f>
        <v/>
      </c>
      <c r="BE173" s="37"/>
    </row>
    <row r="174" customFormat="false" ht="15" hidden="false" customHeight="false" outlineLevel="0" collapsed="false">
      <c r="A174" s="37"/>
      <c r="B174" s="38"/>
      <c r="C174" s="37"/>
      <c r="D174" s="37"/>
      <c r="E174" s="17"/>
      <c r="F174" s="17"/>
      <c r="G174" s="37"/>
      <c r="H174" s="32" t="str">
        <f aca="false">IF($G174="","",IFERROR(INDEX(LISTS!$P$3:$P$145,MATCH($G174,LISTS!$O$3:$O$145,0)),"Other"))</f>
        <v/>
      </c>
      <c r="I174" s="37"/>
      <c r="J174" s="17"/>
      <c r="K174" s="17"/>
      <c r="L174" s="37"/>
      <c r="M174" s="37"/>
      <c r="N174" s="39"/>
      <c r="O174" s="37"/>
      <c r="P174" s="39"/>
      <c r="Q174" s="37"/>
      <c r="R174" s="39"/>
      <c r="S174" s="17"/>
      <c r="T174" s="17"/>
      <c r="U174" s="37"/>
      <c r="V174" s="37"/>
      <c r="W174" s="17"/>
      <c r="X174" s="37"/>
      <c r="Y174" s="17"/>
      <c r="Z174" s="39"/>
      <c r="AA174" s="39"/>
      <c r="AB174" s="37"/>
      <c r="AC174" s="37"/>
      <c r="AD174" s="38"/>
      <c r="AE174" s="37"/>
      <c r="AF174" s="37"/>
      <c r="AG174" s="37"/>
      <c r="AH174" s="37"/>
      <c r="AI174" s="17"/>
      <c r="AJ174" s="37"/>
      <c r="AK174" s="17"/>
      <c r="AL174" s="39"/>
      <c r="AM174" s="17"/>
      <c r="AN174" s="17"/>
      <c r="AO174" s="37"/>
      <c r="AP174" s="17"/>
      <c r="AQ174" s="37"/>
      <c r="AR174" s="37"/>
      <c r="AS174" s="37"/>
      <c r="AT174" s="17"/>
      <c r="AU174" s="37"/>
      <c r="AV174" s="37"/>
      <c r="AW174" s="38"/>
      <c r="AX174" s="37"/>
      <c r="AY174" s="38"/>
      <c r="AZ174" s="34" t="str">
        <f aca="false">IF($E174="","",COUNTA($E174,$F174,$G174,$J174,$L174,$Q174,$U174,$X174,$AM174,$AN174,$AP174,$AR174)/12)</f>
        <v/>
      </c>
      <c r="BA174" s="32" t="str">
        <f aca="false">IF($E174="","",IF(COUNTIF($E$3:$E$402,$E174)&gt;1,"DUPLICATE",""))</f>
        <v/>
      </c>
      <c r="BB174" s="17"/>
      <c r="BC174" s="35" t="str">
        <f aca="false">IF($E174="","",IFERROR(INDEX(SCORING!$C$6:$C$15,MATCH($J174,SCORING!$B$6:$B$15,0)),0)+IFERROR(INDEX(SCORING!$C$18:$C$20,MATCH($U174,SCORING!$B$18:$B$20,0)),0)+IFERROR(INDEX(SCORING!$C$23:$C$26,MATCH($X174,SCORING!$B$23:$B$26,0)),0)+IFERROR(INDEX(SCORING!$C$29:$C$32,MATCH($Q174,SCORING!$B$29:$B$32,0)),0)+IFERROR(INDEX(SCORING!$C$35:$C$37,MATCH($L174,SCORING!$B$35:$B$37,0)),0)+IF($AP174="",0,IF(AND($AQ174="Valid",$AO174="Decision maker"),SCORING!$C$40,IF($AQ174="Valid",SCORING!$C$41,SCORING!$C$42))))</f>
        <v/>
      </c>
      <c r="BD174" s="36" t="str">
        <f aca="false">IF($BC174="","",IF($BC174&gt;=SCORING!$C$46,"A",IF($BC174&gt;=SCORING!$C$47,"B",IF($BC174&gt;=SCORING!$C$48,"C","D"))))</f>
        <v/>
      </c>
      <c r="BE174" s="37"/>
    </row>
    <row r="175" customFormat="false" ht="15" hidden="false" customHeight="false" outlineLevel="0" collapsed="false">
      <c r="A175" s="37"/>
      <c r="B175" s="38"/>
      <c r="C175" s="37"/>
      <c r="D175" s="37"/>
      <c r="E175" s="17"/>
      <c r="F175" s="17"/>
      <c r="G175" s="37"/>
      <c r="H175" s="32" t="str">
        <f aca="false">IF($G175="","",IFERROR(INDEX(LISTS!$P$3:$P$145,MATCH($G175,LISTS!$O$3:$O$145,0)),"Other"))</f>
        <v/>
      </c>
      <c r="I175" s="37"/>
      <c r="J175" s="17"/>
      <c r="K175" s="17"/>
      <c r="L175" s="37"/>
      <c r="M175" s="37"/>
      <c r="N175" s="39"/>
      <c r="O175" s="37"/>
      <c r="P175" s="39"/>
      <c r="Q175" s="37"/>
      <c r="R175" s="39"/>
      <c r="S175" s="17"/>
      <c r="T175" s="17"/>
      <c r="U175" s="37"/>
      <c r="V175" s="37"/>
      <c r="W175" s="17"/>
      <c r="X175" s="37"/>
      <c r="Y175" s="17"/>
      <c r="Z175" s="39"/>
      <c r="AA175" s="39"/>
      <c r="AB175" s="37"/>
      <c r="AC175" s="37"/>
      <c r="AD175" s="38"/>
      <c r="AE175" s="37"/>
      <c r="AF175" s="37"/>
      <c r="AG175" s="37"/>
      <c r="AH175" s="37"/>
      <c r="AI175" s="17"/>
      <c r="AJ175" s="37"/>
      <c r="AK175" s="17"/>
      <c r="AL175" s="39"/>
      <c r="AM175" s="17"/>
      <c r="AN175" s="17"/>
      <c r="AO175" s="37"/>
      <c r="AP175" s="17"/>
      <c r="AQ175" s="37"/>
      <c r="AR175" s="37"/>
      <c r="AS175" s="37"/>
      <c r="AT175" s="17"/>
      <c r="AU175" s="37"/>
      <c r="AV175" s="37"/>
      <c r="AW175" s="38"/>
      <c r="AX175" s="37"/>
      <c r="AY175" s="38"/>
      <c r="AZ175" s="34" t="str">
        <f aca="false">IF($E175="","",COUNTA($E175,$F175,$G175,$J175,$L175,$Q175,$U175,$X175,$AM175,$AN175,$AP175,$AR175)/12)</f>
        <v/>
      </c>
      <c r="BA175" s="32" t="str">
        <f aca="false">IF($E175="","",IF(COUNTIF($E$3:$E$402,$E175)&gt;1,"DUPLICATE",""))</f>
        <v/>
      </c>
      <c r="BB175" s="17"/>
      <c r="BC175" s="35" t="str">
        <f aca="false">IF($E175="","",IFERROR(INDEX(SCORING!$C$6:$C$15,MATCH($J175,SCORING!$B$6:$B$15,0)),0)+IFERROR(INDEX(SCORING!$C$18:$C$20,MATCH($U175,SCORING!$B$18:$B$20,0)),0)+IFERROR(INDEX(SCORING!$C$23:$C$26,MATCH($X175,SCORING!$B$23:$B$26,0)),0)+IFERROR(INDEX(SCORING!$C$29:$C$32,MATCH($Q175,SCORING!$B$29:$B$32,0)),0)+IFERROR(INDEX(SCORING!$C$35:$C$37,MATCH($L175,SCORING!$B$35:$B$37,0)),0)+IF($AP175="",0,IF(AND($AQ175="Valid",$AO175="Decision maker"),SCORING!$C$40,IF($AQ175="Valid",SCORING!$C$41,SCORING!$C$42))))</f>
        <v/>
      </c>
      <c r="BD175" s="36" t="str">
        <f aca="false">IF($BC175="","",IF($BC175&gt;=SCORING!$C$46,"A",IF($BC175&gt;=SCORING!$C$47,"B",IF($BC175&gt;=SCORING!$C$48,"C","D"))))</f>
        <v/>
      </c>
      <c r="BE175" s="37"/>
    </row>
    <row r="176" customFormat="false" ht="15" hidden="false" customHeight="false" outlineLevel="0" collapsed="false">
      <c r="A176" s="37"/>
      <c r="B176" s="38"/>
      <c r="C176" s="37"/>
      <c r="D176" s="37"/>
      <c r="E176" s="17"/>
      <c r="F176" s="17"/>
      <c r="G176" s="37"/>
      <c r="H176" s="32" t="str">
        <f aca="false">IF($G176="","",IFERROR(INDEX(LISTS!$P$3:$P$145,MATCH($G176,LISTS!$O$3:$O$145,0)),"Other"))</f>
        <v/>
      </c>
      <c r="I176" s="37"/>
      <c r="J176" s="17"/>
      <c r="K176" s="17"/>
      <c r="L176" s="37"/>
      <c r="M176" s="37"/>
      <c r="N176" s="39"/>
      <c r="O176" s="37"/>
      <c r="P176" s="39"/>
      <c r="Q176" s="37"/>
      <c r="R176" s="39"/>
      <c r="S176" s="17"/>
      <c r="T176" s="17"/>
      <c r="U176" s="37"/>
      <c r="V176" s="37"/>
      <c r="W176" s="17"/>
      <c r="X176" s="37"/>
      <c r="Y176" s="17"/>
      <c r="Z176" s="39"/>
      <c r="AA176" s="39"/>
      <c r="AB176" s="37"/>
      <c r="AC176" s="37"/>
      <c r="AD176" s="38"/>
      <c r="AE176" s="37"/>
      <c r="AF176" s="37"/>
      <c r="AG176" s="37"/>
      <c r="AH176" s="37"/>
      <c r="AI176" s="17"/>
      <c r="AJ176" s="37"/>
      <c r="AK176" s="17"/>
      <c r="AL176" s="39"/>
      <c r="AM176" s="17"/>
      <c r="AN176" s="17"/>
      <c r="AO176" s="37"/>
      <c r="AP176" s="17"/>
      <c r="AQ176" s="37"/>
      <c r="AR176" s="37"/>
      <c r="AS176" s="37"/>
      <c r="AT176" s="17"/>
      <c r="AU176" s="37"/>
      <c r="AV176" s="37"/>
      <c r="AW176" s="38"/>
      <c r="AX176" s="37"/>
      <c r="AY176" s="38"/>
      <c r="AZ176" s="34" t="str">
        <f aca="false">IF($E176="","",COUNTA($E176,$F176,$G176,$J176,$L176,$Q176,$U176,$X176,$AM176,$AN176,$AP176,$AR176)/12)</f>
        <v/>
      </c>
      <c r="BA176" s="32" t="str">
        <f aca="false">IF($E176="","",IF(COUNTIF($E$3:$E$402,$E176)&gt;1,"DUPLICATE",""))</f>
        <v/>
      </c>
      <c r="BB176" s="17"/>
      <c r="BC176" s="35" t="str">
        <f aca="false">IF($E176="","",IFERROR(INDEX(SCORING!$C$6:$C$15,MATCH($J176,SCORING!$B$6:$B$15,0)),0)+IFERROR(INDEX(SCORING!$C$18:$C$20,MATCH($U176,SCORING!$B$18:$B$20,0)),0)+IFERROR(INDEX(SCORING!$C$23:$C$26,MATCH($X176,SCORING!$B$23:$B$26,0)),0)+IFERROR(INDEX(SCORING!$C$29:$C$32,MATCH($Q176,SCORING!$B$29:$B$32,0)),0)+IFERROR(INDEX(SCORING!$C$35:$C$37,MATCH($L176,SCORING!$B$35:$B$37,0)),0)+IF($AP176="",0,IF(AND($AQ176="Valid",$AO176="Decision maker"),SCORING!$C$40,IF($AQ176="Valid",SCORING!$C$41,SCORING!$C$42))))</f>
        <v/>
      </c>
      <c r="BD176" s="36" t="str">
        <f aca="false">IF($BC176="","",IF($BC176&gt;=SCORING!$C$46,"A",IF($BC176&gt;=SCORING!$C$47,"B",IF($BC176&gt;=SCORING!$C$48,"C","D"))))</f>
        <v/>
      </c>
      <c r="BE176" s="37"/>
    </row>
    <row r="177" customFormat="false" ht="15" hidden="false" customHeight="false" outlineLevel="0" collapsed="false">
      <c r="A177" s="37"/>
      <c r="B177" s="38"/>
      <c r="C177" s="37"/>
      <c r="D177" s="37"/>
      <c r="E177" s="17"/>
      <c r="F177" s="17"/>
      <c r="G177" s="37"/>
      <c r="H177" s="32" t="str">
        <f aca="false">IF($G177="","",IFERROR(INDEX(LISTS!$P$3:$P$145,MATCH($G177,LISTS!$O$3:$O$145,0)),"Other"))</f>
        <v/>
      </c>
      <c r="I177" s="37"/>
      <c r="J177" s="17"/>
      <c r="K177" s="17"/>
      <c r="L177" s="37"/>
      <c r="M177" s="37"/>
      <c r="N177" s="39"/>
      <c r="O177" s="37"/>
      <c r="P177" s="39"/>
      <c r="Q177" s="37"/>
      <c r="R177" s="39"/>
      <c r="S177" s="17"/>
      <c r="T177" s="17"/>
      <c r="U177" s="37"/>
      <c r="V177" s="37"/>
      <c r="W177" s="17"/>
      <c r="X177" s="37"/>
      <c r="Y177" s="17"/>
      <c r="Z177" s="39"/>
      <c r="AA177" s="39"/>
      <c r="AB177" s="37"/>
      <c r="AC177" s="37"/>
      <c r="AD177" s="38"/>
      <c r="AE177" s="37"/>
      <c r="AF177" s="37"/>
      <c r="AG177" s="37"/>
      <c r="AH177" s="37"/>
      <c r="AI177" s="17"/>
      <c r="AJ177" s="37"/>
      <c r="AK177" s="17"/>
      <c r="AL177" s="39"/>
      <c r="AM177" s="17"/>
      <c r="AN177" s="17"/>
      <c r="AO177" s="37"/>
      <c r="AP177" s="17"/>
      <c r="AQ177" s="37"/>
      <c r="AR177" s="37"/>
      <c r="AS177" s="37"/>
      <c r="AT177" s="17"/>
      <c r="AU177" s="37"/>
      <c r="AV177" s="37"/>
      <c r="AW177" s="38"/>
      <c r="AX177" s="37"/>
      <c r="AY177" s="38"/>
      <c r="AZ177" s="34" t="str">
        <f aca="false">IF($E177="","",COUNTA($E177,$F177,$G177,$J177,$L177,$Q177,$U177,$X177,$AM177,$AN177,$AP177,$AR177)/12)</f>
        <v/>
      </c>
      <c r="BA177" s="32" t="str">
        <f aca="false">IF($E177="","",IF(COUNTIF($E$3:$E$402,$E177)&gt;1,"DUPLICATE",""))</f>
        <v/>
      </c>
      <c r="BB177" s="17"/>
      <c r="BC177" s="35" t="str">
        <f aca="false">IF($E177="","",IFERROR(INDEX(SCORING!$C$6:$C$15,MATCH($J177,SCORING!$B$6:$B$15,0)),0)+IFERROR(INDEX(SCORING!$C$18:$C$20,MATCH($U177,SCORING!$B$18:$B$20,0)),0)+IFERROR(INDEX(SCORING!$C$23:$C$26,MATCH($X177,SCORING!$B$23:$B$26,0)),0)+IFERROR(INDEX(SCORING!$C$29:$C$32,MATCH($Q177,SCORING!$B$29:$B$32,0)),0)+IFERROR(INDEX(SCORING!$C$35:$C$37,MATCH($L177,SCORING!$B$35:$B$37,0)),0)+IF($AP177="",0,IF(AND($AQ177="Valid",$AO177="Decision maker"),SCORING!$C$40,IF($AQ177="Valid",SCORING!$C$41,SCORING!$C$42))))</f>
        <v/>
      </c>
      <c r="BD177" s="36" t="str">
        <f aca="false">IF($BC177="","",IF($BC177&gt;=SCORING!$C$46,"A",IF($BC177&gt;=SCORING!$C$47,"B",IF($BC177&gt;=SCORING!$C$48,"C","D"))))</f>
        <v/>
      </c>
      <c r="BE177" s="37"/>
    </row>
    <row r="178" customFormat="false" ht="15" hidden="false" customHeight="false" outlineLevel="0" collapsed="false">
      <c r="A178" s="37"/>
      <c r="B178" s="38"/>
      <c r="C178" s="37"/>
      <c r="D178" s="37"/>
      <c r="E178" s="17"/>
      <c r="F178" s="17"/>
      <c r="G178" s="37"/>
      <c r="H178" s="32" t="str">
        <f aca="false">IF($G178="","",IFERROR(INDEX(LISTS!$P$3:$P$145,MATCH($G178,LISTS!$O$3:$O$145,0)),"Other"))</f>
        <v/>
      </c>
      <c r="I178" s="37"/>
      <c r="J178" s="17"/>
      <c r="K178" s="17"/>
      <c r="L178" s="37"/>
      <c r="M178" s="37"/>
      <c r="N178" s="39"/>
      <c r="O178" s="37"/>
      <c r="P178" s="39"/>
      <c r="Q178" s="37"/>
      <c r="R178" s="39"/>
      <c r="S178" s="17"/>
      <c r="T178" s="17"/>
      <c r="U178" s="37"/>
      <c r="V178" s="37"/>
      <c r="W178" s="17"/>
      <c r="X178" s="37"/>
      <c r="Y178" s="17"/>
      <c r="Z178" s="39"/>
      <c r="AA178" s="39"/>
      <c r="AB178" s="37"/>
      <c r="AC178" s="37"/>
      <c r="AD178" s="38"/>
      <c r="AE178" s="37"/>
      <c r="AF178" s="37"/>
      <c r="AG178" s="37"/>
      <c r="AH178" s="37"/>
      <c r="AI178" s="17"/>
      <c r="AJ178" s="37"/>
      <c r="AK178" s="17"/>
      <c r="AL178" s="39"/>
      <c r="AM178" s="17"/>
      <c r="AN178" s="17"/>
      <c r="AO178" s="37"/>
      <c r="AP178" s="17"/>
      <c r="AQ178" s="37"/>
      <c r="AR178" s="37"/>
      <c r="AS178" s="37"/>
      <c r="AT178" s="17"/>
      <c r="AU178" s="37"/>
      <c r="AV178" s="37"/>
      <c r="AW178" s="38"/>
      <c r="AX178" s="37"/>
      <c r="AY178" s="38"/>
      <c r="AZ178" s="34" t="str">
        <f aca="false">IF($E178="","",COUNTA($E178,$F178,$G178,$J178,$L178,$Q178,$U178,$X178,$AM178,$AN178,$AP178,$AR178)/12)</f>
        <v/>
      </c>
      <c r="BA178" s="32" t="str">
        <f aca="false">IF($E178="","",IF(COUNTIF($E$3:$E$402,$E178)&gt;1,"DUPLICATE",""))</f>
        <v/>
      </c>
      <c r="BB178" s="17"/>
      <c r="BC178" s="35" t="str">
        <f aca="false">IF($E178="","",IFERROR(INDEX(SCORING!$C$6:$C$15,MATCH($J178,SCORING!$B$6:$B$15,0)),0)+IFERROR(INDEX(SCORING!$C$18:$C$20,MATCH($U178,SCORING!$B$18:$B$20,0)),0)+IFERROR(INDEX(SCORING!$C$23:$C$26,MATCH($X178,SCORING!$B$23:$B$26,0)),0)+IFERROR(INDEX(SCORING!$C$29:$C$32,MATCH($Q178,SCORING!$B$29:$B$32,0)),0)+IFERROR(INDEX(SCORING!$C$35:$C$37,MATCH($L178,SCORING!$B$35:$B$37,0)),0)+IF($AP178="",0,IF(AND($AQ178="Valid",$AO178="Decision maker"),SCORING!$C$40,IF($AQ178="Valid",SCORING!$C$41,SCORING!$C$42))))</f>
        <v/>
      </c>
      <c r="BD178" s="36" t="str">
        <f aca="false">IF($BC178="","",IF($BC178&gt;=SCORING!$C$46,"A",IF($BC178&gt;=SCORING!$C$47,"B",IF($BC178&gt;=SCORING!$C$48,"C","D"))))</f>
        <v/>
      </c>
      <c r="BE178" s="37"/>
    </row>
    <row r="179" customFormat="false" ht="15" hidden="false" customHeight="false" outlineLevel="0" collapsed="false">
      <c r="A179" s="37"/>
      <c r="B179" s="38"/>
      <c r="C179" s="37"/>
      <c r="D179" s="37"/>
      <c r="E179" s="17"/>
      <c r="F179" s="17"/>
      <c r="G179" s="37"/>
      <c r="H179" s="32" t="str">
        <f aca="false">IF($G179="","",IFERROR(INDEX(LISTS!$P$3:$P$145,MATCH($G179,LISTS!$O$3:$O$145,0)),"Other"))</f>
        <v/>
      </c>
      <c r="I179" s="37"/>
      <c r="J179" s="17"/>
      <c r="K179" s="17"/>
      <c r="L179" s="37"/>
      <c r="M179" s="37"/>
      <c r="N179" s="39"/>
      <c r="O179" s="37"/>
      <c r="P179" s="39"/>
      <c r="Q179" s="37"/>
      <c r="R179" s="39"/>
      <c r="S179" s="17"/>
      <c r="T179" s="17"/>
      <c r="U179" s="37"/>
      <c r="V179" s="37"/>
      <c r="W179" s="17"/>
      <c r="X179" s="37"/>
      <c r="Y179" s="17"/>
      <c r="Z179" s="39"/>
      <c r="AA179" s="39"/>
      <c r="AB179" s="37"/>
      <c r="AC179" s="37"/>
      <c r="AD179" s="38"/>
      <c r="AE179" s="37"/>
      <c r="AF179" s="37"/>
      <c r="AG179" s="37"/>
      <c r="AH179" s="37"/>
      <c r="AI179" s="17"/>
      <c r="AJ179" s="37"/>
      <c r="AK179" s="17"/>
      <c r="AL179" s="39"/>
      <c r="AM179" s="17"/>
      <c r="AN179" s="17"/>
      <c r="AO179" s="37"/>
      <c r="AP179" s="17"/>
      <c r="AQ179" s="37"/>
      <c r="AR179" s="37"/>
      <c r="AS179" s="37"/>
      <c r="AT179" s="17"/>
      <c r="AU179" s="37"/>
      <c r="AV179" s="37"/>
      <c r="AW179" s="38"/>
      <c r="AX179" s="37"/>
      <c r="AY179" s="38"/>
      <c r="AZ179" s="34" t="str">
        <f aca="false">IF($E179="","",COUNTA($E179,$F179,$G179,$J179,$L179,$Q179,$U179,$X179,$AM179,$AN179,$AP179,$AR179)/12)</f>
        <v/>
      </c>
      <c r="BA179" s="32" t="str">
        <f aca="false">IF($E179="","",IF(COUNTIF($E$3:$E$402,$E179)&gt;1,"DUPLICATE",""))</f>
        <v/>
      </c>
      <c r="BB179" s="17"/>
      <c r="BC179" s="35" t="str">
        <f aca="false">IF($E179="","",IFERROR(INDEX(SCORING!$C$6:$C$15,MATCH($J179,SCORING!$B$6:$B$15,0)),0)+IFERROR(INDEX(SCORING!$C$18:$C$20,MATCH($U179,SCORING!$B$18:$B$20,0)),0)+IFERROR(INDEX(SCORING!$C$23:$C$26,MATCH($X179,SCORING!$B$23:$B$26,0)),0)+IFERROR(INDEX(SCORING!$C$29:$C$32,MATCH($Q179,SCORING!$B$29:$B$32,0)),0)+IFERROR(INDEX(SCORING!$C$35:$C$37,MATCH($L179,SCORING!$B$35:$B$37,0)),0)+IF($AP179="",0,IF(AND($AQ179="Valid",$AO179="Decision maker"),SCORING!$C$40,IF($AQ179="Valid",SCORING!$C$41,SCORING!$C$42))))</f>
        <v/>
      </c>
      <c r="BD179" s="36" t="str">
        <f aca="false">IF($BC179="","",IF($BC179&gt;=SCORING!$C$46,"A",IF($BC179&gt;=SCORING!$C$47,"B",IF($BC179&gt;=SCORING!$C$48,"C","D"))))</f>
        <v/>
      </c>
      <c r="BE179" s="37"/>
    </row>
    <row r="180" customFormat="false" ht="15" hidden="false" customHeight="false" outlineLevel="0" collapsed="false">
      <c r="A180" s="37"/>
      <c r="B180" s="38"/>
      <c r="C180" s="37"/>
      <c r="D180" s="37"/>
      <c r="E180" s="17"/>
      <c r="F180" s="17"/>
      <c r="G180" s="37"/>
      <c r="H180" s="32" t="str">
        <f aca="false">IF($G180="","",IFERROR(INDEX(LISTS!$P$3:$P$145,MATCH($G180,LISTS!$O$3:$O$145,0)),"Other"))</f>
        <v/>
      </c>
      <c r="I180" s="37"/>
      <c r="J180" s="17"/>
      <c r="K180" s="17"/>
      <c r="L180" s="37"/>
      <c r="M180" s="37"/>
      <c r="N180" s="39"/>
      <c r="O180" s="37"/>
      <c r="P180" s="39"/>
      <c r="Q180" s="37"/>
      <c r="R180" s="39"/>
      <c r="S180" s="17"/>
      <c r="T180" s="17"/>
      <c r="U180" s="37"/>
      <c r="V180" s="37"/>
      <c r="W180" s="17"/>
      <c r="X180" s="37"/>
      <c r="Y180" s="17"/>
      <c r="Z180" s="39"/>
      <c r="AA180" s="39"/>
      <c r="AB180" s="37"/>
      <c r="AC180" s="37"/>
      <c r="AD180" s="38"/>
      <c r="AE180" s="37"/>
      <c r="AF180" s="37"/>
      <c r="AG180" s="37"/>
      <c r="AH180" s="37"/>
      <c r="AI180" s="17"/>
      <c r="AJ180" s="37"/>
      <c r="AK180" s="17"/>
      <c r="AL180" s="39"/>
      <c r="AM180" s="17"/>
      <c r="AN180" s="17"/>
      <c r="AO180" s="37"/>
      <c r="AP180" s="17"/>
      <c r="AQ180" s="37"/>
      <c r="AR180" s="37"/>
      <c r="AS180" s="37"/>
      <c r="AT180" s="17"/>
      <c r="AU180" s="37"/>
      <c r="AV180" s="37"/>
      <c r="AW180" s="38"/>
      <c r="AX180" s="37"/>
      <c r="AY180" s="38"/>
      <c r="AZ180" s="34" t="str">
        <f aca="false">IF($E180="","",COUNTA($E180,$F180,$G180,$J180,$L180,$Q180,$U180,$X180,$AM180,$AN180,$AP180,$AR180)/12)</f>
        <v/>
      </c>
      <c r="BA180" s="32" t="str">
        <f aca="false">IF($E180="","",IF(COUNTIF($E$3:$E$402,$E180)&gt;1,"DUPLICATE",""))</f>
        <v/>
      </c>
      <c r="BB180" s="17"/>
      <c r="BC180" s="35" t="str">
        <f aca="false">IF($E180="","",IFERROR(INDEX(SCORING!$C$6:$C$15,MATCH($J180,SCORING!$B$6:$B$15,0)),0)+IFERROR(INDEX(SCORING!$C$18:$C$20,MATCH($U180,SCORING!$B$18:$B$20,0)),0)+IFERROR(INDEX(SCORING!$C$23:$C$26,MATCH($X180,SCORING!$B$23:$B$26,0)),0)+IFERROR(INDEX(SCORING!$C$29:$C$32,MATCH($Q180,SCORING!$B$29:$B$32,0)),0)+IFERROR(INDEX(SCORING!$C$35:$C$37,MATCH($L180,SCORING!$B$35:$B$37,0)),0)+IF($AP180="",0,IF(AND($AQ180="Valid",$AO180="Decision maker"),SCORING!$C$40,IF($AQ180="Valid",SCORING!$C$41,SCORING!$C$42))))</f>
        <v/>
      </c>
      <c r="BD180" s="36" t="str">
        <f aca="false">IF($BC180="","",IF($BC180&gt;=SCORING!$C$46,"A",IF($BC180&gt;=SCORING!$C$47,"B",IF($BC180&gt;=SCORING!$C$48,"C","D"))))</f>
        <v/>
      </c>
      <c r="BE180" s="37"/>
    </row>
    <row r="181" customFormat="false" ht="15" hidden="false" customHeight="false" outlineLevel="0" collapsed="false">
      <c r="A181" s="37"/>
      <c r="B181" s="38"/>
      <c r="C181" s="37"/>
      <c r="D181" s="37"/>
      <c r="E181" s="17"/>
      <c r="F181" s="17"/>
      <c r="G181" s="37"/>
      <c r="H181" s="32" t="str">
        <f aca="false">IF($G181="","",IFERROR(INDEX(LISTS!$P$3:$P$145,MATCH($G181,LISTS!$O$3:$O$145,0)),"Other"))</f>
        <v/>
      </c>
      <c r="I181" s="37"/>
      <c r="J181" s="17"/>
      <c r="K181" s="17"/>
      <c r="L181" s="37"/>
      <c r="M181" s="37"/>
      <c r="N181" s="39"/>
      <c r="O181" s="37"/>
      <c r="P181" s="39"/>
      <c r="Q181" s="37"/>
      <c r="R181" s="39"/>
      <c r="S181" s="17"/>
      <c r="T181" s="17"/>
      <c r="U181" s="37"/>
      <c r="V181" s="37"/>
      <c r="W181" s="17"/>
      <c r="X181" s="37"/>
      <c r="Y181" s="17"/>
      <c r="Z181" s="39"/>
      <c r="AA181" s="39"/>
      <c r="AB181" s="37"/>
      <c r="AC181" s="37"/>
      <c r="AD181" s="38"/>
      <c r="AE181" s="37"/>
      <c r="AF181" s="37"/>
      <c r="AG181" s="37"/>
      <c r="AH181" s="37"/>
      <c r="AI181" s="17"/>
      <c r="AJ181" s="37"/>
      <c r="AK181" s="17"/>
      <c r="AL181" s="39"/>
      <c r="AM181" s="17"/>
      <c r="AN181" s="17"/>
      <c r="AO181" s="37"/>
      <c r="AP181" s="17"/>
      <c r="AQ181" s="37"/>
      <c r="AR181" s="37"/>
      <c r="AS181" s="37"/>
      <c r="AT181" s="17"/>
      <c r="AU181" s="37"/>
      <c r="AV181" s="37"/>
      <c r="AW181" s="38"/>
      <c r="AX181" s="37"/>
      <c r="AY181" s="38"/>
      <c r="AZ181" s="34" t="str">
        <f aca="false">IF($E181="","",COUNTA($E181,$F181,$G181,$J181,$L181,$Q181,$U181,$X181,$AM181,$AN181,$AP181,$AR181)/12)</f>
        <v/>
      </c>
      <c r="BA181" s="32" t="str">
        <f aca="false">IF($E181="","",IF(COUNTIF($E$3:$E$402,$E181)&gt;1,"DUPLICATE",""))</f>
        <v/>
      </c>
      <c r="BB181" s="17"/>
      <c r="BC181" s="35" t="str">
        <f aca="false">IF($E181="","",IFERROR(INDEX(SCORING!$C$6:$C$15,MATCH($J181,SCORING!$B$6:$B$15,0)),0)+IFERROR(INDEX(SCORING!$C$18:$C$20,MATCH($U181,SCORING!$B$18:$B$20,0)),0)+IFERROR(INDEX(SCORING!$C$23:$C$26,MATCH($X181,SCORING!$B$23:$B$26,0)),0)+IFERROR(INDEX(SCORING!$C$29:$C$32,MATCH($Q181,SCORING!$B$29:$B$32,0)),0)+IFERROR(INDEX(SCORING!$C$35:$C$37,MATCH($L181,SCORING!$B$35:$B$37,0)),0)+IF($AP181="",0,IF(AND($AQ181="Valid",$AO181="Decision maker"),SCORING!$C$40,IF($AQ181="Valid",SCORING!$C$41,SCORING!$C$42))))</f>
        <v/>
      </c>
      <c r="BD181" s="36" t="str">
        <f aca="false">IF($BC181="","",IF($BC181&gt;=SCORING!$C$46,"A",IF($BC181&gt;=SCORING!$C$47,"B",IF($BC181&gt;=SCORING!$C$48,"C","D"))))</f>
        <v/>
      </c>
      <c r="BE181" s="37"/>
    </row>
    <row r="182" customFormat="false" ht="15" hidden="false" customHeight="false" outlineLevel="0" collapsed="false">
      <c r="A182" s="37"/>
      <c r="B182" s="38"/>
      <c r="C182" s="37"/>
      <c r="D182" s="37"/>
      <c r="E182" s="17"/>
      <c r="F182" s="17"/>
      <c r="G182" s="37"/>
      <c r="H182" s="32" t="str">
        <f aca="false">IF($G182="","",IFERROR(INDEX(LISTS!$P$3:$P$145,MATCH($G182,LISTS!$O$3:$O$145,0)),"Other"))</f>
        <v/>
      </c>
      <c r="I182" s="37"/>
      <c r="J182" s="17"/>
      <c r="K182" s="17"/>
      <c r="L182" s="37"/>
      <c r="M182" s="37"/>
      <c r="N182" s="39"/>
      <c r="O182" s="37"/>
      <c r="P182" s="39"/>
      <c r="Q182" s="37"/>
      <c r="R182" s="39"/>
      <c r="S182" s="17"/>
      <c r="T182" s="17"/>
      <c r="U182" s="37"/>
      <c r="V182" s="37"/>
      <c r="W182" s="17"/>
      <c r="X182" s="37"/>
      <c r="Y182" s="17"/>
      <c r="Z182" s="39"/>
      <c r="AA182" s="39"/>
      <c r="AB182" s="37"/>
      <c r="AC182" s="37"/>
      <c r="AD182" s="38"/>
      <c r="AE182" s="37"/>
      <c r="AF182" s="37"/>
      <c r="AG182" s="37"/>
      <c r="AH182" s="37"/>
      <c r="AI182" s="17"/>
      <c r="AJ182" s="37"/>
      <c r="AK182" s="17"/>
      <c r="AL182" s="39"/>
      <c r="AM182" s="17"/>
      <c r="AN182" s="17"/>
      <c r="AO182" s="37"/>
      <c r="AP182" s="17"/>
      <c r="AQ182" s="37"/>
      <c r="AR182" s="37"/>
      <c r="AS182" s="37"/>
      <c r="AT182" s="17"/>
      <c r="AU182" s="37"/>
      <c r="AV182" s="37"/>
      <c r="AW182" s="38"/>
      <c r="AX182" s="37"/>
      <c r="AY182" s="38"/>
      <c r="AZ182" s="34" t="str">
        <f aca="false">IF($E182="","",COUNTA($E182,$F182,$G182,$J182,$L182,$Q182,$U182,$X182,$AM182,$AN182,$AP182,$AR182)/12)</f>
        <v/>
      </c>
      <c r="BA182" s="32" t="str">
        <f aca="false">IF($E182="","",IF(COUNTIF($E$3:$E$402,$E182)&gt;1,"DUPLICATE",""))</f>
        <v/>
      </c>
      <c r="BB182" s="17"/>
      <c r="BC182" s="35" t="str">
        <f aca="false">IF($E182="","",IFERROR(INDEX(SCORING!$C$6:$C$15,MATCH($J182,SCORING!$B$6:$B$15,0)),0)+IFERROR(INDEX(SCORING!$C$18:$C$20,MATCH($U182,SCORING!$B$18:$B$20,0)),0)+IFERROR(INDEX(SCORING!$C$23:$C$26,MATCH($X182,SCORING!$B$23:$B$26,0)),0)+IFERROR(INDEX(SCORING!$C$29:$C$32,MATCH($Q182,SCORING!$B$29:$B$32,0)),0)+IFERROR(INDEX(SCORING!$C$35:$C$37,MATCH($L182,SCORING!$B$35:$B$37,0)),0)+IF($AP182="",0,IF(AND($AQ182="Valid",$AO182="Decision maker"),SCORING!$C$40,IF($AQ182="Valid",SCORING!$C$41,SCORING!$C$42))))</f>
        <v/>
      </c>
      <c r="BD182" s="36" t="str">
        <f aca="false">IF($BC182="","",IF($BC182&gt;=SCORING!$C$46,"A",IF($BC182&gt;=SCORING!$C$47,"B",IF($BC182&gt;=SCORING!$C$48,"C","D"))))</f>
        <v/>
      </c>
      <c r="BE182" s="37"/>
    </row>
    <row r="183" customFormat="false" ht="15" hidden="false" customHeight="false" outlineLevel="0" collapsed="false">
      <c r="A183" s="37"/>
      <c r="B183" s="38"/>
      <c r="C183" s="37"/>
      <c r="D183" s="37"/>
      <c r="E183" s="17"/>
      <c r="F183" s="17"/>
      <c r="G183" s="37"/>
      <c r="H183" s="32" t="str">
        <f aca="false">IF($G183="","",IFERROR(INDEX(LISTS!$P$3:$P$145,MATCH($G183,LISTS!$O$3:$O$145,0)),"Other"))</f>
        <v/>
      </c>
      <c r="I183" s="37"/>
      <c r="J183" s="17"/>
      <c r="K183" s="17"/>
      <c r="L183" s="37"/>
      <c r="M183" s="37"/>
      <c r="N183" s="39"/>
      <c r="O183" s="37"/>
      <c r="P183" s="39"/>
      <c r="Q183" s="37"/>
      <c r="R183" s="39"/>
      <c r="S183" s="17"/>
      <c r="T183" s="17"/>
      <c r="U183" s="37"/>
      <c r="V183" s="37"/>
      <c r="W183" s="17"/>
      <c r="X183" s="37"/>
      <c r="Y183" s="17"/>
      <c r="Z183" s="39"/>
      <c r="AA183" s="39"/>
      <c r="AB183" s="37"/>
      <c r="AC183" s="37"/>
      <c r="AD183" s="38"/>
      <c r="AE183" s="37"/>
      <c r="AF183" s="37"/>
      <c r="AG183" s="37"/>
      <c r="AH183" s="37"/>
      <c r="AI183" s="17"/>
      <c r="AJ183" s="37"/>
      <c r="AK183" s="17"/>
      <c r="AL183" s="39"/>
      <c r="AM183" s="17"/>
      <c r="AN183" s="17"/>
      <c r="AO183" s="37"/>
      <c r="AP183" s="17"/>
      <c r="AQ183" s="37"/>
      <c r="AR183" s="37"/>
      <c r="AS183" s="37"/>
      <c r="AT183" s="17"/>
      <c r="AU183" s="37"/>
      <c r="AV183" s="37"/>
      <c r="AW183" s="38"/>
      <c r="AX183" s="37"/>
      <c r="AY183" s="38"/>
      <c r="AZ183" s="34" t="str">
        <f aca="false">IF($E183="","",COUNTA($E183,$F183,$G183,$J183,$L183,$Q183,$U183,$X183,$AM183,$AN183,$AP183,$AR183)/12)</f>
        <v/>
      </c>
      <c r="BA183" s="32" t="str">
        <f aca="false">IF($E183="","",IF(COUNTIF($E$3:$E$402,$E183)&gt;1,"DUPLICATE",""))</f>
        <v/>
      </c>
      <c r="BB183" s="17"/>
      <c r="BC183" s="35" t="str">
        <f aca="false">IF($E183="","",IFERROR(INDEX(SCORING!$C$6:$C$15,MATCH($J183,SCORING!$B$6:$B$15,0)),0)+IFERROR(INDEX(SCORING!$C$18:$C$20,MATCH($U183,SCORING!$B$18:$B$20,0)),0)+IFERROR(INDEX(SCORING!$C$23:$C$26,MATCH($X183,SCORING!$B$23:$B$26,0)),0)+IFERROR(INDEX(SCORING!$C$29:$C$32,MATCH($Q183,SCORING!$B$29:$B$32,0)),0)+IFERROR(INDEX(SCORING!$C$35:$C$37,MATCH($L183,SCORING!$B$35:$B$37,0)),0)+IF($AP183="",0,IF(AND($AQ183="Valid",$AO183="Decision maker"),SCORING!$C$40,IF($AQ183="Valid",SCORING!$C$41,SCORING!$C$42))))</f>
        <v/>
      </c>
      <c r="BD183" s="36" t="str">
        <f aca="false">IF($BC183="","",IF($BC183&gt;=SCORING!$C$46,"A",IF($BC183&gt;=SCORING!$C$47,"B",IF($BC183&gt;=SCORING!$C$48,"C","D"))))</f>
        <v/>
      </c>
      <c r="BE183" s="37"/>
    </row>
    <row r="184" customFormat="false" ht="15" hidden="false" customHeight="false" outlineLevel="0" collapsed="false">
      <c r="A184" s="37"/>
      <c r="B184" s="38"/>
      <c r="C184" s="37"/>
      <c r="D184" s="37"/>
      <c r="E184" s="17"/>
      <c r="F184" s="17"/>
      <c r="G184" s="37"/>
      <c r="H184" s="32" t="str">
        <f aca="false">IF($G184="","",IFERROR(INDEX(LISTS!$P$3:$P$145,MATCH($G184,LISTS!$O$3:$O$145,0)),"Other"))</f>
        <v/>
      </c>
      <c r="I184" s="37"/>
      <c r="J184" s="17"/>
      <c r="K184" s="17"/>
      <c r="L184" s="37"/>
      <c r="M184" s="37"/>
      <c r="N184" s="39"/>
      <c r="O184" s="37"/>
      <c r="P184" s="39"/>
      <c r="Q184" s="37"/>
      <c r="R184" s="39"/>
      <c r="S184" s="17"/>
      <c r="T184" s="17"/>
      <c r="U184" s="37"/>
      <c r="V184" s="37"/>
      <c r="W184" s="17"/>
      <c r="X184" s="37"/>
      <c r="Y184" s="17"/>
      <c r="Z184" s="39"/>
      <c r="AA184" s="39"/>
      <c r="AB184" s="37"/>
      <c r="AC184" s="37"/>
      <c r="AD184" s="38"/>
      <c r="AE184" s="37"/>
      <c r="AF184" s="37"/>
      <c r="AG184" s="37"/>
      <c r="AH184" s="37"/>
      <c r="AI184" s="17"/>
      <c r="AJ184" s="37"/>
      <c r="AK184" s="17"/>
      <c r="AL184" s="39"/>
      <c r="AM184" s="17"/>
      <c r="AN184" s="17"/>
      <c r="AO184" s="37"/>
      <c r="AP184" s="17"/>
      <c r="AQ184" s="37"/>
      <c r="AR184" s="37"/>
      <c r="AS184" s="37"/>
      <c r="AT184" s="17"/>
      <c r="AU184" s="37"/>
      <c r="AV184" s="37"/>
      <c r="AW184" s="38"/>
      <c r="AX184" s="37"/>
      <c r="AY184" s="38"/>
      <c r="AZ184" s="34" t="str">
        <f aca="false">IF($E184="","",COUNTA($E184,$F184,$G184,$J184,$L184,$Q184,$U184,$X184,$AM184,$AN184,$AP184,$AR184)/12)</f>
        <v/>
      </c>
      <c r="BA184" s="32" t="str">
        <f aca="false">IF($E184="","",IF(COUNTIF($E$3:$E$402,$E184)&gt;1,"DUPLICATE",""))</f>
        <v/>
      </c>
      <c r="BB184" s="17"/>
      <c r="BC184" s="35" t="str">
        <f aca="false">IF($E184="","",IFERROR(INDEX(SCORING!$C$6:$C$15,MATCH($J184,SCORING!$B$6:$B$15,0)),0)+IFERROR(INDEX(SCORING!$C$18:$C$20,MATCH($U184,SCORING!$B$18:$B$20,0)),0)+IFERROR(INDEX(SCORING!$C$23:$C$26,MATCH($X184,SCORING!$B$23:$B$26,0)),0)+IFERROR(INDEX(SCORING!$C$29:$C$32,MATCH($Q184,SCORING!$B$29:$B$32,0)),0)+IFERROR(INDEX(SCORING!$C$35:$C$37,MATCH($L184,SCORING!$B$35:$B$37,0)),0)+IF($AP184="",0,IF(AND($AQ184="Valid",$AO184="Decision maker"),SCORING!$C$40,IF($AQ184="Valid",SCORING!$C$41,SCORING!$C$42))))</f>
        <v/>
      </c>
      <c r="BD184" s="36" t="str">
        <f aca="false">IF($BC184="","",IF($BC184&gt;=SCORING!$C$46,"A",IF($BC184&gt;=SCORING!$C$47,"B",IF($BC184&gt;=SCORING!$C$48,"C","D"))))</f>
        <v/>
      </c>
      <c r="BE184" s="37"/>
    </row>
    <row r="185" customFormat="false" ht="15" hidden="false" customHeight="false" outlineLevel="0" collapsed="false">
      <c r="A185" s="37"/>
      <c r="B185" s="38"/>
      <c r="C185" s="37"/>
      <c r="D185" s="37"/>
      <c r="E185" s="17"/>
      <c r="F185" s="17"/>
      <c r="G185" s="37"/>
      <c r="H185" s="32" t="str">
        <f aca="false">IF($G185="","",IFERROR(INDEX(LISTS!$P$3:$P$145,MATCH($G185,LISTS!$O$3:$O$145,0)),"Other"))</f>
        <v/>
      </c>
      <c r="I185" s="37"/>
      <c r="J185" s="17"/>
      <c r="K185" s="17"/>
      <c r="L185" s="37"/>
      <c r="M185" s="37"/>
      <c r="N185" s="39"/>
      <c r="O185" s="37"/>
      <c r="P185" s="39"/>
      <c r="Q185" s="37"/>
      <c r="R185" s="39"/>
      <c r="S185" s="17"/>
      <c r="T185" s="17"/>
      <c r="U185" s="37"/>
      <c r="V185" s="37"/>
      <c r="W185" s="17"/>
      <c r="X185" s="37"/>
      <c r="Y185" s="17"/>
      <c r="Z185" s="39"/>
      <c r="AA185" s="39"/>
      <c r="AB185" s="37"/>
      <c r="AC185" s="37"/>
      <c r="AD185" s="38"/>
      <c r="AE185" s="37"/>
      <c r="AF185" s="37"/>
      <c r="AG185" s="37"/>
      <c r="AH185" s="37"/>
      <c r="AI185" s="17"/>
      <c r="AJ185" s="37"/>
      <c r="AK185" s="17"/>
      <c r="AL185" s="39"/>
      <c r="AM185" s="17"/>
      <c r="AN185" s="17"/>
      <c r="AO185" s="37"/>
      <c r="AP185" s="17"/>
      <c r="AQ185" s="37"/>
      <c r="AR185" s="37"/>
      <c r="AS185" s="37"/>
      <c r="AT185" s="17"/>
      <c r="AU185" s="37"/>
      <c r="AV185" s="37"/>
      <c r="AW185" s="38"/>
      <c r="AX185" s="37"/>
      <c r="AY185" s="38"/>
      <c r="AZ185" s="34" t="str">
        <f aca="false">IF($E185="","",COUNTA($E185,$F185,$G185,$J185,$L185,$Q185,$U185,$X185,$AM185,$AN185,$AP185,$AR185)/12)</f>
        <v/>
      </c>
      <c r="BA185" s="32" t="str">
        <f aca="false">IF($E185="","",IF(COUNTIF($E$3:$E$402,$E185)&gt;1,"DUPLICATE",""))</f>
        <v/>
      </c>
      <c r="BB185" s="17"/>
      <c r="BC185" s="35" t="str">
        <f aca="false">IF($E185="","",IFERROR(INDEX(SCORING!$C$6:$C$15,MATCH($J185,SCORING!$B$6:$B$15,0)),0)+IFERROR(INDEX(SCORING!$C$18:$C$20,MATCH($U185,SCORING!$B$18:$B$20,0)),0)+IFERROR(INDEX(SCORING!$C$23:$C$26,MATCH($X185,SCORING!$B$23:$B$26,0)),0)+IFERROR(INDEX(SCORING!$C$29:$C$32,MATCH($Q185,SCORING!$B$29:$B$32,0)),0)+IFERROR(INDEX(SCORING!$C$35:$C$37,MATCH($L185,SCORING!$B$35:$B$37,0)),0)+IF($AP185="",0,IF(AND($AQ185="Valid",$AO185="Decision maker"),SCORING!$C$40,IF($AQ185="Valid",SCORING!$C$41,SCORING!$C$42))))</f>
        <v/>
      </c>
      <c r="BD185" s="36" t="str">
        <f aca="false">IF($BC185="","",IF($BC185&gt;=SCORING!$C$46,"A",IF($BC185&gt;=SCORING!$C$47,"B",IF($BC185&gt;=SCORING!$C$48,"C","D"))))</f>
        <v/>
      </c>
      <c r="BE185" s="37"/>
    </row>
    <row r="186" customFormat="false" ht="15" hidden="false" customHeight="false" outlineLevel="0" collapsed="false">
      <c r="A186" s="37"/>
      <c r="B186" s="38"/>
      <c r="C186" s="37"/>
      <c r="D186" s="37"/>
      <c r="E186" s="17"/>
      <c r="F186" s="17"/>
      <c r="G186" s="37"/>
      <c r="H186" s="32" t="str">
        <f aca="false">IF($G186="","",IFERROR(INDEX(LISTS!$P$3:$P$145,MATCH($G186,LISTS!$O$3:$O$145,0)),"Other"))</f>
        <v/>
      </c>
      <c r="I186" s="37"/>
      <c r="J186" s="17"/>
      <c r="K186" s="17"/>
      <c r="L186" s="37"/>
      <c r="M186" s="37"/>
      <c r="N186" s="39"/>
      <c r="O186" s="37"/>
      <c r="P186" s="39"/>
      <c r="Q186" s="37"/>
      <c r="R186" s="39"/>
      <c r="S186" s="17"/>
      <c r="T186" s="17"/>
      <c r="U186" s="37"/>
      <c r="V186" s="37"/>
      <c r="W186" s="17"/>
      <c r="X186" s="37"/>
      <c r="Y186" s="17"/>
      <c r="Z186" s="39"/>
      <c r="AA186" s="39"/>
      <c r="AB186" s="37"/>
      <c r="AC186" s="37"/>
      <c r="AD186" s="38"/>
      <c r="AE186" s="37"/>
      <c r="AF186" s="37"/>
      <c r="AG186" s="37"/>
      <c r="AH186" s="37"/>
      <c r="AI186" s="17"/>
      <c r="AJ186" s="37"/>
      <c r="AK186" s="17"/>
      <c r="AL186" s="39"/>
      <c r="AM186" s="17"/>
      <c r="AN186" s="17"/>
      <c r="AO186" s="37"/>
      <c r="AP186" s="17"/>
      <c r="AQ186" s="37"/>
      <c r="AR186" s="37"/>
      <c r="AS186" s="37"/>
      <c r="AT186" s="17"/>
      <c r="AU186" s="37"/>
      <c r="AV186" s="37"/>
      <c r="AW186" s="38"/>
      <c r="AX186" s="37"/>
      <c r="AY186" s="38"/>
      <c r="AZ186" s="34" t="str">
        <f aca="false">IF($E186="","",COUNTA($E186,$F186,$G186,$J186,$L186,$Q186,$U186,$X186,$AM186,$AN186,$AP186,$AR186)/12)</f>
        <v/>
      </c>
      <c r="BA186" s="32" t="str">
        <f aca="false">IF($E186="","",IF(COUNTIF($E$3:$E$402,$E186)&gt;1,"DUPLICATE",""))</f>
        <v/>
      </c>
      <c r="BB186" s="17"/>
      <c r="BC186" s="35" t="str">
        <f aca="false">IF($E186="","",IFERROR(INDEX(SCORING!$C$6:$C$15,MATCH($J186,SCORING!$B$6:$B$15,0)),0)+IFERROR(INDEX(SCORING!$C$18:$C$20,MATCH($U186,SCORING!$B$18:$B$20,0)),0)+IFERROR(INDEX(SCORING!$C$23:$C$26,MATCH($X186,SCORING!$B$23:$B$26,0)),0)+IFERROR(INDEX(SCORING!$C$29:$C$32,MATCH($Q186,SCORING!$B$29:$B$32,0)),0)+IFERROR(INDEX(SCORING!$C$35:$C$37,MATCH($L186,SCORING!$B$35:$B$37,0)),0)+IF($AP186="",0,IF(AND($AQ186="Valid",$AO186="Decision maker"),SCORING!$C$40,IF($AQ186="Valid",SCORING!$C$41,SCORING!$C$42))))</f>
        <v/>
      </c>
      <c r="BD186" s="36" t="str">
        <f aca="false">IF($BC186="","",IF($BC186&gt;=SCORING!$C$46,"A",IF($BC186&gt;=SCORING!$C$47,"B",IF($BC186&gt;=SCORING!$C$48,"C","D"))))</f>
        <v/>
      </c>
      <c r="BE186" s="37"/>
    </row>
    <row r="187" customFormat="false" ht="15" hidden="false" customHeight="false" outlineLevel="0" collapsed="false">
      <c r="A187" s="37"/>
      <c r="B187" s="38"/>
      <c r="C187" s="37"/>
      <c r="D187" s="37"/>
      <c r="E187" s="17"/>
      <c r="F187" s="17"/>
      <c r="G187" s="37"/>
      <c r="H187" s="32" t="str">
        <f aca="false">IF($G187="","",IFERROR(INDEX(LISTS!$P$3:$P$145,MATCH($G187,LISTS!$O$3:$O$145,0)),"Other"))</f>
        <v/>
      </c>
      <c r="I187" s="37"/>
      <c r="J187" s="17"/>
      <c r="K187" s="17"/>
      <c r="L187" s="37"/>
      <c r="M187" s="37"/>
      <c r="N187" s="39"/>
      <c r="O187" s="37"/>
      <c r="P187" s="39"/>
      <c r="Q187" s="37"/>
      <c r="R187" s="39"/>
      <c r="S187" s="17"/>
      <c r="T187" s="17"/>
      <c r="U187" s="37"/>
      <c r="V187" s="37"/>
      <c r="W187" s="17"/>
      <c r="X187" s="37"/>
      <c r="Y187" s="17"/>
      <c r="Z187" s="39"/>
      <c r="AA187" s="39"/>
      <c r="AB187" s="37"/>
      <c r="AC187" s="37"/>
      <c r="AD187" s="38"/>
      <c r="AE187" s="37"/>
      <c r="AF187" s="37"/>
      <c r="AG187" s="37"/>
      <c r="AH187" s="37"/>
      <c r="AI187" s="17"/>
      <c r="AJ187" s="37"/>
      <c r="AK187" s="17"/>
      <c r="AL187" s="39"/>
      <c r="AM187" s="17"/>
      <c r="AN187" s="17"/>
      <c r="AO187" s="37"/>
      <c r="AP187" s="17"/>
      <c r="AQ187" s="37"/>
      <c r="AR187" s="37"/>
      <c r="AS187" s="37"/>
      <c r="AT187" s="17"/>
      <c r="AU187" s="37"/>
      <c r="AV187" s="37"/>
      <c r="AW187" s="38"/>
      <c r="AX187" s="37"/>
      <c r="AY187" s="38"/>
      <c r="AZ187" s="34" t="str">
        <f aca="false">IF($E187="","",COUNTA($E187,$F187,$G187,$J187,$L187,$Q187,$U187,$X187,$AM187,$AN187,$AP187,$AR187)/12)</f>
        <v/>
      </c>
      <c r="BA187" s="32" t="str">
        <f aca="false">IF($E187="","",IF(COUNTIF($E$3:$E$402,$E187)&gt;1,"DUPLICATE",""))</f>
        <v/>
      </c>
      <c r="BB187" s="17"/>
      <c r="BC187" s="35" t="str">
        <f aca="false">IF($E187="","",IFERROR(INDEX(SCORING!$C$6:$C$15,MATCH($J187,SCORING!$B$6:$B$15,0)),0)+IFERROR(INDEX(SCORING!$C$18:$C$20,MATCH($U187,SCORING!$B$18:$B$20,0)),0)+IFERROR(INDEX(SCORING!$C$23:$C$26,MATCH($X187,SCORING!$B$23:$B$26,0)),0)+IFERROR(INDEX(SCORING!$C$29:$C$32,MATCH($Q187,SCORING!$B$29:$B$32,0)),0)+IFERROR(INDEX(SCORING!$C$35:$C$37,MATCH($L187,SCORING!$B$35:$B$37,0)),0)+IF($AP187="",0,IF(AND($AQ187="Valid",$AO187="Decision maker"),SCORING!$C$40,IF($AQ187="Valid",SCORING!$C$41,SCORING!$C$42))))</f>
        <v/>
      </c>
      <c r="BD187" s="36" t="str">
        <f aca="false">IF($BC187="","",IF($BC187&gt;=SCORING!$C$46,"A",IF($BC187&gt;=SCORING!$C$47,"B",IF($BC187&gt;=SCORING!$C$48,"C","D"))))</f>
        <v/>
      </c>
      <c r="BE187" s="37"/>
    </row>
    <row r="188" customFormat="false" ht="15" hidden="false" customHeight="false" outlineLevel="0" collapsed="false">
      <c r="A188" s="37"/>
      <c r="B188" s="38"/>
      <c r="C188" s="37"/>
      <c r="D188" s="37"/>
      <c r="E188" s="17"/>
      <c r="F188" s="17"/>
      <c r="G188" s="37"/>
      <c r="H188" s="32" t="str">
        <f aca="false">IF($G188="","",IFERROR(INDEX(LISTS!$P$3:$P$145,MATCH($G188,LISTS!$O$3:$O$145,0)),"Other"))</f>
        <v/>
      </c>
      <c r="I188" s="37"/>
      <c r="J188" s="17"/>
      <c r="K188" s="17"/>
      <c r="L188" s="37"/>
      <c r="M188" s="37"/>
      <c r="N188" s="39"/>
      <c r="O188" s="37"/>
      <c r="P188" s="39"/>
      <c r="Q188" s="37"/>
      <c r="R188" s="39"/>
      <c r="S188" s="17"/>
      <c r="T188" s="17"/>
      <c r="U188" s="37"/>
      <c r="V188" s="37"/>
      <c r="W188" s="17"/>
      <c r="X188" s="37"/>
      <c r="Y188" s="17"/>
      <c r="Z188" s="39"/>
      <c r="AA188" s="39"/>
      <c r="AB188" s="37"/>
      <c r="AC188" s="37"/>
      <c r="AD188" s="38"/>
      <c r="AE188" s="37"/>
      <c r="AF188" s="37"/>
      <c r="AG188" s="37"/>
      <c r="AH188" s="37"/>
      <c r="AI188" s="17"/>
      <c r="AJ188" s="37"/>
      <c r="AK188" s="17"/>
      <c r="AL188" s="39"/>
      <c r="AM188" s="17"/>
      <c r="AN188" s="17"/>
      <c r="AO188" s="37"/>
      <c r="AP188" s="17"/>
      <c r="AQ188" s="37"/>
      <c r="AR188" s="37"/>
      <c r="AS188" s="37"/>
      <c r="AT188" s="17"/>
      <c r="AU188" s="37"/>
      <c r="AV188" s="37"/>
      <c r="AW188" s="38"/>
      <c r="AX188" s="37"/>
      <c r="AY188" s="38"/>
      <c r="AZ188" s="34" t="str">
        <f aca="false">IF($E188="","",COUNTA($E188,$F188,$G188,$J188,$L188,$Q188,$U188,$X188,$AM188,$AN188,$AP188,$AR188)/12)</f>
        <v/>
      </c>
      <c r="BA188" s="32" t="str">
        <f aca="false">IF($E188="","",IF(COUNTIF($E$3:$E$402,$E188)&gt;1,"DUPLICATE",""))</f>
        <v/>
      </c>
      <c r="BB188" s="17"/>
      <c r="BC188" s="35" t="str">
        <f aca="false">IF($E188="","",IFERROR(INDEX(SCORING!$C$6:$C$15,MATCH($J188,SCORING!$B$6:$B$15,0)),0)+IFERROR(INDEX(SCORING!$C$18:$C$20,MATCH($U188,SCORING!$B$18:$B$20,0)),0)+IFERROR(INDEX(SCORING!$C$23:$C$26,MATCH($X188,SCORING!$B$23:$B$26,0)),0)+IFERROR(INDEX(SCORING!$C$29:$C$32,MATCH($Q188,SCORING!$B$29:$B$32,0)),0)+IFERROR(INDEX(SCORING!$C$35:$C$37,MATCH($L188,SCORING!$B$35:$B$37,0)),0)+IF($AP188="",0,IF(AND($AQ188="Valid",$AO188="Decision maker"),SCORING!$C$40,IF($AQ188="Valid",SCORING!$C$41,SCORING!$C$42))))</f>
        <v/>
      </c>
      <c r="BD188" s="36" t="str">
        <f aca="false">IF($BC188="","",IF($BC188&gt;=SCORING!$C$46,"A",IF($BC188&gt;=SCORING!$C$47,"B",IF($BC188&gt;=SCORING!$C$48,"C","D"))))</f>
        <v/>
      </c>
      <c r="BE188" s="37"/>
    </row>
    <row r="189" customFormat="false" ht="15" hidden="false" customHeight="false" outlineLevel="0" collapsed="false">
      <c r="A189" s="37"/>
      <c r="B189" s="38"/>
      <c r="C189" s="37"/>
      <c r="D189" s="37"/>
      <c r="E189" s="17"/>
      <c r="F189" s="17"/>
      <c r="G189" s="37"/>
      <c r="H189" s="32" t="str">
        <f aca="false">IF($G189="","",IFERROR(INDEX(LISTS!$P$3:$P$145,MATCH($G189,LISTS!$O$3:$O$145,0)),"Other"))</f>
        <v/>
      </c>
      <c r="I189" s="37"/>
      <c r="J189" s="17"/>
      <c r="K189" s="17"/>
      <c r="L189" s="37"/>
      <c r="M189" s="37"/>
      <c r="N189" s="39"/>
      <c r="O189" s="37"/>
      <c r="P189" s="39"/>
      <c r="Q189" s="37"/>
      <c r="R189" s="39"/>
      <c r="S189" s="17"/>
      <c r="T189" s="17"/>
      <c r="U189" s="37"/>
      <c r="V189" s="37"/>
      <c r="W189" s="17"/>
      <c r="X189" s="37"/>
      <c r="Y189" s="17"/>
      <c r="Z189" s="39"/>
      <c r="AA189" s="39"/>
      <c r="AB189" s="37"/>
      <c r="AC189" s="37"/>
      <c r="AD189" s="38"/>
      <c r="AE189" s="37"/>
      <c r="AF189" s="37"/>
      <c r="AG189" s="37"/>
      <c r="AH189" s="37"/>
      <c r="AI189" s="17"/>
      <c r="AJ189" s="37"/>
      <c r="AK189" s="17"/>
      <c r="AL189" s="39"/>
      <c r="AM189" s="17"/>
      <c r="AN189" s="17"/>
      <c r="AO189" s="37"/>
      <c r="AP189" s="17"/>
      <c r="AQ189" s="37"/>
      <c r="AR189" s="37"/>
      <c r="AS189" s="37"/>
      <c r="AT189" s="17"/>
      <c r="AU189" s="37"/>
      <c r="AV189" s="37"/>
      <c r="AW189" s="38"/>
      <c r="AX189" s="37"/>
      <c r="AY189" s="38"/>
      <c r="AZ189" s="34" t="str">
        <f aca="false">IF($E189="","",COUNTA($E189,$F189,$G189,$J189,$L189,$Q189,$U189,$X189,$AM189,$AN189,$AP189,$AR189)/12)</f>
        <v/>
      </c>
      <c r="BA189" s="32" t="str">
        <f aca="false">IF($E189="","",IF(COUNTIF($E$3:$E$402,$E189)&gt;1,"DUPLICATE",""))</f>
        <v/>
      </c>
      <c r="BB189" s="17"/>
      <c r="BC189" s="35" t="str">
        <f aca="false">IF($E189="","",IFERROR(INDEX(SCORING!$C$6:$C$15,MATCH($J189,SCORING!$B$6:$B$15,0)),0)+IFERROR(INDEX(SCORING!$C$18:$C$20,MATCH($U189,SCORING!$B$18:$B$20,0)),0)+IFERROR(INDEX(SCORING!$C$23:$C$26,MATCH($X189,SCORING!$B$23:$B$26,0)),0)+IFERROR(INDEX(SCORING!$C$29:$C$32,MATCH($Q189,SCORING!$B$29:$B$32,0)),0)+IFERROR(INDEX(SCORING!$C$35:$C$37,MATCH($L189,SCORING!$B$35:$B$37,0)),0)+IF($AP189="",0,IF(AND($AQ189="Valid",$AO189="Decision maker"),SCORING!$C$40,IF($AQ189="Valid",SCORING!$C$41,SCORING!$C$42))))</f>
        <v/>
      </c>
      <c r="BD189" s="36" t="str">
        <f aca="false">IF($BC189="","",IF($BC189&gt;=SCORING!$C$46,"A",IF($BC189&gt;=SCORING!$C$47,"B",IF($BC189&gt;=SCORING!$C$48,"C","D"))))</f>
        <v/>
      </c>
      <c r="BE189" s="37"/>
    </row>
    <row r="190" customFormat="false" ht="15" hidden="false" customHeight="false" outlineLevel="0" collapsed="false">
      <c r="A190" s="37"/>
      <c r="B190" s="38"/>
      <c r="C190" s="37"/>
      <c r="D190" s="37"/>
      <c r="E190" s="17"/>
      <c r="F190" s="17"/>
      <c r="G190" s="37"/>
      <c r="H190" s="32" t="str">
        <f aca="false">IF($G190="","",IFERROR(INDEX(LISTS!$P$3:$P$145,MATCH($G190,LISTS!$O$3:$O$145,0)),"Other"))</f>
        <v/>
      </c>
      <c r="I190" s="37"/>
      <c r="J190" s="17"/>
      <c r="K190" s="17"/>
      <c r="L190" s="37"/>
      <c r="M190" s="37"/>
      <c r="N190" s="39"/>
      <c r="O190" s="37"/>
      <c r="P190" s="39"/>
      <c r="Q190" s="37"/>
      <c r="R190" s="39"/>
      <c r="S190" s="17"/>
      <c r="T190" s="17"/>
      <c r="U190" s="37"/>
      <c r="V190" s="37"/>
      <c r="W190" s="17"/>
      <c r="X190" s="37"/>
      <c r="Y190" s="17"/>
      <c r="Z190" s="39"/>
      <c r="AA190" s="39"/>
      <c r="AB190" s="37"/>
      <c r="AC190" s="37"/>
      <c r="AD190" s="38"/>
      <c r="AE190" s="37"/>
      <c r="AF190" s="37"/>
      <c r="AG190" s="37"/>
      <c r="AH190" s="37"/>
      <c r="AI190" s="17"/>
      <c r="AJ190" s="37"/>
      <c r="AK190" s="17"/>
      <c r="AL190" s="39"/>
      <c r="AM190" s="17"/>
      <c r="AN190" s="17"/>
      <c r="AO190" s="37"/>
      <c r="AP190" s="17"/>
      <c r="AQ190" s="37"/>
      <c r="AR190" s="37"/>
      <c r="AS190" s="37"/>
      <c r="AT190" s="17"/>
      <c r="AU190" s="37"/>
      <c r="AV190" s="37"/>
      <c r="AW190" s="38"/>
      <c r="AX190" s="37"/>
      <c r="AY190" s="38"/>
      <c r="AZ190" s="34" t="str">
        <f aca="false">IF($E190="","",COUNTA($E190,$F190,$G190,$J190,$L190,$Q190,$U190,$X190,$AM190,$AN190,$AP190,$AR190)/12)</f>
        <v/>
      </c>
      <c r="BA190" s="32" t="str">
        <f aca="false">IF($E190="","",IF(COUNTIF($E$3:$E$402,$E190)&gt;1,"DUPLICATE",""))</f>
        <v/>
      </c>
      <c r="BB190" s="17"/>
      <c r="BC190" s="35" t="str">
        <f aca="false">IF($E190="","",IFERROR(INDEX(SCORING!$C$6:$C$15,MATCH($J190,SCORING!$B$6:$B$15,0)),0)+IFERROR(INDEX(SCORING!$C$18:$C$20,MATCH($U190,SCORING!$B$18:$B$20,0)),0)+IFERROR(INDEX(SCORING!$C$23:$C$26,MATCH($X190,SCORING!$B$23:$B$26,0)),0)+IFERROR(INDEX(SCORING!$C$29:$C$32,MATCH($Q190,SCORING!$B$29:$B$32,0)),0)+IFERROR(INDEX(SCORING!$C$35:$C$37,MATCH($L190,SCORING!$B$35:$B$37,0)),0)+IF($AP190="",0,IF(AND($AQ190="Valid",$AO190="Decision maker"),SCORING!$C$40,IF($AQ190="Valid",SCORING!$C$41,SCORING!$C$42))))</f>
        <v/>
      </c>
      <c r="BD190" s="36" t="str">
        <f aca="false">IF($BC190="","",IF($BC190&gt;=SCORING!$C$46,"A",IF($BC190&gt;=SCORING!$C$47,"B",IF($BC190&gt;=SCORING!$C$48,"C","D"))))</f>
        <v/>
      </c>
      <c r="BE190" s="37"/>
    </row>
    <row r="191" customFormat="false" ht="15" hidden="false" customHeight="false" outlineLevel="0" collapsed="false">
      <c r="A191" s="37"/>
      <c r="B191" s="38"/>
      <c r="C191" s="37"/>
      <c r="D191" s="37"/>
      <c r="E191" s="17"/>
      <c r="F191" s="17"/>
      <c r="G191" s="37"/>
      <c r="H191" s="32" t="str">
        <f aca="false">IF($G191="","",IFERROR(INDEX(LISTS!$P$3:$P$145,MATCH($G191,LISTS!$O$3:$O$145,0)),"Other"))</f>
        <v/>
      </c>
      <c r="I191" s="37"/>
      <c r="J191" s="17"/>
      <c r="K191" s="17"/>
      <c r="L191" s="37"/>
      <c r="M191" s="37"/>
      <c r="N191" s="39"/>
      <c r="O191" s="37"/>
      <c r="P191" s="39"/>
      <c r="Q191" s="37"/>
      <c r="R191" s="39"/>
      <c r="S191" s="17"/>
      <c r="T191" s="17"/>
      <c r="U191" s="37"/>
      <c r="V191" s="37"/>
      <c r="W191" s="17"/>
      <c r="X191" s="37"/>
      <c r="Y191" s="17"/>
      <c r="Z191" s="39"/>
      <c r="AA191" s="39"/>
      <c r="AB191" s="37"/>
      <c r="AC191" s="37"/>
      <c r="AD191" s="38"/>
      <c r="AE191" s="37"/>
      <c r="AF191" s="37"/>
      <c r="AG191" s="37"/>
      <c r="AH191" s="37"/>
      <c r="AI191" s="17"/>
      <c r="AJ191" s="37"/>
      <c r="AK191" s="17"/>
      <c r="AL191" s="39"/>
      <c r="AM191" s="17"/>
      <c r="AN191" s="17"/>
      <c r="AO191" s="37"/>
      <c r="AP191" s="17"/>
      <c r="AQ191" s="37"/>
      <c r="AR191" s="37"/>
      <c r="AS191" s="37"/>
      <c r="AT191" s="17"/>
      <c r="AU191" s="37"/>
      <c r="AV191" s="37"/>
      <c r="AW191" s="38"/>
      <c r="AX191" s="37"/>
      <c r="AY191" s="38"/>
      <c r="AZ191" s="34" t="str">
        <f aca="false">IF($E191="","",COUNTA($E191,$F191,$G191,$J191,$L191,$Q191,$U191,$X191,$AM191,$AN191,$AP191,$AR191)/12)</f>
        <v/>
      </c>
      <c r="BA191" s="32" t="str">
        <f aca="false">IF($E191="","",IF(COUNTIF($E$3:$E$402,$E191)&gt;1,"DUPLICATE",""))</f>
        <v/>
      </c>
      <c r="BB191" s="17"/>
      <c r="BC191" s="35" t="str">
        <f aca="false">IF($E191="","",IFERROR(INDEX(SCORING!$C$6:$C$15,MATCH($J191,SCORING!$B$6:$B$15,0)),0)+IFERROR(INDEX(SCORING!$C$18:$C$20,MATCH($U191,SCORING!$B$18:$B$20,0)),0)+IFERROR(INDEX(SCORING!$C$23:$C$26,MATCH($X191,SCORING!$B$23:$B$26,0)),0)+IFERROR(INDEX(SCORING!$C$29:$C$32,MATCH($Q191,SCORING!$B$29:$B$32,0)),0)+IFERROR(INDEX(SCORING!$C$35:$C$37,MATCH($L191,SCORING!$B$35:$B$37,0)),0)+IF($AP191="",0,IF(AND($AQ191="Valid",$AO191="Decision maker"),SCORING!$C$40,IF($AQ191="Valid",SCORING!$C$41,SCORING!$C$42))))</f>
        <v/>
      </c>
      <c r="BD191" s="36" t="str">
        <f aca="false">IF($BC191="","",IF($BC191&gt;=SCORING!$C$46,"A",IF($BC191&gt;=SCORING!$C$47,"B",IF($BC191&gt;=SCORING!$C$48,"C","D"))))</f>
        <v/>
      </c>
      <c r="BE191" s="37"/>
    </row>
    <row r="192" customFormat="false" ht="15" hidden="false" customHeight="false" outlineLevel="0" collapsed="false">
      <c r="A192" s="37"/>
      <c r="B192" s="38"/>
      <c r="C192" s="37"/>
      <c r="D192" s="37"/>
      <c r="E192" s="17"/>
      <c r="F192" s="17"/>
      <c r="G192" s="37"/>
      <c r="H192" s="32" t="str">
        <f aca="false">IF($G192="","",IFERROR(INDEX(LISTS!$P$3:$P$145,MATCH($G192,LISTS!$O$3:$O$145,0)),"Other"))</f>
        <v/>
      </c>
      <c r="I192" s="37"/>
      <c r="J192" s="17"/>
      <c r="K192" s="17"/>
      <c r="L192" s="37"/>
      <c r="M192" s="37"/>
      <c r="N192" s="39"/>
      <c r="O192" s="37"/>
      <c r="P192" s="39"/>
      <c r="Q192" s="37"/>
      <c r="R192" s="39"/>
      <c r="S192" s="17"/>
      <c r="T192" s="17"/>
      <c r="U192" s="37"/>
      <c r="V192" s="37"/>
      <c r="W192" s="17"/>
      <c r="X192" s="37"/>
      <c r="Y192" s="17"/>
      <c r="Z192" s="39"/>
      <c r="AA192" s="39"/>
      <c r="AB192" s="37"/>
      <c r="AC192" s="37"/>
      <c r="AD192" s="38"/>
      <c r="AE192" s="37"/>
      <c r="AF192" s="37"/>
      <c r="AG192" s="37"/>
      <c r="AH192" s="37"/>
      <c r="AI192" s="17"/>
      <c r="AJ192" s="37"/>
      <c r="AK192" s="17"/>
      <c r="AL192" s="39"/>
      <c r="AM192" s="17"/>
      <c r="AN192" s="17"/>
      <c r="AO192" s="37"/>
      <c r="AP192" s="17"/>
      <c r="AQ192" s="37"/>
      <c r="AR192" s="37"/>
      <c r="AS192" s="37"/>
      <c r="AT192" s="17"/>
      <c r="AU192" s="37"/>
      <c r="AV192" s="37"/>
      <c r="AW192" s="38"/>
      <c r="AX192" s="37"/>
      <c r="AY192" s="38"/>
      <c r="AZ192" s="34" t="str">
        <f aca="false">IF($E192="","",COUNTA($E192,$F192,$G192,$J192,$L192,$Q192,$U192,$X192,$AM192,$AN192,$AP192,$AR192)/12)</f>
        <v/>
      </c>
      <c r="BA192" s="32" t="str">
        <f aca="false">IF($E192="","",IF(COUNTIF($E$3:$E$402,$E192)&gt;1,"DUPLICATE",""))</f>
        <v/>
      </c>
      <c r="BB192" s="17"/>
      <c r="BC192" s="35" t="str">
        <f aca="false">IF($E192="","",IFERROR(INDEX(SCORING!$C$6:$C$15,MATCH($J192,SCORING!$B$6:$B$15,0)),0)+IFERROR(INDEX(SCORING!$C$18:$C$20,MATCH($U192,SCORING!$B$18:$B$20,0)),0)+IFERROR(INDEX(SCORING!$C$23:$C$26,MATCH($X192,SCORING!$B$23:$B$26,0)),0)+IFERROR(INDEX(SCORING!$C$29:$C$32,MATCH($Q192,SCORING!$B$29:$B$32,0)),0)+IFERROR(INDEX(SCORING!$C$35:$C$37,MATCH($L192,SCORING!$B$35:$B$37,0)),0)+IF($AP192="",0,IF(AND($AQ192="Valid",$AO192="Decision maker"),SCORING!$C$40,IF($AQ192="Valid",SCORING!$C$41,SCORING!$C$42))))</f>
        <v/>
      </c>
      <c r="BD192" s="36" t="str">
        <f aca="false">IF($BC192="","",IF($BC192&gt;=SCORING!$C$46,"A",IF($BC192&gt;=SCORING!$C$47,"B",IF($BC192&gt;=SCORING!$C$48,"C","D"))))</f>
        <v/>
      </c>
      <c r="BE192" s="37"/>
    </row>
    <row r="193" customFormat="false" ht="15" hidden="false" customHeight="false" outlineLevel="0" collapsed="false">
      <c r="A193" s="37"/>
      <c r="B193" s="38"/>
      <c r="C193" s="37"/>
      <c r="D193" s="37"/>
      <c r="E193" s="17"/>
      <c r="F193" s="17"/>
      <c r="G193" s="37"/>
      <c r="H193" s="32" t="str">
        <f aca="false">IF($G193="","",IFERROR(INDEX(LISTS!$P$3:$P$145,MATCH($G193,LISTS!$O$3:$O$145,0)),"Other"))</f>
        <v/>
      </c>
      <c r="I193" s="37"/>
      <c r="J193" s="17"/>
      <c r="K193" s="17"/>
      <c r="L193" s="37"/>
      <c r="M193" s="37"/>
      <c r="N193" s="39"/>
      <c r="O193" s="37"/>
      <c r="P193" s="39"/>
      <c r="Q193" s="37"/>
      <c r="R193" s="39"/>
      <c r="S193" s="17"/>
      <c r="T193" s="17"/>
      <c r="U193" s="37"/>
      <c r="V193" s="37"/>
      <c r="W193" s="17"/>
      <c r="X193" s="37"/>
      <c r="Y193" s="17"/>
      <c r="Z193" s="39"/>
      <c r="AA193" s="39"/>
      <c r="AB193" s="37"/>
      <c r="AC193" s="37"/>
      <c r="AD193" s="38"/>
      <c r="AE193" s="37"/>
      <c r="AF193" s="37"/>
      <c r="AG193" s="37"/>
      <c r="AH193" s="37"/>
      <c r="AI193" s="17"/>
      <c r="AJ193" s="37"/>
      <c r="AK193" s="17"/>
      <c r="AL193" s="39"/>
      <c r="AM193" s="17"/>
      <c r="AN193" s="17"/>
      <c r="AO193" s="37"/>
      <c r="AP193" s="17"/>
      <c r="AQ193" s="37"/>
      <c r="AR193" s="37"/>
      <c r="AS193" s="37"/>
      <c r="AT193" s="17"/>
      <c r="AU193" s="37"/>
      <c r="AV193" s="37"/>
      <c r="AW193" s="38"/>
      <c r="AX193" s="37"/>
      <c r="AY193" s="38"/>
      <c r="AZ193" s="34" t="str">
        <f aca="false">IF($E193="","",COUNTA($E193,$F193,$G193,$J193,$L193,$Q193,$U193,$X193,$AM193,$AN193,$AP193,$AR193)/12)</f>
        <v/>
      </c>
      <c r="BA193" s="32" t="str">
        <f aca="false">IF($E193="","",IF(COUNTIF($E$3:$E$402,$E193)&gt;1,"DUPLICATE",""))</f>
        <v/>
      </c>
      <c r="BB193" s="17"/>
      <c r="BC193" s="35" t="str">
        <f aca="false">IF($E193="","",IFERROR(INDEX(SCORING!$C$6:$C$15,MATCH($J193,SCORING!$B$6:$B$15,0)),0)+IFERROR(INDEX(SCORING!$C$18:$C$20,MATCH($U193,SCORING!$B$18:$B$20,0)),0)+IFERROR(INDEX(SCORING!$C$23:$C$26,MATCH($X193,SCORING!$B$23:$B$26,0)),0)+IFERROR(INDEX(SCORING!$C$29:$C$32,MATCH($Q193,SCORING!$B$29:$B$32,0)),0)+IFERROR(INDEX(SCORING!$C$35:$C$37,MATCH($L193,SCORING!$B$35:$B$37,0)),0)+IF($AP193="",0,IF(AND($AQ193="Valid",$AO193="Decision maker"),SCORING!$C$40,IF($AQ193="Valid",SCORING!$C$41,SCORING!$C$42))))</f>
        <v/>
      </c>
      <c r="BD193" s="36" t="str">
        <f aca="false">IF($BC193="","",IF($BC193&gt;=SCORING!$C$46,"A",IF($BC193&gt;=SCORING!$C$47,"B",IF($BC193&gt;=SCORING!$C$48,"C","D"))))</f>
        <v/>
      </c>
      <c r="BE193" s="37"/>
    </row>
    <row r="194" customFormat="false" ht="15" hidden="false" customHeight="false" outlineLevel="0" collapsed="false">
      <c r="A194" s="37"/>
      <c r="B194" s="38"/>
      <c r="C194" s="37"/>
      <c r="D194" s="37"/>
      <c r="E194" s="17"/>
      <c r="F194" s="17"/>
      <c r="G194" s="37"/>
      <c r="H194" s="32" t="str">
        <f aca="false">IF($G194="","",IFERROR(INDEX(LISTS!$P$3:$P$145,MATCH($G194,LISTS!$O$3:$O$145,0)),"Other"))</f>
        <v/>
      </c>
      <c r="I194" s="37"/>
      <c r="J194" s="17"/>
      <c r="K194" s="17"/>
      <c r="L194" s="37"/>
      <c r="M194" s="37"/>
      <c r="N194" s="39"/>
      <c r="O194" s="37"/>
      <c r="P194" s="39"/>
      <c r="Q194" s="37"/>
      <c r="R194" s="39"/>
      <c r="S194" s="17"/>
      <c r="T194" s="17"/>
      <c r="U194" s="37"/>
      <c r="V194" s="37"/>
      <c r="W194" s="17"/>
      <c r="X194" s="37"/>
      <c r="Y194" s="17"/>
      <c r="Z194" s="39"/>
      <c r="AA194" s="39"/>
      <c r="AB194" s="37"/>
      <c r="AC194" s="37"/>
      <c r="AD194" s="38"/>
      <c r="AE194" s="37"/>
      <c r="AF194" s="37"/>
      <c r="AG194" s="37"/>
      <c r="AH194" s="37"/>
      <c r="AI194" s="17"/>
      <c r="AJ194" s="37"/>
      <c r="AK194" s="17"/>
      <c r="AL194" s="39"/>
      <c r="AM194" s="17"/>
      <c r="AN194" s="17"/>
      <c r="AO194" s="37"/>
      <c r="AP194" s="17"/>
      <c r="AQ194" s="37"/>
      <c r="AR194" s="37"/>
      <c r="AS194" s="37"/>
      <c r="AT194" s="17"/>
      <c r="AU194" s="37"/>
      <c r="AV194" s="37"/>
      <c r="AW194" s="38"/>
      <c r="AX194" s="37"/>
      <c r="AY194" s="38"/>
      <c r="AZ194" s="34" t="str">
        <f aca="false">IF($E194="","",COUNTA($E194,$F194,$G194,$J194,$L194,$Q194,$U194,$X194,$AM194,$AN194,$AP194,$AR194)/12)</f>
        <v/>
      </c>
      <c r="BA194" s="32" t="str">
        <f aca="false">IF($E194="","",IF(COUNTIF($E$3:$E$402,$E194)&gt;1,"DUPLICATE",""))</f>
        <v/>
      </c>
      <c r="BB194" s="17"/>
      <c r="BC194" s="35" t="str">
        <f aca="false">IF($E194="","",IFERROR(INDEX(SCORING!$C$6:$C$15,MATCH($J194,SCORING!$B$6:$B$15,0)),0)+IFERROR(INDEX(SCORING!$C$18:$C$20,MATCH($U194,SCORING!$B$18:$B$20,0)),0)+IFERROR(INDEX(SCORING!$C$23:$C$26,MATCH($X194,SCORING!$B$23:$B$26,0)),0)+IFERROR(INDEX(SCORING!$C$29:$C$32,MATCH($Q194,SCORING!$B$29:$B$32,0)),0)+IFERROR(INDEX(SCORING!$C$35:$C$37,MATCH($L194,SCORING!$B$35:$B$37,0)),0)+IF($AP194="",0,IF(AND($AQ194="Valid",$AO194="Decision maker"),SCORING!$C$40,IF($AQ194="Valid",SCORING!$C$41,SCORING!$C$42))))</f>
        <v/>
      </c>
      <c r="BD194" s="36" t="str">
        <f aca="false">IF($BC194="","",IF($BC194&gt;=SCORING!$C$46,"A",IF($BC194&gt;=SCORING!$C$47,"B",IF($BC194&gt;=SCORING!$C$48,"C","D"))))</f>
        <v/>
      </c>
      <c r="BE194" s="37"/>
    </row>
    <row r="195" customFormat="false" ht="15" hidden="false" customHeight="false" outlineLevel="0" collapsed="false">
      <c r="A195" s="37"/>
      <c r="B195" s="38"/>
      <c r="C195" s="37"/>
      <c r="D195" s="37"/>
      <c r="E195" s="17"/>
      <c r="F195" s="17"/>
      <c r="G195" s="37"/>
      <c r="H195" s="32" t="str">
        <f aca="false">IF($G195="","",IFERROR(INDEX(LISTS!$P$3:$P$145,MATCH($G195,LISTS!$O$3:$O$145,0)),"Other"))</f>
        <v/>
      </c>
      <c r="I195" s="37"/>
      <c r="J195" s="17"/>
      <c r="K195" s="17"/>
      <c r="L195" s="37"/>
      <c r="M195" s="37"/>
      <c r="N195" s="39"/>
      <c r="O195" s="37"/>
      <c r="P195" s="39"/>
      <c r="Q195" s="37"/>
      <c r="R195" s="39"/>
      <c r="S195" s="17"/>
      <c r="T195" s="17"/>
      <c r="U195" s="37"/>
      <c r="V195" s="37"/>
      <c r="W195" s="17"/>
      <c r="X195" s="37"/>
      <c r="Y195" s="17"/>
      <c r="Z195" s="39"/>
      <c r="AA195" s="39"/>
      <c r="AB195" s="37"/>
      <c r="AC195" s="37"/>
      <c r="AD195" s="38"/>
      <c r="AE195" s="37"/>
      <c r="AF195" s="37"/>
      <c r="AG195" s="37"/>
      <c r="AH195" s="37"/>
      <c r="AI195" s="17"/>
      <c r="AJ195" s="37"/>
      <c r="AK195" s="17"/>
      <c r="AL195" s="39"/>
      <c r="AM195" s="17"/>
      <c r="AN195" s="17"/>
      <c r="AO195" s="37"/>
      <c r="AP195" s="17"/>
      <c r="AQ195" s="37"/>
      <c r="AR195" s="37"/>
      <c r="AS195" s="37"/>
      <c r="AT195" s="17"/>
      <c r="AU195" s="37"/>
      <c r="AV195" s="37"/>
      <c r="AW195" s="38"/>
      <c r="AX195" s="37"/>
      <c r="AY195" s="38"/>
      <c r="AZ195" s="34" t="str">
        <f aca="false">IF($E195="","",COUNTA($E195,$F195,$G195,$J195,$L195,$Q195,$U195,$X195,$AM195,$AN195,$AP195,$AR195)/12)</f>
        <v/>
      </c>
      <c r="BA195" s="32" t="str">
        <f aca="false">IF($E195="","",IF(COUNTIF($E$3:$E$402,$E195)&gt;1,"DUPLICATE",""))</f>
        <v/>
      </c>
      <c r="BB195" s="17"/>
      <c r="BC195" s="35" t="str">
        <f aca="false">IF($E195="","",IFERROR(INDEX(SCORING!$C$6:$C$15,MATCH($J195,SCORING!$B$6:$B$15,0)),0)+IFERROR(INDEX(SCORING!$C$18:$C$20,MATCH($U195,SCORING!$B$18:$B$20,0)),0)+IFERROR(INDEX(SCORING!$C$23:$C$26,MATCH($X195,SCORING!$B$23:$B$26,0)),0)+IFERROR(INDEX(SCORING!$C$29:$C$32,MATCH($Q195,SCORING!$B$29:$B$32,0)),0)+IFERROR(INDEX(SCORING!$C$35:$C$37,MATCH($L195,SCORING!$B$35:$B$37,0)),0)+IF($AP195="",0,IF(AND($AQ195="Valid",$AO195="Decision maker"),SCORING!$C$40,IF($AQ195="Valid",SCORING!$C$41,SCORING!$C$42))))</f>
        <v/>
      </c>
      <c r="BD195" s="36" t="str">
        <f aca="false">IF($BC195="","",IF($BC195&gt;=SCORING!$C$46,"A",IF($BC195&gt;=SCORING!$C$47,"B",IF($BC195&gt;=SCORING!$C$48,"C","D"))))</f>
        <v/>
      </c>
      <c r="BE195" s="37"/>
    </row>
    <row r="196" customFormat="false" ht="15" hidden="false" customHeight="false" outlineLevel="0" collapsed="false">
      <c r="A196" s="37"/>
      <c r="B196" s="38"/>
      <c r="C196" s="37"/>
      <c r="D196" s="37"/>
      <c r="E196" s="17"/>
      <c r="F196" s="17"/>
      <c r="G196" s="37"/>
      <c r="H196" s="32" t="str">
        <f aca="false">IF($G196="","",IFERROR(INDEX(LISTS!$P$3:$P$145,MATCH($G196,LISTS!$O$3:$O$145,0)),"Other"))</f>
        <v/>
      </c>
      <c r="I196" s="37"/>
      <c r="J196" s="17"/>
      <c r="K196" s="17"/>
      <c r="L196" s="37"/>
      <c r="M196" s="37"/>
      <c r="N196" s="39"/>
      <c r="O196" s="37"/>
      <c r="P196" s="39"/>
      <c r="Q196" s="37"/>
      <c r="R196" s="39"/>
      <c r="S196" s="17"/>
      <c r="T196" s="17"/>
      <c r="U196" s="37"/>
      <c r="V196" s="37"/>
      <c r="W196" s="17"/>
      <c r="X196" s="37"/>
      <c r="Y196" s="17"/>
      <c r="Z196" s="39"/>
      <c r="AA196" s="39"/>
      <c r="AB196" s="37"/>
      <c r="AC196" s="37"/>
      <c r="AD196" s="38"/>
      <c r="AE196" s="37"/>
      <c r="AF196" s="37"/>
      <c r="AG196" s="37"/>
      <c r="AH196" s="37"/>
      <c r="AI196" s="17"/>
      <c r="AJ196" s="37"/>
      <c r="AK196" s="17"/>
      <c r="AL196" s="39"/>
      <c r="AM196" s="17"/>
      <c r="AN196" s="17"/>
      <c r="AO196" s="37"/>
      <c r="AP196" s="17"/>
      <c r="AQ196" s="37"/>
      <c r="AR196" s="37"/>
      <c r="AS196" s="37"/>
      <c r="AT196" s="17"/>
      <c r="AU196" s="37"/>
      <c r="AV196" s="37"/>
      <c r="AW196" s="38"/>
      <c r="AX196" s="37"/>
      <c r="AY196" s="38"/>
      <c r="AZ196" s="34" t="str">
        <f aca="false">IF($E196="","",COUNTA($E196,$F196,$G196,$J196,$L196,$Q196,$U196,$X196,$AM196,$AN196,$AP196,$AR196)/12)</f>
        <v/>
      </c>
      <c r="BA196" s="32" t="str">
        <f aca="false">IF($E196="","",IF(COUNTIF($E$3:$E$402,$E196)&gt;1,"DUPLICATE",""))</f>
        <v/>
      </c>
      <c r="BB196" s="17"/>
      <c r="BC196" s="35" t="str">
        <f aca="false">IF($E196="","",IFERROR(INDEX(SCORING!$C$6:$C$15,MATCH($J196,SCORING!$B$6:$B$15,0)),0)+IFERROR(INDEX(SCORING!$C$18:$C$20,MATCH($U196,SCORING!$B$18:$B$20,0)),0)+IFERROR(INDEX(SCORING!$C$23:$C$26,MATCH($X196,SCORING!$B$23:$B$26,0)),0)+IFERROR(INDEX(SCORING!$C$29:$C$32,MATCH($Q196,SCORING!$B$29:$B$32,0)),0)+IFERROR(INDEX(SCORING!$C$35:$C$37,MATCH($L196,SCORING!$B$35:$B$37,0)),0)+IF($AP196="",0,IF(AND($AQ196="Valid",$AO196="Decision maker"),SCORING!$C$40,IF($AQ196="Valid",SCORING!$C$41,SCORING!$C$42))))</f>
        <v/>
      </c>
      <c r="BD196" s="36" t="str">
        <f aca="false">IF($BC196="","",IF($BC196&gt;=SCORING!$C$46,"A",IF($BC196&gt;=SCORING!$C$47,"B",IF($BC196&gt;=SCORING!$C$48,"C","D"))))</f>
        <v/>
      </c>
      <c r="BE196" s="37"/>
    </row>
    <row r="197" customFormat="false" ht="15" hidden="false" customHeight="false" outlineLevel="0" collapsed="false">
      <c r="A197" s="37"/>
      <c r="B197" s="38"/>
      <c r="C197" s="37"/>
      <c r="D197" s="37"/>
      <c r="E197" s="17"/>
      <c r="F197" s="17"/>
      <c r="G197" s="37"/>
      <c r="H197" s="32" t="str">
        <f aca="false">IF($G197="","",IFERROR(INDEX(LISTS!$P$3:$P$145,MATCH($G197,LISTS!$O$3:$O$145,0)),"Other"))</f>
        <v/>
      </c>
      <c r="I197" s="37"/>
      <c r="J197" s="17"/>
      <c r="K197" s="17"/>
      <c r="L197" s="37"/>
      <c r="M197" s="37"/>
      <c r="N197" s="39"/>
      <c r="O197" s="37"/>
      <c r="P197" s="39"/>
      <c r="Q197" s="37"/>
      <c r="R197" s="39"/>
      <c r="S197" s="17"/>
      <c r="T197" s="17"/>
      <c r="U197" s="37"/>
      <c r="V197" s="37"/>
      <c r="W197" s="17"/>
      <c r="X197" s="37"/>
      <c r="Y197" s="17"/>
      <c r="Z197" s="39"/>
      <c r="AA197" s="39"/>
      <c r="AB197" s="37"/>
      <c r="AC197" s="37"/>
      <c r="AD197" s="38"/>
      <c r="AE197" s="37"/>
      <c r="AF197" s="37"/>
      <c r="AG197" s="37"/>
      <c r="AH197" s="37"/>
      <c r="AI197" s="17"/>
      <c r="AJ197" s="37"/>
      <c r="AK197" s="17"/>
      <c r="AL197" s="39"/>
      <c r="AM197" s="17"/>
      <c r="AN197" s="17"/>
      <c r="AO197" s="37"/>
      <c r="AP197" s="17"/>
      <c r="AQ197" s="37"/>
      <c r="AR197" s="37"/>
      <c r="AS197" s="37"/>
      <c r="AT197" s="17"/>
      <c r="AU197" s="37"/>
      <c r="AV197" s="37"/>
      <c r="AW197" s="38"/>
      <c r="AX197" s="37"/>
      <c r="AY197" s="38"/>
      <c r="AZ197" s="34" t="str">
        <f aca="false">IF($E197="","",COUNTA($E197,$F197,$G197,$J197,$L197,$Q197,$U197,$X197,$AM197,$AN197,$AP197,$AR197)/12)</f>
        <v/>
      </c>
      <c r="BA197" s="32" t="str">
        <f aca="false">IF($E197="","",IF(COUNTIF($E$3:$E$402,$E197)&gt;1,"DUPLICATE",""))</f>
        <v/>
      </c>
      <c r="BB197" s="17"/>
      <c r="BC197" s="35" t="str">
        <f aca="false">IF($E197="","",IFERROR(INDEX(SCORING!$C$6:$C$15,MATCH($J197,SCORING!$B$6:$B$15,0)),0)+IFERROR(INDEX(SCORING!$C$18:$C$20,MATCH($U197,SCORING!$B$18:$B$20,0)),0)+IFERROR(INDEX(SCORING!$C$23:$C$26,MATCH($X197,SCORING!$B$23:$B$26,0)),0)+IFERROR(INDEX(SCORING!$C$29:$C$32,MATCH($Q197,SCORING!$B$29:$B$32,0)),0)+IFERROR(INDEX(SCORING!$C$35:$C$37,MATCH($L197,SCORING!$B$35:$B$37,0)),0)+IF($AP197="",0,IF(AND($AQ197="Valid",$AO197="Decision maker"),SCORING!$C$40,IF($AQ197="Valid",SCORING!$C$41,SCORING!$C$42))))</f>
        <v/>
      </c>
      <c r="BD197" s="36" t="str">
        <f aca="false">IF($BC197="","",IF($BC197&gt;=SCORING!$C$46,"A",IF($BC197&gt;=SCORING!$C$47,"B",IF($BC197&gt;=SCORING!$C$48,"C","D"))))</f>
        <v/>
      </c>
      <c r="BE197" s="37"/>
    </row>
    <row r="198" customFormat="false" ht="15" hidden="false" customHeight="false" outlineLevel="0" collapsed="false">
      <c r="A198" s="37"/>
      <c r="B198" s="38"/>
      <c r="C198" s="37"/>
      <c r="D198" s="37"/>
      <c r="E198" s="17"/>
      <c r="F198" s="17"/>
      <c r="G198" s="37"/>
      <c r="H198" s="32" t="str">
        <f aca="false">IF($G198="","",IFERROR(INDEX(LISTS!$P$3:$P$145,MATCH($G198,LISTS!$O$3:$O$145,0)),"Other"))</f>
        <v/>
      </c>
      <c r="I198" s="37"/>
      <c r="J198" s="17"/>
      <c r="K198" s="17"/>
      <c r="L198" s="37"/>
      <c r="M198" s="37"/>
      <c r="N198" s="39"/>
      <c r="O198" s="37"/>
      <c r="P198" s="39"/>
      <c r="Q198" s="37"/>
      <c r="R198" s="39"/>
      <c r="S198" s="17"/>
      <c r="T198" s="17"/>
      <c r="U198" s="37"/>
      <c r="V198" s="37"/>
      <c r="W198" s="17"/>
      <c r="X198" s="37"/>
      <c r="Y198" s="17"/>
      <c r="Z198" s="39"/>
      <c r="AA198" s="39"/>
      <c r="AB198" s="37"/>
      <c r="AC198" s="37"/>
      <c r="AD198" s="38"/>
      <c r="AE198" s="37"/>
      <c r="AF198" s="37"/>
      <c r="AG198" s="37"/>
      <c r="AH198" s="37"/>
      <c r="AI198" s="17"/>
      <c r="AJ198" s="37"/>
      <c r="AK198" s="17"/>
      <c r="AL198" s="39"/>
      <c r="AM198" s="17"/>
      <c r="AN198" s="17"/>
      <c r="AO198" s="37"/>
      <c r="AP198" s="17"/>
      <c r="AQ198" s="37"/>
      <c r="AR198" s="37"/>
      <c r="AS198" s="37"/>
      <c r="AT198" s="17"/>
      <c r="AU198" s="37"/>
      <c r="AV198" s="37"/>
      <c r="AW198" s="38"/>
      <c r="AX198" s="37"/>
      <c r="AY198" s="38"/>
      <c r="AZ198" s="34" t="str">
        <f aca="false">IF($E198="","",COUNTA($E198,$F198,$G198,$J198,$L198,$Q198,$U198,$X198,$AM198,$AN198,$AP198,$AR198)/12)</f>
        <v/>
      </c>
      <c r="BA198" s="32" t="str">
        <f aca="false">IF($E198="","",IF(COUNTIF($E$3:$E$402,$E198)&gt;1,"DUPLICATE",""))</f>
        <v/>
      </c>
      <c r="BB198" s="17"/>
      <c r="BC198" s="35" t="str">
        <f aca="false">IF($E198="","",IFERROR(INDEX(SCORING!$C$6:$C$15,MATCH($J198,SCORING!$B$6:$B$15,0)),0)+IFERROR(INDEX(SCORING!$C$18:$C$20,MATCH($U198,SCORING!$B$18:$B$20,0)),0)+IFERROR(INDEX(SCORING!$C$23:$C$26,MATCH($X198,SCORING!$B$23:$B$26,0)),0)+IFERROR(INDEX(SCORING!$C$29:$C$32,MATCH($Q198,SCORING!$B$29:$B$32,0)),0)+IFERROR(INDEX(SCORING!$C$35:$C$37,MATCH($L198,SCORING!$B$35:$B$37,0)),0)+IF($AP198="",0,IF(AND($AQ198="Valid",$AO198="Decision maker"),SCORING!$C$40,IF($AQ198="Valid",SCORING!$C$41,SCORING!$C$42))))</f>
        <v/>
      </c>
      <c r="BD198" s="36" t="str">
        <f aca="false">IF($BC198="","",IF($BC198&gt;=SCORING!$C$46,"A",IF($BC198&gt;=SCORING!$C$47,"B",IF($BC198&gt;=SCORING!$C$48,"C","D"))))</f>
        <v/>
      </c>
      <c r="BE198" s="37"/>
    </row>
    <row r="199" customFormat="false" ht="15" hidden="false" customHeight="false" outlineLevel="0" collapsed="false">
      <c r="A199" s="37"/>
      <c r="B199" s="38"/>
      <c r="C199" s="37"/>
      <c r="D199" s="37"/>
      <c r="E199" s="17"/>
      <c r="F199" s="17"/>
      <c r="G199" s="37"/>
      <c r="H199" s="32" t="str">
        <f aca="false">IF($G199="","",IFERROR(INDEX(LISTS!$P$3:$P$145,MATCH($G199,LISTS!$O$3:$O$145,0)),"Other"))</f>
        <v/>
      </c>
      <c r="I199" s="37"/>
      <c r="J199" s="17"/>
      <c r="K199" s="17"/>
      <c r="L199" s="37"/>
      <c r="M199" s="37"/>
      <c r="N199" s="39"/>
      <c r="O199" s="37"/>
      <c r="P199" s="39"/>
      <c r="Q199" s="37"/>
      <c r="R199" s="39"/>
      <c r="S199" s="17"/>
      <c r="T199" s="17"/>
      <c r="U199" s="37"/>
      <c r="V199" s="37"/>
      <c r="W199" s="17"/>
      <c r="X199" s="37"/>
      <c r="Y199" s="17"/>
      <c r="Z199" s="39"/>
      <c r="AA199" s="39"/>
      <c r="AB199" s="37"/>
      <c r="AC199" s="37"/>
      <c r="AD199" s="38"/>
      <c r="AE199" s="37"/>
      <c r="AF199" s="37"/>
      <c r="AG199" s="37"/>
      <c r="AH199" s="37"/>
      <c r="AI199" s="17"/>
      <c r="AJ199" s="37"/>
      <c r="AK199" s="17"/>
      <c r="AL199" s="39"/>
      <c r="AM199" s="17"/>
      <c r="AN199" s="17"/>
      <c r="AO199" s="37"/>
      <c r="AP199" s="17"/>
      <c r="AQ199" s="37"/>
      <c r="AR199" s="37"/>
      <c r="AS199" s="37"/>
      <c r="AT199" s="17"/>
      <c r="AU199" s="37"/>
      <c r="AV199" s="37"/>
      <c r="AW199" s="38"/>
      <c r="AX199" s="37"/>
      <c r="AY199" s="38"/>
      <c r="AZ199" s="34" t="str">
        <f aca="false">IF($E199="","",COUNTA($E199,$F199,$G199,$J199,$L199,$Q199,$U199,$X199,$AM199,$AN199,$AP199,$AR199)/12)</f>
        <v/>
      </c>
      <c r="BA199" s="32" t="str">
        <f aca="false">IF($E199="","",IF(COUNTIF($E$3:$E$402,$E199)&gt;1,"DUPLICATE",""))</f>
        <v/>
      </c>
      <c r="BB199" s="17"/>
      <c r="BC199" s="35" t="str">
        <f aca="false">IF($E199="","",IFERROR(INDEX(SCORING!$C$6:$C$15,MATCH($J199,SCORING!$B$6:$B$15,0)),0)+IFERROR(INDEX(SCORING!$C$18:$C$20,MATCH($U199,SCORING!$B$18:$B$20,0)),0)+IFERROR(INDEX(SCORING!$C$23:$C$26,MATCH($X199,SCORING!$B$23:$B$26,0)),0)+IFERROR(INDEX(SCORING!$C$29:$C$32,MATCH($Q199,SCORING!$B$29:$B$32,0)),0)+IFERROR(INDEX(SCORING!$C$35:$C$37,MATCH($L199,SCORING!$B$35:$B$37,0)),0)+IF($AP199="",0,IF(AND($AQ199="Valid",$AO199="Decision maker"),SCORING!$C$40,IF($AQ199="Valid",SCORING!$C$41,SCORING!$C$42))))</f>
        <v/>
      </c>
      <c r="BD199" s="36" t="str">
        <f aca="false">IF($BC199="","",IF($BC199&gt;=SCORING!$C$46,"A",IF($BC199&gt;=SCORING!$C$47,"B",IF($BC199&gt;=SCORING!$C$48,"C","D"))))</f>
        <v/>
      </c>
      <c r="BE199" s="37"/>
    </row>
    <row r="200" customFormat="false" ht="15" hidden="false" customHeight="false" outlineLevel="0" collapsed="false">
      <c r="A200" s="37"/>
      <c r="B200" s="38"/>
      <c r="C200" s="37"/>
      <c r="D200" s="37"/>
      <c r="E200" s="17"/>
      <c r="F200" s="17"/>
      <c r="G200" s="37"/>
      <c r="H200" s="32" t="str">
        <f aca="false">IF($G200="","",IFERROR(INDEX(LISTS!$P$3:$P$145,MATCH($G200,LISTS!$O$3:$O$145,0)),"Other"))</f>
        <v/>
      </c>
      <c r="I200" s="37"/>
      <c r="J200" s="17"/>
      <c r="K200" s="17"/>
      <c r="L200" s="37"/>
      <c r="M200" s="37"/>
      <c r="N200" s="39"/>
      <c r="O200" s="37"/>
      <c r="P200" s="39"/>
      <c r="Q200" s="37"/>
      <c r="R200" s="39"/>
      <c r="S200" s="17"/>
      <c r="T200" s="17"/>
      <c r="U200" s="37"/>
      <c r="V200" s="37"/>
      <c r="W200" s="17"/>
      <c r="X200" s="37"/>
      <c r="Y200" s="17"/>
      <c r="Z200" s="39"/>
      <c r="AA200" s="39"/>
      <c r="AB200" s="37"/>
      <c r="AC200" s="37"/>
      <c r="AD200" s="38"/>
      <c r="AE200" s="37"/>
      <c r="AF200" s="37"/>
      <c r="AG200" s="37"/>
      <c r="AH200" s="37"/>
      <c r="AI200" s="17"/>
      <c r="AJ200" s="37"/>
      <c r="AK200" s="17"/>
      <c r="AL200" s="39"/>
      <c r="AM200" s="17"/>
      <c r="AN200" s="17"/>
      <c r="AO200" s="37"/>
      <c r="AP200" s="17"/>
      <c r="AQ200" s="37"/>
      <c r="AR200" s="37"/>
      <c r="AS200" s="37"/>
      <c r="AT200" s="17"/>
      <c r="AU200" s="37"/>
      <c r="AV200" s="37"/>
      <c r="AW200" s="38"/>
      <c r="AX200" s="37"/>
      <c r="AY200" s="38"/>
      <c r="AZ200" s="34" t="str">
        <f aca="false">IF($E200="","",COUNTA($E200,$F200,$G200,$J200,$L200,$Q200,$U200,$X200,$AM200,$AN200,$AP200,$AR200)/12)</f>
        <v/>
      </c>
      <c r="BA200" s="32" t="str">
        <f aca="false">IF($E200="","",IF(COUNTIF($E$3:$E$402,$E200)&gt;1,"DUPLICATE",""))</f>
        <v/>
      </c>
      <c r="BB200" s="17"/>
      <c r="BC200" s="35" t="str">
        <f aca="false">IF($E200="","",IFERROR(INDEX(SCORING!$C$6:$C$15,MATCH($J200,SCORING!$B$6:$B$15,0)),0)+IFERROR(INDEX(SCORING!$C$18:$C$20,MATCH($U200,SCORING!$B$18:$B$20,0)),0)+IFERROR(INDEX(SCORING!$C$23:$C$26,MATCH($X200,SCORING!$B$23:$B$26,0)),0)+IFERROR(INDEX(SCORING!$C$29:$C$32,MATCH($Q200,SCORING!$B$29:$B$32,0)),0)+IFERROR(INDEX(SCORING!$C$35:$C$37,MATCH($L200,SCORING!$B$35:$B$37,0)),0)+IF($AP200="",0,IF(AND($AQ200="Valid",$AO200="Decision maker"),SCORING!$C$40,IF($AQ200="Valid",SCORING!$C$41,SCORING!$C$42))))</f>
        <v/>
      </c>
      <c r="BD200" s="36" t="str">
        <f aca="false">IF($BC200="","",IF($BC200&gt;=SCORING!$C$46,"A",IF($BC200&gt;=SCORING!$C$47,"B",IF($BC200&gt;=SCORING!$C$48,"C","D"))))</f>
        <v/>
      </c>
      <c r="BE200" s="37"/>
    </row>
    <row r="201" customFormat="false" ht="15" hidden="false" customHeight="false" outlineLevel="0" collapsed="false">
      <c r="A201" s="37"/>
      <c r="B201" s="38"/>
      <c r="C201" s="37"/>
      <c r="D201" s="37"/>
      <c r="E201" s="17"/>
      <c r="F201" s="17"/>
      <c r="G201" s="37"/>
      <c r="H201" s="32" t="str">
        <f aca="false">IF($G201="","",IFERROR(INDEX(LISTS!$P$3:$P$145,MATCH($G201,LISTS!$O$3:$O$145,0)),"Other"))</f>
        <v/>
      </c>
      <c r="I201" s="37"/>
      <c r="J201" s="17"/>
      <c r="K201" s="17"/>
      <c r="L201" s="37"/>
      <c r="M201" s="37"/>
      <c r="N201" s="39"/>
      <c r="O201" s="37"/>
      <c r="P201" s="39"/>
      <c r="Q201" s="37"/>
      <c r="R201" s="39"/>
      <c r="S201" s="17"/>
      <c r="T201" s="17"/>
      <c r="U201" s="37"/>
      <c r="V201" s="37"/>
      <c r="W201" s="17"/>
      <c r="X201" s="37"/>
      <c r="Y201" s="17"/>
      <c r="Z201" s="39"/>
      <c r="AA201" s="39"/>
      <c r="AB201" s="37"/>
      <c r="AC201" s="37"/>
      <c r="AD201" s="38"/>
      <c r="AE201" s="37"/>
      <c r="AF201" s="37"/>
      <c r="AG201" s="37"/>
      <c r="AH201" s="37"/>
      <c r="AI201" s="17"/>
      <c r="AJ201" s="37"/>
      <c r="AK201" s="17"/>
      <c r="AL201" s="39"/>
      <c r="AM201" s="17"/>
      <c r="AN201" s="17"/>
      <c r="AO201" s="37"/>
      <c r="AP201" s="17"/>
      <c r="AQ201" s="37"/>
      <c r="AR201" s="37"/>
      <c r="AS201" s="37"/>
      <c r="AT201" s="17"/>
      <c r="AU201" s="37"/>
      <c r="AV201" s="37"/>
      <c r="AW201" s="38"/>
      <c r="AX201" s="37"/>
      <c r="AY201" s="38"/>
      <c r="AZ201" s="34" t="str">
        <f aca="false">IF($E201="","",COUNTA($E201,$F201,$G201,$J201,$L201,$Q201,$U201,$X201,$AM201,$AN201,$AP201,$AR201)/12)</f>
        <v/>
      </c>
      <c r="BA201" s="32" t="str">
        <f aca="false">IF($E201="","",IF(COUNTIF($E$3:$E$402,$E201)&gt;1,"DUPLICATE",""))</f>
        <v/>
      </c>
      <c r="BB201" s="17"/>
      <c r="BC201" s="35" t="str">
        <f aca="false">IF($E201="","",IFERROR(INDEX(SCORING!$C$6:$C$15,MATCH($J201,SCORING!$B$6:$B$15,0)),0)+IFERROR(INDEX(SCORING!$C$18:$C$20,MATCH($U201,SCORING!$B$18:$B$20,0)),0)+IFERROR(INDEX(SCORING!$C$23:$C$26,MATCH($X201,SCORING!$B$23:$B$26,0)),0)+IFERROR(INDEX(SCORING!$C$29:$C$32,MATCH($Q201,SCORING!$B$29:$B$32,0)),0)+IFERROR(INDEX(SCORING!$C$35:$C$37,MATCH($L201,SCORING!$B$35:$B$37,0)),0)+IF($AP201="",0,IF(AND($AQ201="Valid",$AO201="Decision maker"),SCORING!$C$40,IF($AQ201="Valid",SCORING!$C$41,SCORING!$C$42))))</f>
        <v/>
      </c>
      <c r="BD201" s="36" t="str">
        <f aca="false">IF($BC201="","",IF($BC201&gt;=SCORING!$C$46,"A",IF($BC201&gt;=SCORING!$C$47,"B",IF($BC201&gt;=SCORING!$C$48,"C","D"))))</f>
        <v/>
      </c>
      <c r="BE201" s="37"/>
    </row>
    <row r="202" customFormat="false" ht="15" hidden="false" customHeight="false" outlineLevel="0" collapsed="false">
      <c r="A202" s="37"/>
      <c r="B202" s="38"/>
      <c r="C202" s="37"/>
      <c r="D202" s="37"/>
      <c r="E202" s="17"/>
      <c r="F202" s="17"/>
      <c r="G202" s="37"/>
      <c r="H202" s="32" t="str">
        <f aca="false">IF($G202="","",IFERROR(INDEX(LISTS!$P$3:$P$145,MATCH($G202,LISTS!$O$3:$O$145,0)),"Other"))</f>
        <v/>
      </c>
      <c r="I202" s="37"/>
      <c r="J202" s="17"/>
      <c r="K202" s="17"/>
      <c r="L202" s="37"/>
      <c r="M202" s="37"/>
      <c r="N202" s="39"/>
      <c r="O202" s="37"/>
      <c r="P202" s="39"/>
      <c r="Q202" s="37"/>
      <c r="R202" s="39"/>
      <c r="S202" s="17"/>
      <c r="T202" s="17"/>
      <c r="U202" s="37"/>
      <c r="V202" s="37"/>
      <c r="W202" s="17"/>
      <c r="X202" s="37"/>
      <c r="Y202" s="17"/>
      <c r="Z202" s="39"/>
      <c r="AA202" s="39"/>
      <c r="AB202" s="37"/>
      <c r="AC202" s="37"/>
      <c r="AD202" s="38"/>
      <c r="AE202" s="37"/>
      <c r="AF202" s="37"/>
      <c r="AG202" s="37"/>
      <c r="AH202" s="37"/>
      <c r="AI202" s="17"/>
      <c r="AJ202" s="37"/>
      <c r="AK202" s="17"/>
      <c r="AL202" s="39"/>
      <c r="AM202" s="17"/>
      <c r="AN202" s="17"/>
      <c r="AO202" s="37"/>
      <c r="AP202" s="17"/>
      <c r="AQ202" s="37"/>
      <c r="AR202" s="37"/>
      <c r="AS202" s="37"/>
      <c r="AT202" s="17"/>
      <c r="AU202" s="37"/>
      <c r="AV202" s="37"/>
      <c r="AW202" s="38"/>
      <c r="AX202" s="37"/>
      <c r="AY202" s="38"/>
      <c r="AZ202" s="34" t="str">
        <f aca="false">IF($E202="","",COUNTA($E202,$F202,$G202,$J202,$L202,$Q202,$U202,$X202,$AM202,$AN202,$AP202,$AR202)/12)</f>
        <v/>
      </c>
      <c r="BA202" s="32" t="str">
        <f aca="false">IF($E202="","",IF(COUNTIF($E$3:$E$402,$E202)&gt;1,"DUPLICATE",""))</f>
        <v/>
      </c>
      <c r="BB202" s="17"/>
      <c r="BC202" s="35" t="str">
        <f aca="false">IF($E202="","",IFERROR(INDEX(SCORING!$C$6:$C$15,MATCH($J202,SCORING!$B$6:$B$15,0)),0)+IFERROR(INDEX(SCORING!$C$18:$C$20,MATCH($U202,SCORING!$B$18:$B$20,0)),0)+IFERROR(INDEX(SCORING!$C$23:$C$26,MATCH($X202,SCORING!$B$23:$B$26,0)),0)+IFERROR(INDEX(SCORING!$C$29:$C$32,MATCH($Q202,SCORING!$B$29:$B$32,0)),0)+IFERROR(INDEX(SCORING!$C$35:$C$37,MATCH($L202,SCORING!$B$35:$B$37,0)),0)+IF($AP202="",0,IF(AND($AQ202="Valid",$AO202="Decision maker"),SCORING!$C$40,IF($AQ202="Valid",SCORING!$C$41,SCORING!$C$42))))</f>
        <v/>
      </c>
      <c r="BD202" s="36" t="str">
        <f aca="false">IF($BC202="","",IF($BC202&gt;=SCORING!$C$46,"A",IF($BC202&gt;=SCORING!$C$47,"B",IF($BC202&gt;=SCORING!$C$48,"C","D"))))</f>
        <v/>
      </c>
      <c r="BE202" s="37"/>
    </row>
    <row r="203" customFormat="false" ht="15" hidden="false" customHeight="false" outlineLevel="0" collapsed="false">
      <c r="A203" s="37"/>
      <c r="B203" s="38"/>
      <c r="C203" s="37"/>
      <c r="D203" s="37"/>
      <c r="E203" s="17"/>
      <c r="F203" s="17"/>
      <c r="G203" s="37"/>
      <c r="H203" s="32" t="str">
        <f aca="false">IF($G203="","",IFERROR(INDEX(LISTS!$P$3:$P$145,MATCH($G203,LISTS!$O$3:$O$145,0)),"Other"))</f>
        <v/>
      </c>
      <c r="I203" s="37"/>
      <c r="J203" s="17"/>
      <c r="K203" s="17"/>
      <c r="L203" s="37"/>
      <c r="M203" s="37"/>
      <c r="N203" s="39"/>
      <c r="O203" s="37"/>
      <c r="P203" s="39"/>
      <c r="Q203" s="37"/>
      <c r="R203" s="39"/>
      <c r="S203" s="17"/>
      <c r="T203" s="17"/>
      <c r="U203" s="37"/>
      <c r="V203" s="37"/>
      <c r="W203" s="17"/>
      <c r="X203" s="37"/>
      <c r="Y203" s="17"/>
      <c r="Z203" s="39"/>
      <c r="AA203" s="39"/>
      <c r="AB203" s="37"/>
      <c r="AC203" s="37"/>
      <c r="AD203" s="38"/>
      <c r="AE203" s="37"/>
      <c r="AF203" s="37"/>
      <c r="AG203" s="37"/>
      <c r="AH203" s="37"/>
      <c r="AI203" s="17"/>
      <c r="AJ203" s="37"/>
      <c r="AK203" s="17"/>
      <c r="AL203" s="39"/>
      <c r="AM203" s="17"/>
      <c r="AN203" s="17"/>
      <c r="AO203" s="37"/>
      <c r="AP203" s="17"/>
      <c r="AQ203" s="37"/>
      <c r="AR203" s="37"/>
      <c r="AS203" s="37"/>
      <c r="AT203" s="17"/>
      <c r="AU203" s="37"/>
      <c r="AV203" s="37"/>
      <c r="AW203" s="38"/>
      <c r="AX203" s="37"/>
      <c r="AY203" s="38"/>
      <c r="AZ203" s="34" t="str">
        <f aca="false">IF($E203="","",COUNTA($E203,$F203,$G203,$J203,$L203,$Q203,$U203,$X203,$AM203,$AN203,$AP203,$AR203)/12)</f>
        <v/>
      </c>
      <c r="BA203" s="32" t="str">
        <f aca="false">IF($E203="","",IF(COUNTIF($E$3:$E$402,$E203)&gt;1,"DUPLICATE",""))</f>
        <v/>
      </c>
      <c r="BB203" s="17"/>
      <c r="BC203" s="35" t="str">
        <f aca="false">IF($E203="","",IFERROR(INDEX(SCORING!$C$6:$C$15,MATCH($J203,SCORING!$B$6:$B$15,0)),0)+IFERROR(INDEX(SCORING!$C$18:$C$20,MATCH($U203,SCORING!$B$18:$B$20,0)),0)+IFERROR(INDEX(SCORING!$C$23:$C$26,MATCH($X203,SCORING!$B$23:$B$26,0)),0)+IFERROR(INDEX(SCORING!$C$29:$C$32,MATCH($Q203,SCORING!$B$29:$B$32,0)),0)+IFERROR(INDEX(SCORING!$C$35:$C$37,MATCH($L203,SCORING!$B$35:$B$37,0)),0)+IF($AP203="",0,IF(AND($AQ203="Valid",$AO203="Decision maker"),SCORING!$C$40,IF($AQ203="Valid",SCORING!$C$41,SCORING!$C$42))))</f>
        <v/>
      </c>
      <c r="BD203" s="36" t="str">
        <f aca="false">IF($BC203="","",IF($BC203&gt;=SCORING!$C$46,"A",IF($BC203&gt;=SCORING!$C$47,"B",IF($BC203&gt;=SCORING!$C$48,"C","D"))))</f>
        <v/>
      </c>
      <c r="BE203" s="37"/>
    </row>
    <row r="204" customFormat="false" ht="15" hidden="false" customHeight="false" outlineLevel="0" collapsed="false">
      <c r="A204" s="37"/>
      <c r="B204" s="38"/>
      <c r="C204" s="37"/>
      <c r="D204" s="37"/>
      <c r="E204" s="17"/>
      <c r="F204" s="17"/>
      <c r="G204" s="37"/>
      <c r="H204" s="32" t="str">
        <f aca="false">IF($G204="","",IFERROR(INDEX(LISTS!$P$3:$P$145,MATCH($G204,LISTS!$O$3:$O$145,0)),"Other"))</f>
        <v/>
      </c>
      <c r="I204" s="37"/>
      <c r="J204" s="17"/>
      <c r="K204" s="17"/>
      <c r="L204" s="37"/>
      <c r="M204" s="37"/>
      <c r="N204" s="39"/>
      <c r="O204" s="37"/>
      <c r="P204" s="39"/>
      <c r="Q204" s="37"/>
      <c r="R204" s="39"/>
      <c r="S204" s="17"/>
      <c r="T204" s="17"/>
      <c r="U204" s="37"/>
      <c r="V204" s="37"/>
      <c r="W204" s="17"/>
      <c r="X204" s="37"/>
      <c r="Y204" s="17"/>
      <c r="Z204" s="39"/>
      <c r="AA204" s="39"/>
      <c r="AB204" s="37"/>
      <c r="AC204" s="37"/>
      <c r="AD204" s="38"/>
      <c r="AE204" s="37"/>
      <c r="AF204" s="37"/>
      <c r="AG204" s="37"/>
      <c r="AH204" s="37"/>
      <c r="AI204" s="17"/>
      <c r="AJ204" s="37"/>
      <c r="AK204" s="17"/>
      <c r="AL204" s="39"/>
      <c r="AM204" s="17"/>
      <c r="AN204" s="17"/>
      <c r="AO204" s="37"/>
      <c r="AP204" s="17"/>
      <c r="AQ204" s="37"/>
      <c r="AR204" s="37"/>
      <c r="AS204" s="37"/>
      <c r="AT204" s="17"/>
      <c r="AU204" s="37"/>
      <c r="AV204" s="37"/>
      <c r="AW204" s="38"/>
      <c r="AX204" s="37"/>
      <c r="AY204" s="38"/>
      <c r="AZ204" s="34" t="str">
        <f aca="false">IF($E204="","",COUNTA($E204,$F204,$G204,$J204,$L204,$Q204,$U204,$X204,$AM204,$AN204,$AP204,$AR204)/12)</f>
        <v/>
      </c>
      <c r="BA204" s="32" t="str">
        <f aca="false">IF($E204="","",IF(COUNTIF($E$3:$E$402,$E204)&gt;1,"DUPLICATE",""))</f>
        <v/>
      </c>
      <c r="BB204" s="17"/>
      <c r="BC204" s="35" t="str">
        <f aca="false">IF($E204="","",IFERROR(INDEX(SCORING!$C$6:$C$15,MATCH($J204,SCORING!$B$6:$B$15,0)),0)+IFERROR(INDEX(SCORING!$C$18:$C$20,MATCH($U204,SCORING!$B$18:$B$20,0)),0)+IFERROR(INDEX(SCORING!$C$23:$C$26,MATCH($X204,SCORING!$B$23:$B$26,0)),0)+IFERROR(INDEX(SCORING!$C$29:$C$32,MATCH($Q204,SCORING!$B$29:$B$32,0)),0)+IFERROR(INDEX(SCORING!$C$35:$C$37,MATCH($L204,SCORING!$B$35:$B$37,0)),0)+IF($AP204="",0,IF(AND($AQ204="Valid",$AO204="Decision maker"),SCORING!$C$40,IF($AQ204="Valid",SCORING!$C$41,SCORING!$C$42))))</f>
        <v/>
      </c>
      <c r="BD204" s="36" t="str">
        <f aca="false">IF($BC204="","",IF($BC204&gt;=SCORING!$C$46,"A",IF($BC204&gt;=SCORING!$C$47,"B",IF($BC204&gt;=SCORING!$C$48,"C","D"))))</f>
        <v/>
      </c>
      <c r="BE204" s="37"/>
    </row>
    <row r="205" customFormat="false" ht="15" hidden="false" customHeight="false" outlineLevel="0" collapsed="false">
      <c r="A205" s="37"/>
      <c r="B205" s="38"/>
      <c r="C205" s="37"/>
      <c r="D205" s="37"/>
      <c r="E205" s="17"/>
      <c r="F205" s="17"/>
      <c r="G205" s="37"/>
      <c r="H205" s="32" t="str">
        <f aca="false">IF($G205="","",IFERROR(INDEX(LISTS!$P$3:$P$145,MATCH($G205,LISTS!$O$3:$O$145,0)),"Other"))</f>
        <v/>
      </c>
      <c r="I205" s="37"/>
      <c r="J205" s="17"/>
      <c r="K205" s="17"/>
      <c r="L205" s="37"/>
      <c r="M205" s="37"/>
      <c r="N205" s="39"/>
      <c r="O205" s="37"/>
      <c r="P205" s="39"/>
      <c r="Q205" s="37"/>
      <c r="R205" s="39"/>
      <c r="S205" s="17"/>
      <c r="T205" s="17"/>
      <c r="U205" s="37"/>
      <c r="V205" s="37"/>
      <c r="W205" s="17"/>
      <c r="X205" s="37"/>
      <c r="Y205" s="17"/>
      <c r="Z205" s="39"/>
      <c r="AA205" s="39"/>
      <c r="AB205" s="37"/>
      <c r="AC205" s="37"/>
      <c r="AD205" s="38"/>
      <c r="AE205" s="37"/>
      <c r="AF205" s="37"/>
      <c r="AG205" s="37"/>
      <c r="AH205" s="37"/>
      <c r="AI205" s="17"/>
      <c r="AJ205" s="37"/>
      <c r="AK205" s="17"/>
      <c r="AL205" s="39"/>
      <c r="AM205" s="17"/>
      <c r="AN205" s="17"/>
      <c r="AO205" s="37"/>
      <c r="AP205" s="17"/>
      <c r="AQ205" s="37"/>
      <c r="AR205" s="37"/>
      <c r="AS205" s="37"/>
      <c r="AT205" s="17"/>
      <c r="AU205" s="37"/>
      <c r="AV205" s="37"/>
      <c r="AW205" s="38"/>
      <c r="AX205" s="37"/>
      <c r="AY205" s="38"/>
      <c r="AZ205" s="34" t="str">
        <f aca="false">IF($E205="","",COUNTA($E205,$F205,$G205,$J205,$L205,$Q205,$U205,$X205,$AM205,$AN205,$AP205,$AR205)/12)</f>
        <v/>
      </c>
      <c r="BA205" s="32" t="str">
        <f aca="false">IF($E205="","",IF(COUNTIF($E$3:$E$402,$E205)&gt;1,"DUPLICATE",""))</f>
        <v/>
      </c>
      <c r="BB205" s="17"/>
      <c r="BC205" s="35" t="str">
        <f aca="false">IF($E205="","",IFERROR(INDEX(SCORING!$C$6:$C$15,MATCH($J205,SCORING!$B$6:$B$15,0)),0)+IFERROR(INDEX(SCORING!$C$18:$C$20,MATCH($U205,SCORING!$B$18:$B$20,0)),0)+IFERROR(INDEX(SCORING!$C$23:$C$26,MATCH($X205,SCORING!$B$23:$B$26,0)),0)+IFERROR(INDEX(SCORING!$C$29:$C$32,MATCH($Q205,SCORING!$B$29:$B$32,0)),0)+IFERROR(INDEX(SCORING!$C$35:$C$37,MATCH($L205,SCORING!$B$35:$B$37,0)),0)+IF($AP205="",0,IF(AND($AQ205="Valid",$AO205="Decision maker"),SCORING!$C$40,IF($AQ205="Valid",SCORING!$C$41,SCORING!$C$42))))</f>
        <v/>
      </c>
      <c r="BD205" s="36" t="str">
        <f aca="false">IF($BC205="","",IF($BC205&gt;=SCORING!$C$46,"A",IF($BC205&gt;=SCORING!$C$47,"B",IF($BC205&gt;=SCORING!$C$48,"C","D"))))</f>
        <v/>
      </c>
      <c r="BE205" s="37"/>
    </row>
    <row r="206" customFormat="false" ht="15" hidden="false" customHeight="false" outlineLevel="0" collapsed="false">
      <c r="A206" s="37"/>
      <c r="B206" s="38"/>
      <c r="C206" s="37"/>
      <c r="D206" s="37"/>
      <c r="E206" s="17"/>
      <c r="F206" s="17"/>
      <c r="G206" s="37"/>
      <c r="H206" s="32" t="str">
        <f aca="false">IF($G206="","",IFERROR(INDEX(LISTS!$P$3:$P$145,MATCH($G206,LISTS!$O$3:$O$145,0)),"Other"))</f>
        <v/>
      </c>
      <c r="I206" s="37"/>
      <c r="J206" s="17"/>
      <c r="K206" s="17"/>
      <c r="L206" s="37"/>
      <c r="M206" s="37"/>
      <c r="N206" s="39"/>
      <c r="O206" s="37"/>
      <c r="P206" s="39"/>
      <c r="Q206" s="37"/>
      <c r="R206" s="39"/>
      <c r="S206" s="17"/>
      <c r="T206" s="17"/>
      <c r="U206" s="37"/>
      <c r="V206" s="37"/>
      <c r="W206" s="17"/>
      <c r="X206" s="37"/>
      <c r="Y206" s="17"/>
      <c r="Z206" s="39"/>
      <c r="AA206" s="39"/>
      <c r="AB206" s="37"/>
      <c r="AC206" s="37"/>
      <c r="AD206" s="38"/>
      <c r="AE206" s="37"/>
      <c r="AF206" s="37"/>
      <c r="AG206" s="37"/>
      <c r="AH206" s="37"/>
      <c r="AI206" s="17"/>
      <c r="AJ206" s="37"/>
      <c r="AK206" s="17"/>
      <c r="AL206" s="39"/>
      <c r="AM206" s="17"/>
      <c r="AN206" s="17"/>
      <c r="AO206" s="37"/>
      <c r="AP206" s="17"/>
      <c r="AQ206" s="37"/>
      <c r="AR206" s="37"/>
      <c r="AS206" s="37"/>
      <c r="AT206" s="17"/>
      <c r="AU206" s="37"/>
      <c r="AV206" s="37"/>
      <c r="AW206" s="38"/>
      <c r="AX206" s="37"/>
      <c r="AY206" s="38"/>
      <c r="AZ206" s="34" t="str">
        <f aca="false">IF($E206="","",COUNTA($E206,$F206,$G206,$J206,$L206,$Q206,$U206,$X206,$AM206,$AN206,$AP206,$AR206)/12)</f>
        <v/>
      </c>
      <c r="BA206" s="32" t="str">
        <f aca="false">IF($E206="","",IF(COUNTIF($E$3:$E$402,$E206)&gt;1,"DUPLICATE",""))</f>
        <v/>
      </c>
      <c r="BB206" s="17"/>
      <c r="BC206" s="35" t="str">
        <f aca="false">IF($E206="","",IFERROR(INDEX(SCORING!$C$6:$C$15,MATCH($J206,SCORING!$B$6:$B$15,0)),0)+IFERROR(INDEX(SCORING!$C$18:$C$20,MATCH($U206,SCORING!$B$18:$B$20,0)),0)+IFERROR(INDEX(SCORING!$C$23:$C$26,MATCH($X206,SCORING!$B$23:$B$26,0)),0)+IFERROR(INDEX(SCORING!$C$29:$C$32,MATCH($Q206,SCORING!$B$29:$B$32,0)),0)+IFERROR(INDEX(SCORING!$C$35:$C$37,MATCH($L206,SCORING!$B$35:$B$37,0)),0)+IF($AP206="",0,IF(AND($AQ206="Valid",$AO206="Decision maker"),SCORING!$C$40,IF($AQ206="Valid",SCORING!$C$41,SCORING!$C$42))))</f>
        <v/>
      </c>
      <c r="BD206" s="36" t="str">
        <f aca="false">IF($BC206="","",IF($BC206&gt;=SCORING!$C$46,"A",IF($BC206&gt;=SCORING!$C$47,"B",IF($BC206&gt;=SCORING!$C$48,"C","D"))))</f>
        <v/>
      </c>
      <c r="BE206" s="37"/>
    </row>
    <row r="207" customFormat="false" ht="15" hidden="false" customHeight="false" outlineLevel="0" collapsed="false">
      <c r="A207" s="37"/>
      <c r="B207" s="38"/>
      <c r="C207" s="37"/>
      <c r="D207" s="37"/>
      <c r="E207" s="17"/>
      <c r="F207" s="17"/>
      <c r="G207" s="37"/>
      <c r="H207" s="32" t="str">
        <f aca="false">IF($G207="","",IFERROR(INDEX(LISTS!$P$3:$P$145,MATCH($G207,LISTS!$O$3:$O$145,0)),"Other"))</f>
        <v/>
      </c>
      <c r="I207" s="37"/>
      <c r="J207" s="17"/>
      <c r="K207" s="17"/>
      <c r="L207" s="37"/>
      <c r="M207" s="37"/>
      <c r="N207" s="39"/>
      <c r="O207" s="37"/>
      <c r="P207" s="39"/>
      <c r="Q207" s="37"/>
      <c r="R207" s="39"/>
      <c r="S207" s="17"/>
      <c r="T207" s="17"/>
      <c r="U207" s="37"/>
      <c r="V207" s="37"/>
      <c r="W207" s="17"/>
      <c r="X207" s="37"/>
      <c r="Y207" s="17"/>
      <c r="Z207" s="39"/>
      <c r="AA207" s="39"/>
      <c r="AB207" s="37"/>
      <c r="AC207" s="37"/>
      <c r="AD207" s="38"/>
      <c r="AE207" s="37"/>
      <c r="AF207" s="37"/>
      <c r="AG207" s="37"/>
      <c r="AH207" s="37"/>
      <c r="AI207" s="17"/>
      <c r="AJ207" s="37"/>
      <c r="AK207" s="17"/>
      <c r="AL207" s="39"/>
      <c r="AM207" s="17"/>
      <c r="AN207" s="17"/>
      <c r="AO207" s="37"/>
      <c r="AP207" s="17"/>
      <c r="AQ207" s="37"/>
      <c r="AR207" s="37"/>
      <c r="AS207" s="37"/>
      <c r="AT207" s="17"/>
      <c r="AU207" s="37"/>
      <c r="AV207" s="37"/>
      <c r="AW207" s="38"/>
      <c r="AX207" s="37"/>
      <c r="AY207" s="38"/>
      <c r="AZ207" s="34" t="str">
        <f aca="false">IF($E207="","",COUNTA($E207,$F207,$G207,$J207,$L207,$Q207,$U207,$X207,$AM207,$AN207,$AP207,$AR207)/12)</f>
        <v/>
      </c>
      <c r="BA207" s="32" t="str">
        <f aca="false">IF($E207="","",IF(COUNTIF($E$3:$E$402,$E207)&gt;1,"DUPLICATE",""))</f>
        <v/>
      </c>
      <c r="BB207" s="17"/>
      <c r="BC207" s="35" t="str">
        <f aca="false">IF($E207="","",IFERROR(INDEX(SCORING!$C$6:$C$15,MATCH($J207,SCORING!$B$6:$B$15,0)),0)+IFERROR(INDEX(SCORING!$C$18:$C$20,MATCH($U207,SCORING!$B$18:$B$20,0)),0)+IFERROR(INDEX(SCORING!$C$23:$C$26,MATCH($X207,SCORING!$B$23:$B$26,0)),0)+IFERROR(INDEX(SCORING!$C$29:$C$32,MATCH($Q207,SCORING!$B$29:$B$32,0)),0)+IFERROR(INDEX(SCORING!$C$35:$C$37,MATCH($L207,SCORING!$B$35:$B$37,0)),0)+IF($AP207="",0,IF(AND($AQ207="Valid",$AO207="Decision maker"),SCORING!$C$40,IF($AQ207="Valid",SCORING!$C$41,SCORING!$C$42))))</f>
        <v/>
      </c>
      <c r="BD207" s="36" t="str">
        <f aca="false">IF($BC207="","",IF($BC207&gt;=SCORING!$C$46,"A",IF($BC207&gt;=SCORING!$C$47,"B",IF($BC207&gt;=SCORING!$C$48,"C","D"))))</f>
        <v/>
      </c>
      <c r="BE207" s="37"/>
    </row>
    <row r="208" customFormat="false" ht="15" hidden="false" customHeight="false" outlineLevel="0" collapsed="false">
      <c r="A208" s="37"/>
      <c r="B208" s="38"/>
      <c r="C208" s="37"/>
      <c r="D208" s="37"/>
      <c r="E208" s="17"/>
      <c r="F208" s="17"/>
      <c r="G208" s="37"/>
      <c r="H208" s="32" t="str">
        <f aca="false">IF($G208="","",IFERROR(INDEX(LISTS!$P$3:$P$145,MATCH($G208,LISTS!$O$3:$O$145,0)),"Other"))</f>
        <v/>
      </c>
      <c r="I208" s="37"/>
      <c r="J208" s="17"/>
      <c r="K208" s="17"/>
      <c r="L208" s="37"/>
      <c r="M208" s="37"/>
      <c r="N208" s="39"/>
      <c r="O208" s="37"/>
      <c r="P208" s="39"/>
      <c r="Q208" s="37"/>
      <c r="R208" s="39"/>
      <c r="S208" s="17"/>
      <c r="T208" s="17"/>
      <c r="U208" s="37"/>
      <c r="V208" s="37"/>
      <c r="W208" s="17"/>
      <c r="X208" s="37"/>
      <c r="Y208" s="17"/>
      <c r="Z208" s="39"/>
      <c r="AA208" s="39"/>
      <c r="AB208" s="37"/>
      <c r="AC208" s="37"/>
      <c r="AD208" s="38"/>
      <c r="AE208" s="37"/>
      <c r="AF208" s="37"/>
      <c r="AG208" s="37"/>
      <c r="AH208" s="37"/>
      <c r="AI208" s="17"/>
      <c r="AJ208" s="37"/>
      <c r="AK208" s="17"/>
      <c r="AL208" s="39"/>
      <c r="AM208" s="17"/>
      <c r="AN208" s="17"/>
      <c r="AO208" s="37"/>
      <c r="AP208" s="17"/>
      <c r="AQ208" s="37"/>
      <c r="AR208" s="37"/>
      <c r="AS208" s="37"/>
      <c r="AT208" s="17"/>
      <c r="AU208" s="37"/>
      <c r="AV208" s="37"/>
      <c r="AW208" s="38"/>
      <c r="AX208" s="37"/>
      <c r="AY208" s="38"/>
      <c r="AZ208" s="34" t="str">
        <f aca="false">IF($E208="","",COUNTA($E208,$F208,$G208,$J208,$L208,$Q208,$U208,$X208,$AM208,$AN208,$AP208,$AR208)/12)</f>
        <v/>
      </c>
      <c r="BA208" s="32" t="str">
        <f aca="false">IF($E208="","",IF(COUNTIF($E$3:$E$402,$E208)&gt;1,"DUPLICATE",""))</f>
        <v/>
      </c>
      <c r="BB208" s="17"/>
      <c r="BC208" s="35" t="str">
        <f aca="false">IF($E208="","",IFERROR(INDEX(SCORING!$C$6:$C$15,MATCH($J208,SCORING!$B$6:$B$15,0)),0)+IFERROR(INDEX(SCORING!$C$18:$C$20,MATCH($U208,SCORING!$B$18:$B$20,0)),0)+IFERROR(INDEX(SCORING!$C$23:$C$26,MATCH($X208,SCORING!$B$23:$B$26,0)),0)+IFERROR(INDEX(SCORING!$C$29:$C$32,MATCH($Q208,SCORING!$B$29:$B$32,0)),0)+IFERROR(INDEX(SCORING!$C$35:$C$37,MATCH($L208,SCORING!$B$35:$B$37,0)),0)+IF($AP208="",0,IF(AND($AQ208="Valid",$AO208="Decision maker"),SCORING!$C$40,IF($AQ208="Valid",SCORING!$C$41,SCORING!$C$42))))</f>
        <v/>
      </c>
      <c r="BD208" s="36" t="str">
        <f aca="false">IF($BC208="","",IF($BC208&gt;=SCORING!$C$46,"A",IF($BC208&gt;=SCORING!$C$47,"B",IF($BC208&gt;=SCORING!$C$48,"C","D"))))</f>
        <v/>
      </c>
      <c r="BE208" s="37"/>
    </row>
    <row r="209" customFormat="false" ht="15" hidden="false" customHeight="false" outlineLevel="0" collapsed="false">
      <c r="A209" s="37"/>
      <c r="B209" s="38"/>
      <c r="C209" s="37"/>
      <c r="D209" s="37"/>
      <c r="E209" s="17"/>
      <c r="F209" s="17"/>
      <c r="G209" s="37"/>
      <c r="H209" s="32" t="str">
        <f aca="false">IF($G209="","",IFERROR(INDEX(LISTS!$P$3:$P$145,MATCH($G209,LISTS!$O$3:$O$145,0)),"Other"))</f>
        <v/>
      </c>
      <c r="I209" s="37"/>
      <c r="J209" s="17"/>
      <c r="K209" s="17"/>
      <c r="L209" s="37"/>
      <c r="M209" s="37"/>
      <c r="N209" s="39"/>
      <c r="O209" s="37"/>
      <c r="P209" s="39"/>
      <c r="Q209" s="37"/>
      <c r="R209" s="39"/>
      <c r="S209" s="17"/>
      <c r="T209" s="17"/>
      <c r="U209" s="37"/>
      <c r="V209" s="37"/>
      <c r="W209" s="17"/>
      <c r="X209" s="37"/>
      <c r="Y209" s="17"/>
      <c r="Z209" s="39"/>
      <c r="AA209" s="39"/>
      <c r="AB209" s="37"/>
      <c r="AC209" s="37"/>
      <c r="AD209" s="38"/>
      <c r="AE209" s="37"/>
      <c r="AF209" s="37"/>
      <c r="AG209" s="37"/>
      <c r="AH209" s="37"/>
      <c r="AI209" s="17"/>
      <c r="AJ209" s="37"/>
      <c r="AK209" s="17"/>
      <c r="AL209" s="39"/>
      <c r="AM209" s="17"/>
      <c r="AN209" s="17"/>
      <c r="AO209" s="37"/>
      <c r="AP209" s="17"/>
      <c r="AQ209" s="37"/>
      <c r="AR209" s="37"/>
      <c r="AS209" s="37"/>
      <c r="AT209" s="17"/>
      <c r="AU209" s="37"/>
      <c r="AV209" s="37"/>
      <c r="AW209" s="38"/>
      <c r="AX209" s="37"/>
      <c r="AY209" s="38"/>
      <c r="AZ209" s="34" t="str">
        <f aca="false">IF($E209="","",COUNTA($E209,$F209,$G209,$J209,$L209,$Q209,$U209,$X209,$AM209,$AN209,$AP209,$AR209)/12)</f>
        <v/>
      </c>
      <c r="BA209" s="32" t="str">
        <f aca="false">IF($E209="","",IF(COUNTIF($E$3:$E$402,$E209)&gt;1,"DUPLICATE",""))</f>
        <v/>
      </c>
      <c r="BB209" s="17"/>
      <c r="BC209" s="35" t="str">
        <f aca="false">IF($E209="","",IFERROR(INDEX(SCORING!$C$6:$C$15,MATCH($J209,SCORING!$B$6:$B$15,0)),0)+IFERROR(INDEX(SCORING!$C$18:$C$20,MATCH($U209,SCORING!$B$18:$B$20,0)),0)+IFERROR(INDEX(SCORING!$C$23:$C$26,MATCH($X209,SCORING!$B$23:$B$26,0)),0)+IFERROR(INDEX(SCORING!$C$29:$C$32,MATCH($Q209,SCORING!$B$29:$B$32,0)),0)+IFERROR(INDEX(SCORING!$C$35:$C$37,MATCH($L209,SCORING!$B$35:$B$37,0)),0)+IF($AP209="",0,IF(AND($AQ209="Valid",$AO209="Decision maker"),SCORING!$C$40,IF($AQ209="Valid",SCORING!$C$41,SCORING!$C$42))))</f>
        <v/>
      </c>
      <c r="BD209" s="36" t="str">
        <f aca="false">IF($BC209="","",IF($BC209&gt;=SCORING!$C$46,"A",IF($BC209&gt;=SCORING!$C$47,"B",IF($BC209&gt;=SCORING!$C$48,"C","D"))))</f>
        <v/>
      </c>
      <c r="BE209" s="37"/>
    </row>
    <row r="210" customFormat="false" ht="15" hidden="false" customHeight="false" outlineLevel="0" collapsed="false">
      <c r="A210" s="37"/>
      <c r="B210" s="38"/>
      <c r="C210" s="37"/>
      <c r="D210" s="37"/>
      <c r="E210" s="17"/>
      <c r="F210" s="17"/>
      <c r="G210" s="37"/>
      <c r="H210" s="32" t="str">
        <f aca="false">IF($G210="","",IFERROR(INDEX(LISTS!$P$3:$P$145,MATCH($G210,LISTS!$O$3:$O$145,0)),"Other"))</f>
        <v/>
      </c>
      <c r="I210" s="37"/>
      <c r="J210" s="17"/>
      <c r="K210" s="17"/>
      <c r="L210" s="37"/>
      <c r="M210" s="37"/>
      <c r="N210" s="39"/>
      <c r="O210" s="37"/>
      <c r="P210" s="39"/>
      <c r="Q210" s="37"/>
      <c r="R210" s="39"/>
      <c r="S210" s="17"/>
      <c r="T210" s="17"/>
      <c r="U210" s="37"/>
      <c r="V210" s="37"/>
      <c r="W210" s="17"/>
      <c r="X210" s="37"/>
      <c r="Y210" s="17"/>
      <c r="Z210" s="39"/>
      <c r="AA210" s="39"/>
      <c r="AB210" s="37"/>
      <c r="AC210" s="37"/>
      <c r="AD210" s="38"/>
      <c r="AE210" s="37"/>
      <c r="AF210" s="37"/>
      <c r="AG210" s="37"/>
      <c r="AH210" s="37"/>
      <c r="AI210" s="17"/>
      <c r="AJ210" s="37"/>
      <c r="AK210" s="17"/>
      <c r="AL210" s="39"/>
      <c r="AM210" s="17"/>
      <c r="AN210" s="17"/>
      <c r="AO210" s="37"/>
      <c r="AP210" s="17"/>
      <c r="AQ210" s="37"/>
      <c r="AR210" s="37"/>
      <c r="AS210" s="37"/>
      <c r="AT210" s="17"/>
      <c r="AU210" s="37"/>
      <c r="AV210" s="37"/>
      <c r="AW210" s="38"/>
      <c r="AX210" s="37"/>
      <c r="AY210" s="38"/>
      <c r="AZ210" s="34" t="str">
        <f aca="false">IF($E210="","",COUNTA($E210,$F210,$G210,$J210,$L210,$Q210,$U210,$X210,$AM210,$AN210,$AP210,$AR210)/12)</f>
        <v/>
      </c>
      <c r="BA210" s="32" t="str">
        <f aca="false">IF($E210="","",IF(COUNTIF($E$3:$E$402,$E210)&gt;1,"DUPLICATE",""))</f>
        <v/>
      </c>
      <c r="BB210" s="17"/>
      <c r="BC210" s="35" t="str">
        <f aca="false">IF($E210="","",IFERROR(INDEX(SCORING!$C$6:$C$15,MATCH($J210,SCORING!$B$6:$B$15,0)),0)+IFERROR(INDEX(SCORING!$C$18:$C$20,MATCH($U210,SCORING!$B$18:$B$20,0)),0)+IFERROR(INDEX(SCORING!$C$23:$C$26,MATCH($X210,SCORING!$B$23:$B$26,0)),0)+IFERROR(INDEX(SCORING!$C$29:$C$32,MATCH($Q210,SCORING!$B$29:$B$32,0)),0)+IFERROR(INDEX(SCORING!$C$35:$C$37,MATCH($L210,SCORING!$B$35:$B$37,0)),0)+IF($AP210="",0,IF(AND($AQ210="Valid",$AO210="Decision maker"),SCORING!$C$40,IF($AQ210="Valid",SCORING!$C$41,SCORING!$C$42))))</f>
        <v/>
      </c>
      <c r="BD210" s="36" t="str">
        <f aca="false">IF($BC210="","",IF($BC210&gt;=SCORING!$C$46,"A",IF($BC210&gt;=SCORING!$C$47,"B",IF($BC210&gt;=SCORING!$C$48,"C","D"))))</f>
        <v/>
      </c>
      <c r="BE210" s="37"/>
    </row>
    <row r="211" customFormat="false" ht="15" hidden="false" customHeight="false" outlineLevel="0" collapsed="false">
      <c r="A211" s="37"/>
      <c r="B211" s="38"/>
      <c r="C211" s="37"/>
      <c r="D211" s="37"/>
      <c r="E211" s="17"/>
      <c r="F211" s="17"/>
      <c r="G211" s="37"/>
      <c r="H211" s="32" t="str">
        <f aca="false">IF($G211="","",IFERROR(INDEX(LISTS!$P$3:$P$145,MATCH($G211,LISTS!$O$3:$O$145,0)),"Other"))</f>
        <v/>
      </c>
      <c r="I211" s="37"/>
      <c r="J211" s="17"/>
      <c r="K211" s="17"/>
      <c r="L211" s="37"/>
      <c r="M211" s="37"/>
      <c r="N211" s="39"/>
      <c r="O211" s="37"/>
      <c r="P211" s="39"/>
      <c r="Q211" s="37"/>
      <c r="R211" s="39"/>
      <c r="S211" s="17"/>
      <c r="T211" s="17"/>
      <c r="U211" s="37"/>
      <c r="V211" s="37"/>
      <c r="W211" s="17"/>
      <c r="X211" s="37"/>
      <c r="Y211" s="17"/>
      <c r="Z211" s="39"/>
      <c r="AA211" s="39"/>
      <c r="AB211" s="37"/>
      <c r="AC211" s="37"/>
      <c r="AD211" s="38"/>
      <c r="AE211" s="37"/>
      <c r="AF211" s="37"/>
      <c r="AG211" s="37"/>
      <c r="AH211" s="37"/>
      <c r="AI211" s="17"/>
      <c r="AJ211" s="37"/>
      <c r="AK211" s="17"/>
      <c r="AL211" s="39"/>
      <c r="AM211" s="17"/>
      <c r="AN211" s="17"/>
      <c r="AO211" s="37"/>
      <c r="AP211" s="17"/>
      <c r="AQ211" s="37"/>
      <c r="AR211" s="37"/>
      <c r="AS211" s="37"/>
      <c r="AT211" s="17"/>
      <c r="AU211" s="37"/>
      <c r="AV211" s="37"/>
      <c r="AW211" s="38"/>
      <c r="AX211" s="37"/>
      <c r="AY211" s="38"/>
      <c r="AZ211" s="34" t="str">
        <f aca="false">IF($E211="","",COUNTA($E211,$F211,$G211,$J211,$L211,$Q211,$U211,$X211,$AM211,$AN211,$AP211,$AR211)/12)</f>
        <v/>
      </c>
      <c r="BA211" s="32" t="str">
        <f aca="false">IF($E211="","",IF(COUNTIF($E$3:$E$402,$E211)&gt;1,"DUPLICATE",""))</f>
        <v/>
      </c>
      <c r="BB211" s="17"/>
      <c r="BC211" s="35" t="str">
        <f aca="false">IF($E211="","",IFERROR(INDEX(SCORING!$C$6:$C$15,MATCH($J211,SCORING!$B$6:$B$15,0)),0)+IFERROR(INDEX(SCORING!$C$18:$C$20,MATCH($U211,SCORING!$B$18:$B$20,0)),0)+IFERROR(INDEX(SCORING!$C$23:$C$26,MATCH($X211,SCORING!$B$23:$B$26,0)),0)+IFERROR(INDEX(SCORING!$C$29:$C$32,MATCH($Q211,SCORING!$B$29:$B$32,0)),0)+IFERROR(INDEX(SCORING!$C$35:$C$37,MATCH($L211,SCORING!$B$35:$B$37,0)),0)+IF($AP211="",0,IF(AND($AQ211="Valid",$AO211="Decision maker"),SCORING!$C$40,IF($AQ211="Valid",SCORING!$C$41,SCORING!$C$42))))</f>
        <v/>
      </c>
      <c r="BD211" s="36" t="str">
        <f aca="false">IF($BC211="","",IF($BC211&gt;=SCORING!$C$46,"A",IF($BC211&gt;=SCORING!$C$47,"B",IF($BC211&gt;=SCORING!$C$48,"C","D"))))</f>
        <v/>
      </c>
      <c r="BE211" s="37"/>
    </row>
    <row r="212" customFormat="false" ht="15" hidden="false" customHeight="false" outlineLevel="0" collapsed="false">
      <c r="A212" s="37"/>
      <c r="B212" s="38"/>
      <c r="C212" s="37"/>
      <c r="D212" s="37"/>
      <c r="E212" s="17"/>
      <c r="F212" s="17"/>
      <c r="G212" s="37"/>
      <c r="H212" s="32" t="str">
        <f aca="false">IF($G212="","",IFERROR(INDEX(LISTS!$P$3:$P$145,MATCH($G212,LISTS!$O$3:$O$145,0)),"Other"))</f>
        <v/>
      </c>
      <c r="I212" s="37"/>
      <c r="J212" s="17"/>
      <c r="K212" s="17"/>
      <c r="L212" s="37"/>
      <c r="M212" s="37"/>
      <c r="N212" s="39"/>
      <c r="O212" s="37"/>
      <c r="P212" s="39"/>
      <c r="Q212" s="37"/>
      <c r="R212" s="39"/>
      <c r="S212" s="17"/>
      <c r="T212" s="17"/>
      <c r="U212" s="37"/>
      <c r="V212" s="37"/>
      <c r="W212" s="17"/>
      <c r="X212" s="37"/>
      <c r="Y212" s="17"/>
      <c r="Z212" s="39"/>
      <c r="AA212" s="39"/>
      <c r="AB212" s="37"/>
      <c r="AC212" s="37"/>
      <c r="AD212" s="38"/>
      <c r="AE212" s="37"/>
      <c r="AF212" s="37"/>
      <c r="AG212" s="37"/>
      <c r="AH212" s="37"/>
      <c r="AI212" s="17"/>
      <c r="AJ212" s="37"/>
      <c r="AK212" s="17"/>
      <c r="AL212" s="39"/>
      <c r="AM212" s="17"/>
      <c r="AN212" s="17"/>
      <c r="AO212" s="37"/>
      <c r="AP212" s="17"/>
      <c r="AQ212" s="37"/>
      <c r="AR212" s="37"/>
      <c r="AS212" s="37"/>
      <c r="AT212" s="17"/>
      <c r="AU212" s="37"/>
      <c r="AV212" s="37"/>
      <c r="AW212" s="38"/>
      <c r="AX212" s="37"/>
      <c r="AY212" s="38"/>
      <c r="AZ212" s="34" t="str">
        <f aca="false">IF($E212="","",COUNTA($E212,$F212,$G212,$J212,$L212,$Q212,$U212,$X212,$AM212,$AN212,$AP212,$AR212)/12)</f>
        <v/>
      </c>
      <c r="BA212" s="32" t="str">
        <f aca="false">IF($E212="","",IF(COUNTIF($E$3:$E$402,$E212)&gt;1,"DUPLICATE",""))</f>
        <v/>
      </c>
      <c r="BB212" s="17"/>
      <c r="BC212" s="35" t="str">
        <f aca="false">IF($E212="","",IFERROR(INDEX(SCORING!$C$6:$C$15,MATCH($J212,SCORING!$B$6:$B$15,0)),0)+IFERROR(INDEX(SCORING!$C$18:$C$20,MATCH($U212,SCORING!$B$18:$B$20,0)),0)+IFERROR(INDEX(SCORING!$C$23:$C$26,MATCH($X212,SCORING!$B$23:$B$26,0)),0)+IFERROR(INDEX(SCORING!$C$29:$C$32,MATCH($Q212,SCORING!$B$29:$B$32,0)),0)+IFERROR(INDEX(SCORING!$C$35:$C$37,MATCH($L212,SCORING!$B$35:$B$37,0)),0)+IF($AP212="",0,IF(AND($AQ212="Valid",$AO212="Decision maker"),SCORING!$C$40,IF($AQ212="Valid",SCORING!$C$41,SCORING!$C$42))))</f>
        <v/>
      </c>
      <c r="BD212" s="36" t="str">
        <f aca="false">IF($BC212="","",IF($BC212&gt;=SCORING!$C$46,"A",IF($BC212&gt;=SCORING!$C$47,"B",IF($BC212&gt;=SCORING!$C$48,"C","D"))))</f>
        <v/>
      </c>
      <c r="BE212" s="37"/>
    </row>
    <row r="213" customFormat="false" ht="15" hidden="false" customHeight="false" outlineLevel="0" collapsed="false">
      <c r="A213" s="37"/>
      <c r="B213" s="38"/>
      <c r="C213" s="37"/>
      <c r="D213" s="37"/>
      <c r="E213" s="17"/>
      <c r="F213" s="17"/>
      <c r="G213" s="37"/>
      <c r="H213" s="32" t="str">
        <f aca="false">IF($G213="","",IFERROR(INDEX(LISTS!$P$3:$P$145,MATCH($G213,LISTS!$O$3:$O$145,0)),"Other"))</f>
        <v/>
      </c>
      <c r="I213" s="37"/>
      <c r="J213" s="17"/>
      <c r="K213" s="17"/>
      <c r="L213" s="37"/>
      <c r="M213" s="37"/>
      <c r="N213" s="39"/>
      <c r="O213" s="37"/>
      <c r="P213" s="39"/>
      <c r="Q213" s="37"/>
      <c r="R213" s="39"/>
      <c r="S213" s="17"/>
      <c r="T213" s="17"/>
      <c r="U213" s="37"/>
      <c r="V213" s="37"/>
      <c r="W213" s="17"/>
      <c r="X213" s="37"/>
      <c r="Y213" s="17"/>
      <c r="Z213" s="39"/>
      <c r="AA213" s="39"/>
      <c r="AB213" s="37"/>
      <c r="AC213" s="37"/>
      <c r="AD213" s="38"/>
      <c r="AE213" s="37"/>
      <c r="AF213" s="37"/>
      <c r="AG213" s="37"/>
      <c r="AH213" s="37"/>
      <c r="AI213" s="17"/>
      <c r="AJ213" s="37"/>
      <c r="AK213" s="17"/>
      <c r="AL213" s="39"/>
      <c r="AM213" s="17"/>
      <c r="AN213" s="17"/>
      <c r="AO213" s="37"/>
      <c r="AP213" s="17"/>
      <c r="AQ213" s="37"/>
      <c r="AR213" s="37"/>
      <c r="AS213" s="37"/>
      <c r="AT213" s="17"/>
      <c r="AU213" s="37"/>
      <c r="AV213" s="37"/>
      <c r="AW213" s="38"/>
      <c r="AX213" s="37"/>
      <c r="AY213" s="38"/>
      <c r="AZ213" s="34" t="str">
        <f aca="false">IF($E213="","",COUNTA($E213,$F213,$G213,$J213,$L213,$Q213,$U213,$X213,$AM213,$AN213,$AP213,$AR213)/12)</f>
        <v/>
      </c>
      <c r="BA213" s="32" t="str">
        <f aca="false">IF($E213="","",IF(COUNTIF($E$3:$E$402,$E213)&gt;1,"DUPLICATE",""))</f>
        <v/>
      </c>
      <c r="BB213" s="17"/>
      <c r="BC213" s="35" t="str">
        <f aca="false">IF($E213="","",IFERROR(INDEX(SCORING!$C$6:$C$15,MATCH($J213,SCORING!$B$6:$B$15,0)),0)+IFERROR(INDEX(SCORING!$C$18:$C$20,MATCH($U213,SCORING!$B$18:$B$20,0)),0)+IFERROR(INDEX(SCORING!$C$23:$C$26,MATCH($X213,SCORING!$B$23:$B$26,0)),0)+IFERROR(INDEX(SCORING!$C$29:$C$32,MATCH($Q213,SCORING!$B$29:$B$32,0)),0)+IFERROR(INDEX(SCORING!$C$35:$C$37,MATCH($L213,SCORING!$B$35:$B$37,0)),0)+IF($AP213="",0,IF(AND($AQ213="Valid",$AO213="Decision maker"),SCORING!$C$40,IF($AQ213="Valid",SCORING!$C$41,SCORING!$C$42))))</f>
        <v/>
      </c>
      <c r="BD213" s="36" t="str">
        <f aca="false">IF($BC213="","",IF($BC213&gt;=SCORING!$C$46,"A",IF($BC213&gt;=SCORING!$C$47,"B",IF($BC213&gt;=SCORING!$C$48,"C","D"))))</f>
        <v/>
      </c>
      <c r="BE213" s="37"/>
    </row>
    <row r="214" customFormat="false" ht="15" hidden="false" customHeight="false" outlineLevel="0" collapsed="false">
      <c r="A214" s="37"/>
      <c r="B214" s="38"/>
      <c r="C214" s="37"/>
      <c r="D214" s="37"/>
      <c r="E214" s="17"/>
      <c r="F214" s="17"/>
      <c r="G214" s="37"/>
      <c r="H214" s="32" t="str">
        <f aca="false">IF($G214="","",IFERROR(INDEX(LISTS!$P$3:$P$145,MATCH($G214,LISTS!$O$3:$O$145,0)),"Other"))</f>
        <v/>
      </c>
      <c r="I214" s="37"/>
      <c r="J214" s="17"/>
      <c r="K214" s="17"/>
      <c r="L214" s="37"/>
      <c r="M214" s="37"/>
      <c r="N214" s="39"/>
      <c r="O214" s="37"/>
      <c r="P214" s="39"/>
      <c r="Q214" s="37"/>
      <c r="R214" s="39"/>
      <c r="S214" s="17"/>
      <c r="T214" s="17"/>
      <c r="U214" s="37"/>
      <c r="V214" s="37"/>
      <c r="W214" s="17"/>
      <c r="X214" s="37"/>
      <c r="Y214" s="17"/>
      <c r="Z214" s="39"/>
      <c r="AA214" s="39"/>
      <c r="AB214" s="37"/>
      <c r="AC214" s="37"/>
      <c r="AD214" s="38"/>
      <c r="AE214" s="37"/>
      <c r="AF214" s="37"/>
      <c r="AG214" s="37"/>
      <c r="AH214" s="37"/>
      <c r="AI214" s="17"/>
      <c r="AJ214" s="37"/>
      <c r="AK214" s="17"/>
      <c r="AL214" s="39"/>
      <c r="AM214" s="17"/>
      <c r="AN214" s="17"/>
      <c r="AO214" s="37"/>
      <c r="AP214" s="17"/>
      <c r="AQ214" s="37"/>
      <c r="AR214" s="37"/>
      <c r="AS214" s="37"/>
      <c r="AT214" s="17"/>
      <c r="AU214" s="37"/>
      <c r="AV214" s="37"/>
      <c r="AW214" s="38"/>
      <c r="AX214" s="37"/>
      <c r="AY214" s="38"/>
      <c r="AZ214" s="34" t="str">
        <f aca="false">IF($E214="","",COUNTA($E214,$F214,$G214,$J214,$L214,$Q214,$U214,$X214,$AM214,$AN214,$AP214,$AR214)/12)</f>
        <v/>
      </c>
      <c r="BA214" s="32" t="str">
        <f aca="false">IF($E214="","",IF(COUNTIF($E$3:$E$402,$E214)&gt;1,"DUPLICATE",""))</f>
        <v/>
      </c>
      <c r="BB214" s="17"/>
      <c r="BC214" s="35" t="str">
        <f aca="false">IF($E214="","",IFERROR(INDEX(SCORING!$C$6:$C$15,MATCH($J214,SCORING!$B$6:$B$15,0)),0)+IFERROR(INDEX(SCORING!$C$18:$C$20,MATCH($U214,SCORING!$B$18:$B$20,0)),0)+IFERROR(INDEX(SCORING!$C$23:$C$26,MATCH($X214,SCORING!$B$23:$B$26,0)),0)+IFERROR(INDEX(SCORING!$C$29:$C$32,MATCH($Q214,SCORING!$B$29:$B$32,0)),0)+IFERROR(INDEX(SCORING!$C$35:$C$37,MATCH($L214,SCORING!$B$35:$B$37,0)),0)+IF($AP214="",0,IF(AND($AQ214="Valid",$AO214="Decision maker"),SCORING!$C$40,IF($AQ214="Valid",SCORING!$C$41,SCORING!$C$42))))</f>
        <v/>
      </c>
      <c r="BD214" s="36" t="str">
        <f aca="false">IF($BC214="","",IF($BC214&gt;=SCORING!$C$46,"A",IF($BC214&gt;=SCORING!$C$47,"B",IF($BC214&gt;=SCORING!$C$48,"C","D"))))</f>
        <v/>
      </c>
      <c r="BE214" s="37"/>
    </row>
    <row r="215" customFormat="false" ht="15" hidden="false" customHeight="false" outlineLevel="0" collapsed="false">
      <c r="A215" s="37"/>
      <c r="B215" s="38"/>
      <c r="C215" s="37"/>
      <c r="D215" s="37"/>
      <c r="E215" s="17"/>
      <c r="F215" s="17"/>
      <c r="G215" s="37"/>
      <c r="H215" s="32" t="str">
        <f aca="false">IF($G215="","",IFERROR(INDEX(LISTS!$P$3:$P$145,MATCH($G215,LISTS!$O$3:$O$145,0)),"Other"))</f>
        <v/>
      </c>
      <c r="I215" s="37"/>
      <c r="J215" s="17"/>
      <c r="K215" s="17"/>
      <c r="L215" s="37"/>
      <c r="M215" s="37"/>
      <c r="N215" s="39"/>
      <c r="O215" s="37"/>
      <c r="P215" s="39"/>
      <c r="Q215" s="37"/>
      <c r="R215" s="39"/>
      <c r="S215" s="17"/>
      <c r="T215" s="17"/>
      <c r="U215" s="37"/>
      <c r="V215" s="37"/>
      <c r="W215" s="17"/>
      <c r="X215" s="37"/>
      <c r="Y215" s="17"/>
      <c r="Z215" s="39"/>
      <c r="AA215" s="39"/>
      <c r="AB215" s="37"/>
      <c r="AC215" s="37"/>
      <c r="AD215" s="38"/>
      <c r="AE215" s="37"/>
      <c r="AF215" s="37"/>
      <c r="AG215" s="37"/>
      <c r="AH215" s="37"/>
      <c r="AI215" s="17"/>
      <c r="AJ215" s="37"/>
      <c r="AK215" s="17"/>
      <c r="AL215" s="39"/>
      <c r="AM215" s="17"/>
      <c r="AN215" s="17"/>
      <c r="AO215" s="37"/>
      <c r="AP215" s="17"/>
      <c r="AQ215" s="37"/>
      <c r="AR215" s="37"/>
      <c r="AS215" s="37"/>
      <c r="AT215" s="17"/>
      <c r="AU215" s="37"/>
      <c r="AV215" s="37"/>
      <c r="AW215" s="38"/>
      <c r="AX215" s="37"/>
      <c r="AY215" s="38"/>
      <c r="AZ215" s="34" t="str">
        <f aca="false">IF($E215="","",COUNTA($E215,$F215,$G215,$J215,$L215,$Q215,$U215,$X215,$AM215,$AN215,$AP215,$AR215)/12)</f>
        <v/>
      </c>
      <c r="BA215" s="32" t="str">
        <f aca="false">IF($E215="","",IF(COUNTIF($E$3:$E$402,$E215)&gt;1,"DUPLICATE",""))</f>
        <v/>
      </c>
      <c r="BB215" s="17"/>
      <c r="BC215" s="35" t="str">
        <f aca="false">IF($E215="","",IFERROR(INDEX(SCORING!$C$6:$C$15,MATCH($J215,SCORING!$B$6:$B$15,0)),0)+IFERROR(INDEX(SCORING!$C$18:$C$20,MATCH($U215,SCORING!$B$18:$B$20,0)),0)+IFERROR(INDEX(SCORING!$C$23:$C$26,MATCH($X215,SCORING!$B$23:$B$26,0)),0)+IFERROR(INDEX(SCORING!$C$29:$C$32,MATCH($Q215,SCORING!$B$29:$B$32,0)),0)+IFERROR(INDEX(SCORING!$C$35:$C$37,MATCH($L215,SCORING!$B$35:$B$37,0)),0)+IF($AP215="",0,IF(AND($AQ215="Valid",$AO215="Decision maker"),SCORING!$C$40,IF($AQ215="Valid",SCORING!$C$41,SCORING!$C$42))))</f>
        <v/>
      </c>
      <c r="BD215" s="36" t="str">
        <f aca="false">IF($BC215="","",IF($BC215&gt;=SCORING!$C$46,"A",IF($BC215&gt;=SCORING!$C$47,"B",IF($BC215&gt;=SCORING!$C$48,"C","D"))))</f>
        <v/>
      </c>
      <c r="BE215" s="37"/>
    </row>
    <row r="216" customFormat="false" ht="15" hidden="false" customHeight="false" outlineLevel="0" collapsed="false">
      <c r="A216" s="37"/>
      <c r="B216" s="38"/>
      <c r="C216" s="37"/>
      <c r="D216" s="37"/>
      <c r="E216" s="17"/>
      <c r="F216" s="17"/>
      <c r="G216" s="37"/>
      <c r="H216" s="32" t="str">
        <f aca="false">IF($G216="","",IFERROR(INDEX(LISTS!$P$3:$P$145,MATCH($G216,LISTS!$O$3:$O$145,0)),"Other"))</f>
        <v/>
      </c>
      <c r="I216" s="37"/>
      <c r="J216" s="17"/>
      <c r="K216" s="17"/>
      <c r="L216" s="37"/>
      <c r="M216" s="37"/>
      <c r="N216" s="39"/>
      <c r="O216" s="37"/>
      <c r="P216" s="39"/>
      <c r="Q216" s="37"/>
      <c r="R216" s="39"/>
      <c r="S216" s="17"/>
      <c r="T216" s="17"/>
      <c r="U216" s="37"/>
      <c r="V216" s="37"/>
      <c r="W216" s="17"/>
      <c r="X216" s="37"/>
      <c r="Y216" s="17"/>
      <c r="Z216" s="39"/>
      <c r="AA216" s="39"/>
      <c r="AB216" s="37"/>
      <c r="AC216" s="37"/>
      <c r="AD216" s="38"/>
      <c r="AE216" s="37"/>
      <c r="AF216" s="37"/>
      <c r="AG216" s="37"/>
      <c r="AH216" s="37"/>
      <c r="AI216" s="17"/>
      <c r="AJ216" s="37"/>
      <c r="AK216" s="17"/>
      <c r="AL216" s="39"/>
      <c r="AM216" s="17"/>
      <c r="AN216" s="17"/>
      <c r="AO216" s="37"/>
      <c r="AP216" s="17"/>
      <c r="AQ216" s="37"/>
      <c r="AR216" s="37"/>
      <c r="AS216" s="37"/>
      <c r="AT216" s="17"/>
      <c r="AU216" s="37"/>
      <c r="AV216" s="37"/>
      <c r="AW216" s="38"/>
      <c r="AX216" s="37"/>
      <c r="AY216" s="38"/>
      <c r="AZ216" s="34" t="str">
        <f aca="false">IF($E216="","",COUNTA($E216,$F216,$G216,$J216,$L216,$Q216,$U216,$X216,$AM216,$AN216,$AP216,$AR216)/12)</f>
        <v/>
      </c>
      <c r="BA216" s="32" t="str">
        <f aca="false">IF($E216="","",IF(COUNTIF($E$3:$E$402,$E216)&gt;1,"DUPLICATE",""))</f>
        <v/>
      </c>
      <c r="BB216" s="17"/>
      <c r="BC216" s="35" t="str">
        <f aca="false">IF($E216="","",IFERROR(INDEX(SCORING!$C$6:$C$15,MATCH($J216,SCORING!$B$6:$B$15,0)),0)+IFERROR(INDEX(SCORING!$C$18:$C$20,MATCH($U216,SCORING!$B$18:$B$20,0)),0)+IFERROR(INDEX(SCORING!$C$23:$C$26,MATCH($X216,SCORING!$B$23:$B$26,0)),0)+IFERROR(INDEX(SCORING!$C$29:$C$32,MATCH($Q216,SCORING!$B$29:$B$32,0)),0)+IFERROR(INDEX(SCORING!$C$35:$C$37,MATCH($L216,SCORING!$B$35:$B$37,0)),0)+IF($AP216="",0,IF(AND($AQ216="Valid",$AO216="Decision maker"),SCORING!$C$40,IF($AQ216="Valid",SCORING!$C$41,SCORING!$C$42))))</f>
        <v/>
      </c>
      <c r="BD216" s="36" t="str">
        <f aca="false">IF($BC216="","",IF($BC216&gt;=SCORING!$C$46,"A",IF($BC216&gt;=SCORING!$C$47,"B",IF($BC216&gt;=SCORING!$C$48,"C","D"))))</f>
        <v/>
      </c>
      <c r="BE216" s="37"/>
    </row>
    <row r="217" customFormat="false" ht="15" hidden="false" customHeight="false" outlineLevel="0" collapsed="false">
      <c r="A217" s="37"/>
      <c r="B217" s="38"/>
      <c r="C217" s="37"/>
      <c r="D217" s="37"/>
      <c r="E217" s="17"/>
      <c r="F217" s="17"/>
      <c r="G217" s="37"/>
      <c r="H217" s="32" t="str">
        <f aca="false">IF($G217="","",IFERROR(INDEX(LISTS!$P$3:$P$145,MATCH($G217,LISTS!$O$3:$O$145,0)),"Other"))</f>
        <v/>
      </c>
      <c r="I217" s="37"/>
      <c r="J217" s="17"/>
      <c r="K217" s="17"/>
      <c r="L217" s="37"/>
      <c r="M217" s="37"/>
      <c r="N217" s="39"/>
      <c r="O217" s="37"/>
      <c r="P217" s="39"/>
      <c r="Q217" s="37"/>
      <c r="R217" s="39"/>
      <c r="S217" s="17"/>
      <c r="T217" s="17"/>
      <c r="U217" s="37"/>
      <c r="V217" s="37"/>
      <c r="W217" s="17"/>
      <c r="X217" s="37"/>
      <c r="Y217" s="17"/>
      <c r="Z217" s="39"/>
      <c r="AA217" s="39"/>
      <c r="AB217" s="37"/>
      <c r="AC217" s="37"/>
      <c r="AD217" s="38"/>
      <c r="AE217" s="37"/>
      <c r="AF217" s="37"/>
      <c r="AG217" s="37"/>
      <c r="AH217" s="37"/>
      <c r="AI217" s="17"/>
      <c r="AJ217" s="37"/>
      <c r="AK217" s="17"/>
      <c r="AL217" s="39"/>
      <c r="AM217" s="17"/>
      <c r="AN217" s="17"/>
      <c r="AO217" s="37"/>
      <c r="AP217" s="17"/>
      <c r="AQ217" s="37"/>
      <c r="AR217" s="37"/>
      <c r="AS217" s="37"/>
      <c r="AT217" s="17"/>
      <c r="AU217" s="37"/>
      <c r="AV217" s="37"/>
      <c r="AW217" s="38"/>
      <c r="AX217" s="37"/>
      <c r="AY217" s="38"/>
      <c r="AZ217" s="34" t="str">
        <f aca="false">IF($E217="","",COUNTA($E217,$F217,$G217,$J217,$L217,$Q217,$U217,$X217,$AM217,$AN217,$AP217,$AR217)/12)</f>
        <v/>
      </c>
      <c r="BA217" s="32" t="str">
        <f aca="false">IF($E217="","",IF(COUNTIF($E$3:$E$402,$E217)&gt;1,"DUPLICATE",""))</f>
        <v/>
      </c>
      <c r="BB217" s="17"/>
      <c r="BC217" s="35" t="str">
        <f aca="false">IF($E217="","",IFERROR(INDEX(SCORING!$C$6:$C$15,MATCH($J217,SCORING!$B$6:$B$15,0)),0)+IFERROR(INDEX(SCORING!$C$18:$C$20,MATCH($U217,SCORING!$B$18:$B$20,0)),0)+IFERROR(INDEX(SCORING!$C$23:$C$26,MATCH($X217,SCORING!$B$23:$B$26,0)),0)+IFERROR(INDEX(SCORING!$C$29:$C$32,MATCH($Q217,SCORING!$B$29:$B$32,0)),0)+IFERROR(INDEX(SCORING!$C$35:$C$37,MATCH($L217,SCORING!$B$35:$B$37,0)),0)+IF($AP217="",0,IF(AND($AQ217="Valid",$AO217="Decision maker"),SCORING!$C$40,IF($AQ217="Valid",SCORING!$C$41,SCORING!$C$42))))</f>
        <v/>
      </c>
      <c r="BD217" s="36" t="str">
        <f aca="false">IF($BC217="","",IF($BC217&gt;=SCORING!$C$46,"A",IF($BC217&gt;=SCORING!$C$47,"B",IF($BC217&gt;=SCORING!$C$48,"C","D"))))</f>
        <v/>
      </c>
      <c r="BE217" s="37"/>
    </row>
    <row r="218" customFormat="false" ht="15" hidden="false" customHeight="false" outlineLevel="0" collapsed="false">
      <c r="A218" s="37"/>
      <c r="B218" s="38"/>
      <c r="C218" s="37"/>
      <c r="D218" s="37"/>
      <c r="E218" s="17"/>
      <c r="F218" s="17"/>
      <c r="G218" s="37"/>
      <c r="H218" s="32" t="str">
        <f aca="false">IF($G218="","",IFERROR(INDEX(LISTS!$P$3:$P$145,MATCH($G218,LISTS!$O$3:$O$145,0)),"Other"))</f>
        <v/>
      </c>
      <c r="I218" s="37"/>
      <c r="J218" s="17"/>
      <c r="K218" s="17"/>
      <c r="L218" s="37"/>
      <c r="M218" s="37"/>
      <c r="N218" s="39"/>
      <c r="O218" s="37"/>
      <c r="P218" s="39"/>
      <c r="Q218" s="37"/>
      <c r="R218" s="39"/>
      <c r="S218" s="17"/>
      <c r="T218" s="17"/>
      <c r="U218" s="37"/>
      <c r="V218" s="37"/>
      <c r="W218" s="17"/>
      <c r="X218" s="37"/>
      <c r="Y218" s="17"/>
      <c r="Z218" s="39"/>
      <c r="AA218" s="39"/>
      <c r="AB218" s="37"/>
      <c r="AC218" s="37"/>
      <c r="AD218" s="38"/>
      <c r="AE218" s="37"/>
      <c r="AF218" s="37"/>
      <c r="AG218" s="37"/>
      <c r="AH218" s="37"/>
      <c r="AI218" s="17"/>
      <c r="AJ218" s="37"/>
      <c r="AK218" s="17"/>
      <c r="AL218" s="39"/>
      <c r="AM218" s="17"/>
      <c r="AN218" s="17"/>
      <c r="AO218" s="37"/>
      <c r="AP218" s="17"/>
      <c r="AQ218" s="37"/>
      <c r="AR218" s="37"/>
      <c r="AS218" s="37"/>
      <c r="AT218" s="17"/>
      <c r="AU218" s="37"/>
      <c r="AV218" s="37"/>
      <c r="AW218" s="38"/>
      <c r="AX218" s="37"/>
      <c r="AY218" s="38"/>
      <c r="AZ218" s="34" t="str">
        <f aca="false">IF($E218="","",COUNTA($E218,$F218,$G218,$J218,$L218,$Q218,$U218,$X218,$AM218,$AN218,$AP218,$AR218)/12)</f>
        <v/>
      </c>
      <c r="BA218" s="32" t="str">
        <f aca="false">IF($E218="","",IF(COUNTIF($E$3:$E$402,$E218)&gt;1,"DUPLICATE",""))</f>
        <v/>
      </c>
      <c r="BB218" s="17"/>
      <c r="BC218" s="35" t="str">
        <f aca="false">IF($E218="","",IFERROR(INDEX(SCORING!$C$6:$C$15,MATCH($J218,SCORING!$B$6:$B$15,0)),0)+IFERROR(INDEX(SCORING!$C$18:$C$20,MATCH($U218,SCORING!$B$18:$B$20,0)),0)+IFERROR(INDEX(SCORING!$C$23:$C$26,MATCH($X218,SCORING!$B$23:$B$26,0)),0)+IFERROR(INDEX(SCORING!$C$29:$C$32,MATCH($Q218,SCORING!$B$29:$B$32,0)),0)+IFERROR(INDEX(SCORING!$C$35:$C$37,MATCH($L218,SCORING!$B$35:$B$37,0)),0)+IF($AP218="",0,IF(AND($AQ218="Valid",$AO218="Decision maker"),SCORING!$C$40,IF($AQ218="Valid",SCORING!$C$41,SCORING!$C$42))))</f>
        <v/>
      </c>
      <c r="BD218" s="36" t="str">
        <f aca="false">IF($BC218="","",IF($BC218&gt;=SCORING!$C$46,"A",IF($BC218&gt;=SCORING!$C$47,"B",IF($BC218&gt;=SCORING!$C$48,"C","D"))))</f>
        <v/>
      </c>
      <c r="BE218" s="37"/>
    </row>
    <row r="219" customFormat="false" ht="15" hidden="false" customHeight="false" outlineLevel="0" collapsed="false">
      <c r="A219" s="37"/>
      <c r="B219" s="38"/>
      <c r="C219" s="37"/>
      <c r="D219" s="37"/>
      <c r="E219" s="17"/>
      <c r="F219" s="17"/>
      <c r="G219" s="37"/>
      <c r="H219" s="32" t="str">
        <f aca="false">IF($G219="","",IFERROR(INDEX(LISTS!$P$3:$P$145,MATCH($G219,LISTS!$O$3:$O$145,0)),"Other"))</f>
        <v/>
      </c>
      <c r="I219" s="37"/>
      <c r="J219" s="17"/>
      <c r="K219" s="17"/>
      <c r="L219" s="37"/>
      <c r="M219" s="37"/>
      <c r="N219" s="39"/>
      <c r="O219" s="37"/>
      <c r="P219" s="39"/>
      <c r="Q219" s="37"/>
      <c r="R219" s="39"/>
      <c r="S219" s="17"/>
      <c r="T219" s="17"/>
      <c r="U219" s="37"/>
      <c r="V219" s="37"/>
      <c r="W219" s="17"/>
      <c r="X219" s="37"/>
      <c r="Y219" s="17"/>
      <c r="Z219" s="39"/>
      <c r="AA219" s="39"/>
      <c r="AB219" s="37"/>
      <c r="AC219" s="37"/>
      <c r="AD219" s="38"/>
      <c r="AE219" s="37"/>
      <c r="AF219" s="37"/>
      <c r="AG219" s="37"/>
      <c r="AH219" s="37"/>
      <c r="AI219" s="17"/>
      <c r="AJ219" s="37"/>
      <c r="AK219" s="17"/>
      <c r="AL219" s="39"/>
      <c r="AM219" s="17"/>
      <c r="AN219" s="17"/>
      <c r="AO219" s="37"/>
      <c r="AP219" s="17"/>
      <c r="AQ219" s="37"/>
      <c r="AR219" s="37"/>
      <c r="AS219" s="37"/>
      <c r="AT219" s="17"/>
      <c r="AU219" s="37"/>
      <c r="AV219" s="37"/>
      <c r="AW219" s="38"/>
      <c r="AX219" s="37"/>
      <c r="AY219" s="38"/>
      <c r="AZ219" s="34" t="str">
        <f aca="false">IF($E219="","",COUNTA($E219,$F219,$G219,$J219,$L219,$Q219,$U219,$X219,$AM219,$AN219,$AP219,$AR219)/12)</f>
        <v/>
      </c>
      <c r="BA219" s="32" t="str">
        <f aca="false">IF($E219="","",IF(COUNTIF($E$3:$E$402,$E219)&gt;1,"DUPLICATE",""))</f>
        <v/>
      </c>
      <c r="BB219" s="17"/>
      <c r="BC219" s="35" t="str">
        <f aca="false">IF($E219="","",IFERROR(INDEX(SCORING!$C$6:$C$15,MATCH($J219,SCORING!$B$6:$B$15,0)),0)+IFERROR(INDEX(SCORING!$C$18:$C$20,MATCH($U219,SCORING!$B$18:$B$20,0)),0)+IFERROR(INDEX(SCORING!$C$23:$C$26,MATCH($X219,SCORING!$B$23:$B$26,0)),0)+IFERROR(INDEX(SCORING!$C$29:$C$32,MATCH($Q219,SCORING!$B$29:$B$32,0)),0)+IFERROR(INDEX(SCORING!$C$35:$C$37,MATCH($L219,SCORING!$B$35:$B$37,0)),0)+IF($AP219="",0,IF(AND($AQ219="Valid",$AO219="Decision maker"),SCORING!$C$40,IF($AQ219="Valid",SCORING!$C$41,SCORING!$C$42))))</f>
        <v/>
      </c>
      <c r="BD219" s="36" t="str">
        <f aca="false">IF($BC219="","",IF($BC219&gt;=SCORING!$C$46,"A",IF($BC219&gt;=SCORING!$C$47,"B",IF($BC219&gt;=SCORING!$C$48,"C","D"))))</f>
        <v/>
      </c>
      <c r="BE219" s="37"/>
    </row>
    <row r="220" customFormat="false" ht="15" hidden="false" customHeight="false" outlineLevel="0" collapsed="false">
      <c r="A220" s="37"/>
      <c r="B220" s="38"/>
      <c r="C220" s="37"/>
      <c r="D220" s="37"/>
      <c r="E220" s="17"/>
      <c r="F220" s="17"/>
      <c r="G220" s="37"/>
      <c r="H220" s="32" t="str">
        <f aca="false">IF($G220="","",IFERROR(INDEX(LISTS!$P$3:$P$145,MATCH($G220,LISTS!$O$3:$O$145,0)),"Other"))</f>
        <v/>
      </c>
      <c r="I220" s="37"/>
      <c r="J220" s="17"/>
      <c r="K220" s="17"/>
      <c r="L220" s="37"/>
      <c r="M220" s="37"/>
      <c r="N220" s="39"/>
      <c r="O220" s="37"/>
      <c r="P220" s="39"/>
      <c r="Q220" s="37"/>
      <c r="R220" s="39"/>
      <c r="S220" s="17"/>
      <c r="T220" s="17"/>
      <c r="U220" s="37"/>
      <c r="V220" s="37"/>
      <c r="W220" s="17"/>
      <c r="X220" s="37"/>
      <c r="Y220" s="17"/>
      <c r="Z220" s="39"/>
      <c r="AA220" s="39"/>
      <c r="AB220" s="37"/>
      <c r="AC220" s="37"/>
      <c r="AD220" s="38"/>
      <c r="AE220" s="37"/>
      <c r="AF220" s="37"/>
      <c r="AG220" s="37"/>
      <c r="AH220" s="37"/>
      <c r="AI220" s="17"/>
      <c r="AJ220" s="37"/>
      <c r="AK220" s="17"/>
      <c r="AL220" s="39"/>
      <c r="AM220" s="17"/>
      <c r="AN220" s="17"/>
      <c r="AO220" s="37"/>
      <c r="AP220" s="17"/>
      <c r="AQ220" s="37"/>
      <c r="AR220" s="37"/>
      <c r="AS220" s="37"/>
      <c r="AT220" s="17"/>
      <c r="AU220" s="37"/>
      <c r="AV220" s="37"/>
      <c r="AW220" s="38"/>
      <c r="AX220" s="37"/>
      <c r="AY220" s="38"/>
      <c r="AZ220" s="34" t="str">
        <f aca="false">IF($E220="","",COUNTA($E220,$F220,$G220,$J220,$L220,$Q220,$U220,$X220,$AM220,$AN220,$AP220,$AR220)/12)</f>
        <v/>
      </c>
      <c r="BA220" s="32" t="str">
        <f aca="false">IF($E220="","",IF(COUNTIF($E$3:$E$402,$E220)&gt;1,"DUPLICATE",""))</f>
        <v/>
      </c>
      <c r="BB220" s="17"/>
      <c r="BC220" s="35" t="str">
        <f aca="false">IF($E220="","",IFERROR(INDEX(SCORING!$C$6:$C$15,MATCH($J220,SCORING!$B$6:$B$15,0)),0)+IFERROR(INDEX(SCORING!$C$18:$C$20,MATCH($U220,SCORING!$B$18:$B$20,0)),0)+IFERROR(INDEX(SCORING!$C$23:$C$26,MATCH($X220,SCORING!$B$23:$B$26,0)),0)+IFERROR(INDEX(SCORING!$C$29:$C$32,MATCH($Q220,SCORING!$B$29:$B$32,0)),0)+IFERROR(INDEX(SCORING!$C$35:$C$37,MATCH($L220,SCORING!$B$35:$B$37,0)),0)+IF($AP220="",0,IF(AND($AQ220="Valid",$AO220="Decision maker"),SCORING!$C$40,IF($AQ220="Valid",SCORING!$C$41,SCORING!$C$42))))</f>
        <v/>
      </c>
      <c r="BD220" s="36" t="str">
        <f aca="false">IF($BC220="","",IF($BC220&gt;=SCORING!$C$46,"A",IF($BC220&gt;=SCORING!$C$47,"B",IF($BC220&gt;=SCORING!$C$48,"C","D"))))</f>
        <v/>
      </c>
      <c r="BE220" s="37"/>
    </row>
    <row r="221" customFormat="false" ht="15" hidden="false" customHeight="false" outlineLevel="0" collapsed="false">
      <c r="A221" s="37"/>
      <c r="B221" s="38"/>
      <c r="C221" s="37"/>
      <c r="D221" s="37"/>
      <c r="E221" s="17"/>
      <c r="F221" s="17"/>
      <c r="G221" s="37"/>
      <c r="H221" s="32" t="str">
        <f aca="false">IF($G221="","",IFERROR(INDEX(LISTS!$P$3:$P$145,MATCH($G221,LISTS!$O$3:$O$145,0)),"Other"))</f>
        <v/>
      </c>
      <c r="I221" s="37"/>
      <c r="J221" s="17"/>
      <c r="K221" s="17"/>
      <c r="L221" s="37"/>
      <c r="M221" s="37"/>
      <c r="N221" s="39"/>
      <c r="O221" s="37"/>
      <c r="P221" s="39"/>
      <c r="Q221" s="37"/>
      <c r="R221" s="39"/>
      <c r="S221" s="17"/>
      <c r="T221" s="17"/>
      <c r="U221" s="37"/>
      <c r="V221" s="37"/>
      <c r="W221" s="17"/>
      <c r="X221" s="37"/>
      <c r="Y221" s="17"/>
      <c r="Z221" s="39"/>
      <c r="AA221" s="39"/>
      <c r="AB221" s="37"/>
      <c r="AC221" s="37"/>
      <c r="AD221" s="38"/>
      <c r="AE221" s="37"/>
      <c r="AF221" s="37"/>
      <c r="AG221" s="37"/>
      <c r="AH221" s="37"/>
      <c r="AI221" s="17"/>
      <c r="AJ221" s="37"/>
      <c r="AK221" s="17"/>
      <c r="AL221" s="39"/>
      <c r="AM221" s="17"/>
      <c r="AN221" s="17"/>
      <c r="AO221" s="37"/>
      <c r="AP221" s="17"/>
      <c r="AQ221" s="37"/>
      <c r="AR221" s="37"/>
      <c r="AS221" s="37"/>
      <c r="AT221" s="17"/>
      <c r="AU221" s="37"/>
      <c r="AV221" s="37"/>
      <c r="AW221" s="38"/>
      <c r="AX221" s="37"/>
      <c r="AY221" s="38"/>
      <c r="AZ221" s="34" t="str">
        <f aca="false">IF($E221="","",COUNTA($E221,$F221,$G221,$J221,$L221,$Q221,$U221,$X221,$AM221,$AN221,$AP221,$AR221)/12)</f>
        <v/>
      </c>
      <c r="BA221" s="32" t="str">
        <f aca="false">IF($E221="","",IF(COUNTIF($E$3:$E$402,$E221)&gt;1,"DUPLICATE",""))</f>
        <v/>
      </c>
      <c r="BB221" s="17"/>
      <c r="BC221" s="35" t="str">
        <f aca="false">IF($E221="","",IFERROR(INDEX(SCORING!$C$6:$C$15,MATCH($J221,SCORING!$B$6:$B$15,0)),0)+IFERROR(INDEX(SCORING!$C$18:$C$20,MATCH($U221,SCORING!$B$18:$B$20,0)),0)+IFERROR(INDEX(SCORING!$C$23:$C$26,MATCH($X221,SCORING!$B$23:$B$26,0)),0)+IFERROR(INDEX(SCORING!$C$29:$C$32,MATCH($Q221,SCORING!$B$29:$B$32,0)),0)+IFERROR(INDEX(SCORING!$C$35:$C$37,MATCH($L221,SCORING!$B$35:$B$37,0)),0)+IF($AP221="",0,IF(AND($AQ221="Valid",$AO221="Decision maker"),SCORING!$C$40,IF($AQ221="Valid",SCORING!$C$41,SCORING!$C$42))))</f>
        <v/>
      </c>
      <c r="BD221" s="36" t="str">
        <f aca="false">IF($BC221="","",IF($BC221&gt;=SCORING!$C$46,"A",IF($BC221&gt;=SCORING!$C$47,"B",IF($BC221&gt;=SCORING!$C$48,"C","D"))))</f>
        <v/>
      </c>
      <c r="BE221" s="37"/>
    </row>
    <row r="222" customFormat="false" ht="15" hidden="false" customHeight="false" outlineLevel="0" collapsed="false">
      <c r="A222" s="37"/>
      <c r="B222" s="38"/>
      <c r="C222" s="37"/>
      <c r="D222" s="37"/>
      <c r="E222" s="17"/>
      <c r="F222" s="17"/>
      <c r="G222" s="37"/>
      <c r="H222" s="32" t="str">
        <f aca="false">IF($G222="","",IFERROR(INDEX(LISTS!$P$3:$P$145,MATCH($G222,LISTS!$O$3:$O$145,0)),"Other"))</f>
        <v/>
      </c>
      <c r="I222" s="37"/>
      <c r="J222" s="17"/>
      <c r="K222" s="17"/>
      <c r="L222" s="37"/>
      <c r="M222" s="37"/>
      <c r="N222" s="39"/>
      <c r="O222" s="37"/>
      <c r="P222" s="39"/>
      <c r="Q222" s="37"/>
      <c r="R222" s="39"/>
      <c r="S222" s="17"/>
      <c r="T222" s="17"/>
      <c r="U222" s="37"/>
      <c r="V222" s="37"/>
      <c r="W222" s="17"/>
      <c r="X222" s="37"/>
      <c r="Y222" s="17"/>
      <c r="Z222" s="39"/>
      <c r="AA222" s="39"/>
      <c r="AB222" s="37"/>
      <c r="AC222" s="37"/>
      <c r="AD222" s="38"/>
      <c r="AE222" s="37"/>
      <c r="AF222" s="37"/>
      <c r="AG222" s="37"/>
      <c r="AH222" s="37"/>
      <c r="AI222" s="17"/>
      <c r="AJ222" s="37"/>
      <c r="AK222" s="17"/>
      <c r="AL222" s="39"/>
      <c r="AM222" s="17"/>
      <c r="AN222" s="17"/>
      <c r="AO222" s="37"/>
      <c r="AP222" s="17"/>
      <c r="AQ222" s="37"/>
      <c r="AR222" s="37"/>
      <c r="AS222" s="37"/>
      <c r="AT222" s="17"/>
      <c r="AU222" s="37"/>
      <c r="AV222" s="37"/>
      <c r="AW222" s="38"/>
      <c r="AX222" s="37"/>
      <c r="AY222" s="38"/>
      <c r="AZ222" s="34" t="str">
        <f aca="false">IF($E222="","",COUNTA($E222,$F222,$G222,$J222,$L222,$Q222,$U222,$X222,$AM222,$AN222,$AP222,$AR222)/12)</f>
        <v/>
      </c>
      <c r="BA222" s="32" t="str">
        <f aca="false">IF($E222="","",IF(COUNTIF($E$3:$E$402,$E222)&gt;1,"DUPLICATE",""))</f>
        <v/>
      </c>
      <c r="BB222" s="17"/>
      <c r="BC222" s="35" t="str">
        <f aca="false">IF($E222="","",IFERROR(INDEX(SCORING!$C$6:$C$15,MATCH($J222,SCORING!$B$6:$B$15,0)),0)+IFERROR(INDEX(SCORING!$C$18:$C$20,MATCH($U222,SCORING!$B$18:$B$20,0)),0)+IFERROR(INDEX(SCORING!$C$23:$C$26,MATCH($X222,SCORING!$B$23:$B$26,0)),0)+IFERROR(INDEX(SCORING!$C$29:$C$32,MATCH($Q222,SCORING!$B$29:$B$32,0)),0)+IFERROR(INDEX(SCORING!$C$35:$C$37,MATCH($L222,SCORING!$B$35:$B$37,0)),0)+IF($AP222="",0,IF(AND($AQ222="Valid",$AO222="Decision maker"),SCORING!$C$40,IF($AQ222="Valid",SCORING!$C$41,SCORING!$C$42))))</f>
        <v/>
      </c>
      <c r="BD222" s="36" t="str">
        <f aca="false">IF($BC222="","",IF($BC222&gt;=SCORING!$C$46,"A",IF($BC222&gt;=SCORING!$C$47,"B",IF($BC222&gt;=SCORING!$C$48,"C","D"))))</f>
        <v/>
      </c>
      <c r="BE222" s="37"/>
    </row>
    <row r="223" customFormat="false" ht="15" hidden="false" customHeight="false" outlineLevel="0" collapsed="false">
      <c r="A223" s="37"/>
      <c r="B223" s="38"/>
      <c r="C223" s="37"/>
      <c r="D223" s="37"/>
      <c r="E223" s="17"/>
      <c r="F223" s="17"/>
      <c r="G223" s="37"/>
      <c r="H223" s="32" t="str">
        <f aca="false">IF($G223="","",IFERROR(INDEX(LISTS!$P$3:$P$145,MATCH($G223,LISTS!$O$3:$O$145,0)),"Other"))</f>
        <v/>
      </c>
      <c r="I223" s="37"/>
      <c r="J223" s="17"/>
      <c r="K223" s="17"/>
      <c r="L223" s="37"/>
      <c r="M223" s="37"/>
      <c r="N223" s="39"/>
      <c r="O223" s="37"/>
      <c r="P223" s="39"/>
      <c r="Q223" s="37"/>
      <c r="R223" s="39"/>
      <c r="S223" s="17"/>
      <c r="T223" s="17"/>
      <c r="U223" s="37"/>
      <c r="V223" s="37"/>
      <c r="W223" s="17"/>
      <c r="X223" s="37"/>
      <c r="Y223" s="17"/>
      <c r="Z223" s="39"/>
      <c r="AA223" s="39"/>
      <c r="AB223" s="37"/>
      <c r="AC223" s="37"/>
      <c r="AD223" s="38"/>
      <c r="AE223" s="37"/>
      <c r="AF223" s="37"/>
      <c r="AG223" s="37"/>
      <c r="AH223" s="37"/>
      <c r="AI223" s="17"/>
      <c r="AJ223" s="37"/>
      <c r="AK223" s="17"/>
      <c r="AL223" s="39"/>
      <c r="AM223" s="17"/>
      <c r="AN223" s="17"/>
      <c r="AO223" s="37"/>
      <c r="AP223" s="17"/>
      <c r="AQ223" s="37"/>
      <c r="AR223" s="37"/>
      <c r="AS223" s="37"/>
      <c r="AT223" s="17"/>
      <c r="AU223" s="37"/>
      <c r="AV223" s="37"/>
      <c r="AW223" s="38"/>
      <c r="AX223" s="37"/>
      <c r="AY223" s="38"/>
      <c r="AZ223" s="34" t="str">
        <f aca="false">IF($E223="","",COUNTA($E223,$F223,$G223,$J223,$L223,$Q223,$U223,$X223,$AM223,$AN223,$AP223,$AR223)/12)</f>
        <v/>
      </c>
      <c r="BA223" s="32" t="str">
        <f aca="false">IF($E223="","",IF(COUNTIF($E$3:$E$402,$E223)&gt;1,"DUPLICATE",""))</f>
        <v/>
      </c>
      <c r="BB223" s="17"/>
      <c r="BC223" s="35" t="str">
        <f aca="false">IF($E223="","",IFERROR(INDEX(SCORING!$C$6:$C$15,MATCH($J223,SCORING!$B$6:$B$15,0)),0)+IFERROR(INDEX(SCORING!$C$18:$C$20,MATCH($U223,SCORING!$B$18:$B$20,0)),0)+IFERROR(INDEX(SCORING!$C$23:$C$26,MATCH($X223,SCORING!$B$23:$B$26,0)),0)+IFERROR(INDEX(SCORING!$C$29:$C$32,MATCH($Q223,SCORING!$B$29:$B$32,0)),0)+IFERROR(INDEX(SCORING!$C$35:$C$37,MATCH($L223,SCORING!$B$35:$B$37,0)),0)+IF($AP223="",0,IF(AND($AQ223="Valid",$AO223="Decision maker"),SCORING!$C$40,IF($AQ223="Valid",SCORING!$C$41,SCORING!$C$42))))</f>
        <v/>
      </c>
      <c r="BD223" s="36" t="str">
        <f aca="false">IF($BC223="","",IF($BC223&gt;=SCORING!$C$46,"A",IF($BC223&gt;=SCORING!$C$47,"B",IF($BC223&gt;=SCORING!$C$48,"C","D"))))</f>
        <v/>
      </c>
      <c r="BE223" s="37"/>
    </row>
    <row r="224" customFormat="false" ht="15" hidden="false" customHeight="false" outlineLevel="0" collapsed="false">
      <c r="A224" s="37"/>
      <c r="B224" s="38"/>
      <c r="C224" s="37"/>
      <c r="D224" s="37"/>
      <c r="E224" s="17"/>
      <c r="F224" s="17"/>
      <c r="G224" s="37"/>
      <c r="H224" s="32" t="str">
        <f aca="false">IF($G224="","",IFERROR(INDEX(LISTS!$P$3:$P$145,MATCH($G224,LISTS!$O$3:$O$145,0)),"Other"))</f>
        <v/>
      </c>
      <c r="I224" s="37"/>
      <c r="J224" s="17"/>
      <c r="K224" s="17"/>
      <c r="L224" s="37"/>
      <c r="M224" s="37"/>
      <c r="N224" s="39"/>
      <c r="O224" s="37"/>
      <c r="P224" s="39"/>
      <c r="Q224" s="37"/>
      <c r="R224" s="39"/>
      <c r="S224" s="17"/>
      <c r="T224" s="17"/>
      <c r="U224" s="37"/>
      <c r="V224" s="37"/>
      <c r="W224" s="17"/>
      <c r="X224" s="37"/>
      <c r="Y224" s="17"/>
      <c r="Z224" s="39"/>
      <c r="AA224" s="39"/>
      <c r="AB224" s="37"/>
      <c r="AC224" s="37"/>
      <c r="AD224" s="38"/>
      <c r="AE224" s="37"/>
      <c r="AF224" s="37"/>
      <c r="AG224" s="37"/>
      <c r="AH224" s="37"/>
      <c r="AI224" s="17"/>
      <c r="AJ224" s="37"/>
      <c r="AK224" s="17"/>
      <c r="AL224" s="39"/>
      <c r="AM224" s="17"/>
      <c r="AN224" s="17"/>
      <c r="AO224" s="37"/>
      <c r="AP224" s="17"/>
      <c r="AQ224" s="37"/>
      <c r="AR224" s="37"/>
      <c r="AS224" s="37"/>
      <c r="AT224" s="17"/>
      <c r="AU224" s="37"/>
      <c r="AV224" s="37"/>
      <c r="AW224" s="38"/>
      <c r="AX224" s="37"/>
      <c r="AY224" s="38"/>
      <c r="AZ224" s="34" t="str">
        <f aca="false">IF($E224="","",COUNTA($E224,$F224,$G224,$J224,$L224,$Q224,$U224,$X224,$AM224,$AN224,$AP224,$AR224)/12)</f>
        <v/>
      </c>
      <c r="BA224" s="32" t="str">
        <f aca="false">IF($E224="","",IF(COUNTIF($E$3:$E$402,$E224)&gt;1,"DUPLICATE",""))</f>
        <v/>
      </c>
      <c r="BB224" s="17"/>
      <c r="BC224" s="35" t="str">
        <f aca="false">IF($E224="","",IFERROR(INDEX(SCORING!$C$6:$C$15,MATCH($J224,SCORING!$B$6:$B$15,0)),0)+IFERROR(INDEX(SCORING!$C$18:$C$20,MATCH($U224,SCORING!$B$18:$B$20,0)),0)+IFERROR(INDEX(SCORING!$C$23:$C$26,MATCH($X224,SCORING!$B$23:$B$26,0)),0)+IFERROR(INDEX(SCORING!$C$29:$C$32,MATCH($Q224,SCORING!$B$29:$B$32,0)),0)+IFERROR(INDEX(SCORING!$C$35:$C$37,MATCH($L224,SCORING!$B$35:$B$37,0)),0)+IF($AP224="",0,IF(AND($AQ224="Valid",$AO224="Decision maker"),SCORING!$C$40,IF($AQ224="Valid",SCORING!$C$41,SCORING!$C$42))))</f>
        <v/>
      </c>
      <c r="BD224" s="36" t="str">
        <f aca="false">IF($BC224="","",IF($BC224&gt;=SCORING!$C$46,"A",IF($BC224&gt;=SCORING!$C$47,"B",IF($BC224&gt;=SCORING!$C$48,"C","D"))))</f>
        <v/>
      </c>
      <c r="BE224" s="37"/>
    </row>
    <row r="225" customFormat="false" ht="15" hidden="false" customHeight="false" outlineLevel="0" collapsed="false">
      <c r="A225" s="37"/>
      <c r="B225" s="38"/>
      <c r="C225" s="37"/>
      <c r="D225" s="37"/>
      <c r="E225" s="17"/>
      <c r="F225" s="17"/>
      <c r="G225" s="37"/>
      <c r="H225" s="32" t="str">
        <f aca="false">IF($G225="","",IFERROR(INDEX(LISTS!$P$3:$P$145,MATCH($G225,LISTS!$O$3:$O$145,0)),"Other"))</f>
        <v/>
      </c>
      <c r="I225" s="37"/>
      <c r="J225" s="17"/>
      <c r="K225" s="17"/>
      <c r="L225" s="37"/>
      <c r="M225" s="37"/>
      <c r="N225" s="39"/>
      <c r="O225" s="37"/>
      <c r="P225" s="39"/>
      <c r="Q225" s="37"/>
      <c r="R225" s="39"/>
      <c r="S225" s="17"/>
      <c r="T225" s="17"/>
      <c r="U225" s="37"/>
      <c r="V225" s="37"/>
      <c r="W225" s="17"/>
      <c r="X225" s="37"/>
      <c r="Y225" s="17"/>
      <c r="Z225" s="39"/>
      <c r="AA225" s="39"/>
      <c r="AB225" s="37"/>
      <c r="AC225" s="37"/>
      <c r="AD225" s="38"/>
      <c r="AE225" s="37"/>
      <c r="AF225" s="37"/>
      <c r="AG225" s="37"/>
      <c r="AH225" s="37"/>
      <c r="AI225" s="17"/>
      <c r="AJ225" s="37"/>
      <c r="AK225" s="17"/>
      <c r="AL225" s="39"/>
      <c r="AM225" s="17"/>
      <c r="AN225" s="17"/>
      <c r="AO225" s="37"/>
      <c r="AP225" s="17"/>
      <c r="AQ225" s="37"/>
      <c r="AR225" s="37"/>
      <c r="AS225" s="37"/>
      <c r="AT225" s="17"/>
      <c r="AU225" s="37"/>
      <c r="AV225" s="37"/>
      <c r="AW225" s="38"/>
      <c r="AX225" s="37"/>
      <c r="AY225" s="38"/>
      <c r="AZ225" s="34" t="str">
        <f aca="false">IF($E225="","",COUNTA($E225,$F225,$G225,$J225,$L225,$Q225,$U225,$X225,$AM225,$AN225,$AP225,$AR225)/12)</f>
        <v/>
      </c>
      <c r="BA225" s="32" t="str">
        <f aca="false">IF($E225="","",IF(COUNTIF($E$3:$E$402,$E225)&gt;1,"DUPLICATE",""))</f>
        <v/>
      </c>
      <c r="BB225" s="17"/>
      <c r="BC225" s="35" t="str">
        <f aca="false">IF($E225="","",IFERROR(INDEX(SCORING!$C$6:$C$15,MATCH($J225,SCORING!$B$6:$B$15,0)),0)+IFERROR(INDEX(SCORING!$C$18:$C$20,MATCH($U225,SCORING!$B$18:$B$20,0)),0)+IFERROR(INDEX(SCORING!$C$23:$C$26,MATCH($X225,SCORING!$B$23:$B$26,0)),0)+IFERROR(INDEX(SCORING!$C$29:$C$32,MATCH($Q225,SCORING!$B$29:$B$32,0)),0)+IFERROR(INDEX(SCORING!$C$35:$C$37,MATCH($L225,SCORING!$B$35:$B$37,0)),0)+IF($AP225="",0,IF(AND($AQ225="Valid",$AO225="Decision maker"),SCORING!$C$40,IF($AQ225="Valid",SCORING!$C$41,SCORING!$C$42))))</f>
        <v/>
      </c>
      <c r="BD225" s="36" t="str">
        <f aca="false">IF($BC225="","",IF($BC225&gt;=SCORING!$C$46,"A",IF($BC225&gt;=SCORING!$C$47,"B",IF($BC225&gt;=SCORING!$C$48,"C","D"))))</f>
        <v/>
      </c>
      <c r="BE225" s="37"/>
    </row>
    <row r="226" customFormat="false" ht="15" hidden="false" customHeight="false" outlineLevel="0" collapsed="false">
      <c r="A226" s="37"/>
      <c r="B226" s="38"/>
      <c r="C226" s="37"/>
      <c r="D226" s="37"/>
      <c r="E226" s="17"/>
      <c r="F226" s="17"/>
      <c r="G226" s="37"/>
      <c r="H226" s="32" t="str">
        <f aca="false">IF($G226="","",IFERROR(INDEX(LISTS!$P$3:$P$145,MATCH($G226,LISTS!$O$3:$O$145,0)),"Other"))</f>
        <v/>
      </c>
      <c r="I226" s="37"/>
      <c r="J226" s="17"/>
      <c r="K226" s="17"/>
      <c r="L226" s="37"/>
      <c r="M226" s="37"/>
      <c r="N226" s="39"/>
      <c r="O226" s="37"/>
      <c r="P226" s="39"/>
      <c r="Q226" s="37"/>
      <c r="R226" s="39"/>
      <c r="S226" s="17"/>
      <c r="T226" s="17"/>
      <c r="U226" s="37"/>
      <c r="V226" s="37"/>
      <c r="W226" s="17"/>
      <c r="X226" s="37"/>
      <c r="Y226" s="17"/>
      <c r="Z226" s="39"/>
      <c r="AA226" s="39"/>
      <c r="AB226" s="37"/>
      <c r="AC226" s="37"/>
      <c r="AD226" s="38"/>
      <c r="AE226" s="37"/>
      <c r="AF226" s="37"/>
      <c r="AG226" s="37"/>
      <c r="AH226" s="37"/>
      <c r="AI226" s="17"/>
      <c r="AJ226" s="37"/>
      <c r="AK226" s="17"/>
      <c r="AL226" s="39"/>
      <c r="AM226" s="17"/>
      <c r="AN226" s="17"/>
      <c r="AO226" s="37"/>
      <c r="AP226" s="17"/>
      <c r="AQ226" s="37"/>
      <c r="AR226" s="37"/>
      <c r="AS226" s="37"/>
      <c r="AT226" s="17"/>
      <c r="AU226" s="37"/>
      <c r="AV226" s="37"/>
      <c r="AW226" s="38"/>
      <c r="AX226" s="37"/>
      <c r="AY226" s="38"/>
      <c r="AZ226" s="34" t="str">
        <f aca="false">IF($E226="","",COUNTA($E226,$F226,$G226,$J226,$L226,$Q226,$U226,$X226,$AM226,$AN226,$AP226,$AR226)/12)</f>
        <v/>
      </c>
      <c r="BA226" s="32" t="str">
        <f aca="false">IF($E226="","",IF(COUNTIF($E$3:$E$402,$E226)&gt;1,"DUPLICATE",""))</f>
        <v/>
      </c>
      <c r="BB226" s="17"/>
      <c r="BC226" s="35" t="str">
        <f aca="false">IF($E226="","",IFERROR(INDEX(SCORING!$C$6:$C$15,MATCH($J226,SCORING!$B$6:$B$15,0)),0)+IFERROR(INDEX(SCORING!$C$18:$C$20,MATCH($U226,SCORING!$B$18:$B$20,0)),0)+IFERROR(INDEX(SCORING!$C$23:$C$26,MATCH($X226,SCORING!$B$23:$B$26,0)),0)+IFERROR(INDEX(SCORING!$C$29:$C$32,MATCH($Q226,SCORING!$B$29:$B$32,0)),0)+IFERROR(INDEX(SCORING!$C$35:$C$37,MATCH($L226,SCORING!$B$35:$B$37,0)),0)+IF($AP226="",0,IF(AND($AQ226="Valid",$AO226="Decision maker"),SCORING!$C$40,IF($AQ226="Valid",SCORING!$C$41,SCORING!$C$42))))</f>
        <v/>
      </c>
      <c r="BD226" s="36" t="str">
        <f aca="false">IF($BC226="","",IF($BC226&gt;=SCORING!$C$46,"A",IF($BC226&gt;=SCORING!$C$47,"B",IF($BC226&gt;=SCORING!$C$48,"C","D"))))</f>
        <v/>
      </c>
      <c r="BE226" s="37"/>
    </row>
    <row r="227" customFormat="false" ht="15" hidden="false" customHeight="false" outlineLevel="0" collapsed="false">
      <c r="A227" s="37"/>
      <c r="B227" s="38"/>
      <c r="C227" s="37"/>
      <c r="D227" s="37"/>
      <c r="E227" s="17"/>
      <c r="F227" s="17"/>
      <c r="G227" s="37"/>
      <c r="H227" s="32" t="str">
        <f aca="false">IF($G227="","",IFERROR(INDEX(LISTS!$P$3:$P$145,MATCH($G227,LISTS!$O$3:$O$145,0)),"Other"))</f>
        <v/>
      </c>
      <c r="I227" s="37"/>
      <c r="J227" s="17"/>
      <c r="K227" s="17"/>
      <c r="L227" s="37"/>
      <c r="M227" s="37"/>
      <c r="N227" s="39"/>
      <c r="O227" s="37"/>
      <c r="P227" s="39"/>
      <c r="Q227" s="37"/>
      <c r="R227" s="39"/>
      <c r="S227" s="17"/>
      <c r="T227" s="17"/>
      <c r="U227" s="37"/>
      <c r="V227" s="37"/>
      <c r="W227" s="17"/>
      <c r="X227" s="37"/>
      <c r="Y227" s="17"/>
      <c r="Z227" s="39"/>
      <c r="AA227" s="39"/>
      <c r="AB227" s="37"/>
      <c r="AC227" s="37"/>
      <c r="AD227" s="38"/>
      <c r="AE227" s="37"/>
      <c r="AF227" s="37"/>
      <c r="AG227" s="37"/>
      <c r="AH227" s="37"/>
      <c r="AI227" s="17"/>
      <c r="AJ227" s="37"/>
      <c r="AK227" s="17"/>
      <c r="AL227" s="39"/>
      <c r="AM227" s="17"/>
      <c r="AN227" s="17"/>
      <c r="AO227" s="37"/>
      <c r="AP227" s="17"/>
      <c r="AQ227" s="37"/>
      <c r="AR227" s="37"/>
      <c r="AS227" s="37"/>
      <c r="AT227" s="17"/>
      <c r="AU227" s="37"/>
      <c r="AV227" s="37"/>
      <c r="AW227" s="38"/>
      <c r="AX227" s="37"/>
      <c r="AY227" s="38"/>
      <c r="AZ227" s="34" t="str">
        <f aca="false">IF($E227="","",COUNTA($E227,$F227,$G227,$J227,$L227,$Q227,$U227,$X227,$AM227,$AN227,$AP227,$AR227)/12)</f>
        <v/>
      </c>
      <c r="BA227" s="32" t="str">
        <f aca="false">IF($E227="","",IF(COUNTIF($E$3:$E$402,$E227)&gt;1,"DUPLICATE",""))</f>
        <v/>
      </c>
      <c r="BB227" s="17"/>
      <c r="BC227" s="35" t="str">
        <f aca="false">IF($E227="","",IFERROR(INDEX(SCORING!$C$6:$C$15,MATCH($J227,SCORING!$B$6:$B$15,0)),0)+IFERROR(INDEX(SCORING!$C$18:$C$20,MATCH($U227,SCORING!$B$18:$B$20,0)),0)+IFERROR(INDEX(SCORING!$C$23:$C$26,MATCH($X227,SCORING!$B$23:$B$26,0)),0)+IFERROR(INDEX(SCORING!$C$29:$C$32,MATCH($Q227,SCORING!$B$29:$B$32,0)),0)+IFERROR(INDEX(SCORING!$C$35:$C$37,MATCH($L227,SCORING!$B$35:$B$37,0)),0)+IF($AP227="",0,IF(AND($AQ227="Valid",$AO227="Decision maker"),SCORING!$C$40,IF($AQ227="Valid",SCORING!$C$41,SCORING!$C$42))))</f>
        <v/>
      </c>
      <c r="BD227" s="36" t="str">
        <f aca="false">IF($BC227="","",IF($BC227&gt;=SCORING!$C$46,"A",IF($BC227&gt;=SCORING!$C$47,"B",IF($BC227&gt;=SCORING!$C$48,"C","D"))))</f>
        <v/>
      </c>
      <c r="BE227" s="37"/>
    </row>
    <row r="228" customFormat="false" ht="15" hidden="false" customHeight="false" outlineLevel="0" collapsed="false">
      <c r="A228" s="37"/>
      <c r="B228" s="38"/>
      <c r="C228" s="37"/>
      <c r="D228" s="37"/>
      <c r="E228" s="17"/>
      <c r="F228" s="17"/>
      <c r="G228" s="37"/>
      <c r="H228" s="32" t="str">
        <f aca="false">IF($G228="","",IFERROR(INDEX(LISTS!$P$3:$P$145,MATCH($G228,LISTS!$O$3:$O$145,0)),"Other"))</f>
        <v/>
      </c>
      <c r="I228" s="37"/>
      <c r="J228" s="17"/>
      <c r="K228" s="17"/>
      <c r="L228" s="37"/>
      <c r="M228" s="37"/>
      <c r="N228" s="39"/>
      <c r="O228" s="37"/>
      <c r="P228" s="39"/>
      <c r="Q228" s="37"/>
      <c r="R228" s="39"/>
      <c r="S228" s="17"/>
      <c r="T228" s="17"/>
      <c r="U228" s="37"/>
      <c r="V228" s="37"/>
      <c r="W228" s="17"/>
      <c r="X228" s="37"/>
      <c r="Y228" s="17"/>
      <c r="Z228" s="39"/>
      <c r="AA228" s="39"/>
      <c r="AB228" s="37"/>
      <c r="AC228" s="37"/>
      <c r="AD228" s="38"/>
      <c r="AE228" s="37"/>
      <c r="AF228" s="37"/>
      <c r="AG228" s="37"/>
      <c r="AH228" s="37"/>
      <c r="AI228" s="17"/>
      <c r="AJ228" s="37"/>
      <c r="AK228" s="17"/>
      <c r="AL228" s="39"/>
      <c r="AM228" s="17"/>
      <c r="AN228" s="17"/>
      <c r="AO228" s="37"/>
      <c r="AP228" s="17"/>
      <c r="AQ228" s="37"/>
      <c r="AR228" s="37"/>
      <c r="AS228" s="37"/>
      <c r="AT228" s="17"/>
      <c r="AU228" s="37"/>
      <c r="AV228" s="37"/>
      <c r="AW228" s="38"/>
      <c r="AX228" s="37"/>
      <c r="AY228" s="38"/>
      <c r="AZ228" s="34" t="str">
        <f aca="false">IF($E228="","",COUNTA($E228,$F228,$G228,$J228,$L228,$Q228,$U228,$X228,$AM228,$AN228,$AP228,$AR228)/12)</f>
        <v/>
      </c>
      <c r="BA228" s="32" t="str">
        <f aca="false">IF($E228="","",IF(COUNTIF($E$3:$E$402,$E228)&gt;1,"DUPLICATE",""))</f>
        <v/>
      </c>
      <c r="BB228" s="17"/>
      <c r="BC228" s="35" t="str">
        <f aca="false">IF($E228="","",IFERROR(INDEX(SCORING!$C$6:$C$15,MATCH($J228,SCORING!$B$6:$B$15,0)),0)+IFERROR(INDEX(SCORING!$C$18:$C$20,MATCH($U228,SCORING!$B$18:$B$20,0)),0)+IFERROR(INDEX(SCORING!$C$23:$C$26,MATCH($X228,SCORING!$B$23:$B$26,0)),0)+IFERROR(INDEX(SCORING!$C$29:$C$32,MATCH($Q228,SCORING!$B$29:$B$32,0)),0)+IFERROR(INDEX(SCORING!$C$35:$C$37,MATCH($L228,SCORING!$B$35:$B$37,0)),0)+IF($AP228="",0,IF(AND($AQ228="Valid",$AO228="Decision maker"),SCORING!$C$40,IF($AQ228="Valid",SCORING!$C$41,SCORING!$C$42))))</f>
        <v/>
      </c>
      <c r="BD228" s="36" t="str">
        <f aca="false">IF($BC228="","",IF($BC228&gt;=SCORING!$C$46,"A",IF($BC228&gt;=SCORING!$C$47,"B",IF($BC228&gt;=SCORING!$C$48,"C","D"))))</f>
        <v/>
      </c>
      <c r="BE228" s="37"/>
    </row>
    <row r="229" customFormat="false" ht="15" hidden="false" customHeight="false" outlineLevel="0" collapsed="false">
      <c r="A229" s="37"/>
      <c r="B229" s="38"/>
      <c r="C229" s="37"/>
      <c r="D229" s="37"/>
      <c r="E229" s="17"/>
      <c r="F229" s="17"/>
      <c r="G229" s="37"/>
      <c r="H229" s="32" t="str">
        <f aca="false">IF($G229="","",IFERROR(INDEX(LISTS!$P$3:$P$145,MATCH($G229,LISTS!$O$3:$O$145,0)),"Other"))</f>
        <v/>
      </c>
      <c r="I229" s="37"/>
      <c r="J229" s="17"/>
      <c r="K229" s="17"/>
      <c r="L229" s="37"/>
      <c r="M229" s="37"/>
      <c r="N229" s="39"/>
      <c r="O229" s="37"/>
      <c r="P229" s="39"/>
      <c r="Q229" s="37"/>
      <c r="R229" s="39"/>
      <c r="S229" s="17"/>
      <c r="T229" s="17"/>
      <c r="U229" s="37"/>
      <c r="V229" s="37"/>
      <c r="W229" s="17"/>
      <c r="X229" s="37"/>
      <c r="Y229" s="17"/>
      <c r="Z229" s="39"/>
      <c r="AA229" s="39"/>
      <c r="AB229" s="37"/>
      <c r="AC229" s="37"/>
      <c r="AD229" s="38"/>
      <c r="AE229" s="37"/>
      <c r="AF229" s="37"/>
      <c r="AG229" s="37"/>
      <c r="AH229" s="37"/>
      <c r="AI229" s="17"/>
      <c r="AJ229" s="37"/>
      <c r="AK229" s="17"/>
      <c r="AL229" s="39"/>
      <c r="AM229" s="17"/>
      <c r="AN229" s="17"/>
      <c r="AO229" s="37"/>
      <c r="AP229" s="17"/>
      <c r="AQ229" s="37"/>
      <c r="AR229" s="37"/>
      <c r="AS229" s="37"/>
      <c r="AT229" s="17"/>
      <c r="AU229" s="37"/>
      <c r="AV229" s="37"/>
      <c r="AW229" s="38"/>
      <c r="AX229" s="37"/>
      <c r="AY229" s="38"/>
      <c r="AZ229" s="34" t="str">
        <f aca="false">IF($E229="","",COUNTA($E229,$F229,$G229,$J229,$L229,$Q229,$U229,$X229,$AM229,$AN229,$AP229,$AR229)/12)</f>
        <v/>
      </c>
      <c r="BA229" s="32" t="str">
        <f aca="false">IF($E229="","",IF(COUNTIF($E$3:$E$402,$E229)&gt;1,"DUPLICATE",""))</f>
        <v/>
      </c>
      <c r="BB229" s="17"/>
      <c r="BC229" s="35" t="str">
        <f aca="false">IF($E229="","",IFERROR(INDEX(SCORING!$C$6:$C$15,MATCH($J229,SCORING!$B$6:$B$15,0)),0)+IFERROR(INDEX(SCORING!$C$18:$C$20,MATCH($U229,SCORING!$B$18:$B$20,0)),0)+IFERROR(INDEX(SCORING!$C$23:$C$26,MATCH($X229,SCORING!$B$23:$B$26,0)),0)+IFERROR(INDEX(SCORING!$C$29:$C$32,MATCH($Q229,SCORING!$B$29:$B$32,0)),0)+IFERROR(INDEX(SCORING!$C$35:$C$37,MATCH($L229,SCORING!$B$35:$B$37,0)),0)+IF($AP229="",0,IF(AND($AQ229="Valid",$AO229="Decision maker"),SCORING!$C$40,IF($AQ229="Valid",SCORING!$C$41,SCORING!$C$42))))</f>
        <v/>
      </c>
      <c r="BD229" s="36" t="str">
        <f aca="false">IF($BC229="","",IF($BC229&gt;=SCORING!$C$46,"A",IF($BC229&gt;=SCORING!$C$47,"B",IF($BC229&gt;=SCORING!$C$48,"C","D"))))</f>
        <v/>
      </c>
      <c r="BE229" s="37"/>
    </row>
    <row r="230" customFormat="false" ht="15" hidden="false" customHeight="false" outlineLevel="0" collapsed="false">
      <c r="A230" s="37"/>
      <c r="B230" s="38"/>
      <c r="C230" s="37"/>
      <c r="D230" s="37"/>
      <c r="E230" s="17"/>
      <c r="F230" s="17"/>
      <c r="G230" s="37"/>
      <c r="H230" s="32" t="str">
        <f aca="false">IF($G230="","",IFERROR(INDEX(LISTS!$P$3:$P$145,MATCH($G230,LISTS!$O$3:$O$145,0)),"Other"))</f>
        <v/>
      </c>
      <c r="I230" s="37"/>
      <c r="J230" s="17"/>
      <c r="K230" s="17"/>
      <c r="L230" s="37"/>
      <c r="M230" s="37"/>
      <c r="N230" s="39"/>
      <c r="O230" s="37"/>
      <c r="P230" s="39"/>
      <c r="Q230" s="37"/>
      <c r="R230" s="39"/>
      <c r="S230" s="17"/>
      <c r="T230" s="17"/>
      <c r="U230" s="37"/>
      <c r="V230" s="37"/>
      <c r="W230" s="17"/>
      <c r="X230" s="37"/>
      <c r="Y230" s="17"/>
      <c r="Z230" s="39"/>
      <c r="AA230" s="39"/>
      <c r="AB230" s="37"/>
      <c r="AC230" s="37"/>
      <c r="AD230" s="38"/>
      <c r="AE230" s="37"/>
      <c r="AF230" s="37"/>
      <c r="AG230" s="37"/>
      <c r="AH230" s="37"/>
      <c r="AI230" s="17"/>
      <c r="AJ230" s="37"/>
      <c r="AK230" s="17"/>
      <c r="AL230" s="39"/>
      <c r="AM230" s="17"/>
      <c r="AN230" s="17"/>
      <c r="AO230" s="37"/>
      <c r="AP230" s="17"/>
      <c r="AQ230" s="37"/>
      <c r="AR230" s="37"/>
      <c r="AS230" s="37"/>
      <c r="AT230" s="17"/>
      <c r="AU230" s="37"/>
      <c r="AV230" s="37"/>
      <c r="AW230" s="38"/>
      <c r="AX230" s="37"/>
      <c r="AY230" s="38"/>
      <c r="AZ230" s="34" t="str">
        <f aca="false">IF($E230="","",COUNTA($E230,$F230,$G230,$J230,$L230,$Q230,$U230,$X230,$AM230,$AN230,$AP230,$AR230)/12)</f>
        <v/>
      </c>
      <c r="BA230" s="32" t="str">
        <f aca="false">IF($E230="","",IF(COUNTIF($E$3:$E$402,$E230)&gt;1,"DUPLICATE",""))</f>
        <v/>
      </c>
      <c r="BB230" s="17"/>
      <c r="BC230" s="35" t="str">
        <f aca="false">IF($E230="","",IFERROR(INDEX(SCORING!$C$6:$C$15,MATCH($J230,SCORING!$B$6:$B$15,0)),0)+IFERROR(INDEX(SCORING!$C$18:$C$20,MATCH($U230,SCORING!$B$18:$B$20,0)),0)+IFERROR(INDEX(SCORING!$C$23:$C$26,MATCH($X230,SCORING!$B$23:$B$26,0)),0)+IFERROR(INDEX(SCORING!$C$29:$C$32,MATCH($Q230,SCORING!$B$29:$B$32,0)),0)+IFERROR(INDEX(SCORING!$C$35:$C$37,MATCH($L230,SCORING!$B$35:$B$37,0)),0)+IF($AP230="",0,IF(AND($AQ230="Valid",$AO230="Decision maker"),SCORING!$C$40,IF($AQ230="Valid",SCORING!$C$41,SCORING!$C$42))))</f>
        <v/>
      </c>
      <c r="BD230" s="36" t="str">
        <f aca="false">IF($BC230="","",IF($BC230&gt;=SCORING!$C$46,"A",IF($BC230&gt;=SCORING!$C$47,"B",IF($BC230&gt;=SCORING!$C$48,"C","D"))))</f>
        <v/>
      </c>
      <c r="BE230" s="37"/>
    </row>
    <row r="231" customFormat="false" ht="15" hidden="false" customHeight="false" outlineLevel="0" collapsed="false">
      <c r="A231" s="37"/>
      <c r="B231" s="38"/>
      <c r="C231" s="37"/>
      <c r="D231" s="37"/>
      <c r="E231" s="17"/>
      <c r="F231" s="17"/>
      <c r="G231" s="37"/>
      <c r="H231" s="32" t="str">
        <f aca="false">IF($G231="","",IFERROR(INDEX(LISTS!$P$3:$P$145,MATCH($G231,LISTS!$O$3:$O$145,0)),"Other"))</f>
        <v/>
      </c>
      <c r="I231" s="37"/>
      <c r="J231" s="17"/>
      <c r="K231" s="17"/>
      <c r="L231" s="37"/>
      <c r="M231" s="37"/>
      <c r="N231" s="39"/>
      <c r="O231" s="37"/>
      <c r="P231" s="39"/>
      <c r="Q231" s="37"/>
      <c r="R231" s="39"/>
      <c r="S231" s="17"/>
      <c r="T231" s="17"/>
      <c r="U231" s="37"/>
      <c r="V231" s="37"/>
      <c r="W231" s="17"/>
      <c r="X231" s="37"/>
      <c r="Y231" s="17"/>
      <c r="Z231" s="39"/>
      <c r="AA231" s="39"/>
      <c r="AB231" s="37"/>
      <c r="AC231" s="37"/>
      <c r="AD231" s="38"/>
      <c r="AE231" s="37"/>
      <c r="AF231" s="37"/>
      <c r="AG231" s="37"/>
      <c r="AH231" s="37"/>
      <c r="AI231" s="17"/>
      <c r="AJ231" s="37"/>
      <c r="AK231" s="17"/>
      <c r="AL231" s="39"/>
      <c r="AM231" s="17"/>
      <c r="AN231" s="17"/>
      <c r="AO231" s="37"/>
      <c r="AP231" s="17"/>
      <c r="AQ231" s="37"/>
      <c r="AR231" s="37"/>
      <c r="AS231" s="37"/>
      <c r="AT231" s="17"/>
      <c r="AU231" s="37"/>
      <c r="AV231" s="37"/>
      <c r="AW231" s="38"/>
      <c r="AX231" s="37"/>
      <c r="AY231" s="38"/>
      <c r="AZ231" s="34" t="str">
        <f aca="false">IF($E231="","",COUNTA($E231,$F231,$G231,$J231,$L231,$Q231,$U231,$X231,$AM231,$AN231,$AP231,$AR231)/12)</f>
        <v/>
      </c>
      <c r="BA231" s="32" t="str">
        <f aca="false">IF($E231="","",IF(COUNTIF($E$3:$E$402,$E231)&gt;1,"DUPLICATE",""))</f>
        <v/>
      </c>
      <c r="BB231" s="17"/>
      <c r="BC231" s="35" t="str">
        <f aca="false">IF($E231="","",IFERROR(INDEX(SCORING!$C$6:$C$15,MATCH($J231,SCORING!$B$6:$B$15,0)),0)+IFERROR(INDEX(SCORING!$C$18:$C$20,MATCH($U231,SCORING!$B$18:$B$20,0)),0)+IFERROR(INDEX(SCORING!$C$23:$C$26,MATCH($X231,SCORING!$B$23:$B$26,0)),0)+IFERROR(INDEX(SCORING!$C$29:$C$32,MATCH($Q231,SCORING!$B$29:$B$32,0)),0)+IFERROR(INDEX(SCORING!$C$35:$C$37,MATCH($L231,SCORING!$B$35:$B$37,0)),0)+IF($AP231="",0,IF(AND($AQ231="Valid",$AO231="Decision maker"),SCORING!$C$40,IF($AQ231="Valid",SCORING!$C$41,SCORING!$C$42))))</f>
        <v/>
      </c>
      <c r="BD231" s="36" t="str">
        <f aca="false">IF($BC231="","",IF($BC231&gt;=SCORING!$C$46,"A",IF($BC231&gt;=SCORING!$C$47,"B",IF($BC231&gt;=SCORING!$C$48,"C","D"))))</f>
        <v/>
      </c>
      <c r="BE231" s="37"/>
    </row>
    <row r="232" customFormat="false" ht="15" hidden="false" customHeight="false" outlineLevel="0" collapsed="false">
      <c r="A232" s="37"/>
      <c r="B232" s="38"/>
      <c r="C232" s="37"/>
      <c r="D232" s="37"/>
      <c r="E232" s="17"/>
      <c r="F232" s="17"/>
      <c r="G232" s="37"/>
      <c r="H232" s="32" t="str">
        <f aca="false">IF($G232="","",IFERROR(INDEX(LISTS!$P$3:$P$145,MATCH($G232,LISTS!$O$3:$O$145,0)),"Other"))</f>
        <v/>
      </c>
      <c r="I232" s="37"/>
      <c r="J232" s="17"/>
      <c r="K232" s="17"/>
      <c r="L232" s="37"/>
      <c r="M232" s="37"/>
      <c r="N232" s="39"/>
      <c r="O232" s="37"/>
      <c r="P232" s="39"/>
      <c r="Q232" s="37"/>
      <c r="R232" s="39"/>
      <c r="S232" s="17"/>
      <c r="T232" s="17"/>
      <c r="U232" s="37"/>
      <c r="V232" s="37"/>
      <c r="W232" s="17"/>
      <c r="X232" s="37"/>
      <c r="Y232" s="17"/>
      <c r="Z232" s="39"/>
      <c r="AA232" s="39"/>
      <c r="AB232" s="37"/>
      <c r="AC232" s="37"/>
      <c r="AD232" s="38"/>
      <c r="AE232" s="37"/>
      <c r="AF232" s="37"/>
      <c r="AG232" s="37"/>
      <c r="AH232" s="37"/>
      <c r="AI232" s="17"/>
      <c r="AJ232" s="37"/>
      <c r="AK232" s="17"/>
      <c r="AL232" s="39"/>
      <c r="AM232" s="17"/>
      <c r="AN232" s="17"/>
      <c r="AO232" s="37"/>
      <c r="AP232" s="17"/>
      <c r="AQ232" s="37"/>
      <c r="AR232" s="37"/>
      <c r="AS232" s="37"/>
      <c r="AT232" s="17"/>
      <c r="AU232" s="37"/>
      <c r="AV232" s="37"/>
      <c r="AW232" s="38"/>
      <c r="AX232" s="37"/>
      <c r="AY232" s="38"/>
      <c r="AZ232" s="34" t="str">
        <f aca="false">IF($E232="","",COUNTA($E232,$F232,$G232,$J232,$L232,$Q232,$U232,$X232,$AM232,$AN232,$AP232,$AR232)/12)</f>
        <v/>
      </c>
      <c r="BA232" s="32" t="str">
        <f aca="false">IF($E232="","",IF(COUNTIF($E$3:$E$402,$E232)&gt;1,"DUPLICATE",""))</f>
        <v/>
      </c>
      <c r="BB232" s="17"/>
      <c r="BC232" s="35" t="str">
        <f aca="false">IF($E232="","",IFERROR(INDEX(SCORING!$C$6:$C$15,MATCH($J232,SCORING!$B$6:$B$15,0)),0)+IFERROR(INDEX(SCORING!$C$18:$C$20,MATCH($U232,SCORING!$B$18:$B$20,0)),0)+IFERROR(INDEX(SCORING!$C$23:$C$26,MATCH($X232,SCORING!$B$23:$B$26,0)),0)+IFERROR(INDEX(SCORING!$C$29:$C$32,MATCH($Q232,SCORING!$B$29:$B$32,0)),0)+IFERROR(INDEX(SCORING!$C$35:$C$37,MATCH($L232,SCORING!$B$35:$B$37,0)),0)+IF($AP232="",0,IF(AND($AQ232="Valid",$AO232="Decision maker"),SCORING!$C$40,IF($AQ232="Valid",SCORING!$C$41,SCORING!$C$42))))</f>
        <v/>
      </c>
      <c r="BD232" s="36" t="str">
        <f aca="false">IF($BC232="","",IF($BC232&gt;=SCORING!$C$46,"A",IF($BC232&gt;=SCORING!$C$47,"B",IF($BC232&gt;=SCORING!$C$48,"C","D"))))</f>
        <v/>
      </c>
      <c r="BE232" s="37"/>
    </row>
    <row r="233" customFormat="false" ht="15" hidden="false" customHeight="false" outlineLevel="0" collapsed="false">
      <c r="A233" s="37"/>
      <c r="B233" s="38"/>
      <c r="C233" s="37"/>
      <c r="D233" s="37"/>
      <c r="E233" s="17"/>
      <c r="F233" s="17"/>
      <c r="G233" s="37"/>
      <c r="H233" s="32" t="str">
        <f aca="false">IF($G233="","",IFERROR(INDEX(LISTS!$P$3:$P$145,MATCH($G233,LISTS!$O$3:$O$145,0)),"Other"))</f>
        <v/>
      </c>
      <c r="I233" s="37"/>
      <c r="J233" s="17"/>
      <c r="K233" s="17"/>
      <c r="L233" s="37"/>
      <c r="M233" s="37"/>
      <c r="N233" s="39"/>
      <c r="O233" s="37"/>
      <c r="P233" s="39"/>
      <c r="Q233" s="37"/>
      <c r="R233" s="39"/>
      <c r="S233" s="17"/>
      <c r="T233" s="17"/>
      <c r="U233" s="37"/>
      <c r="V233" s="37"/>
      <c r="W233" s="17"/>
      <c r="X233" s="37"/>
      <c r="Y233" s="17"/>
      <c r="Z233" s="39"/>
      <c r="AA233" s="39"/>
      <c r="AB233" s="37"/>
      <c r="AC233" s="37"/>
      <c r="AD233" s="38"/>
      <c r="AE233" s="37"/>
      <c r="AF233" s="37"/>
      <c r="AG233" s="37"/>
      <c r="AH233" s="37"/>
      <c r="AI233" s="17"/>
      <c r="AJ233" s="37"/>
      <c r="AK233" s="17"/>
      <c r="AL233" s="39"/>
      <c r="AM233" s="17"/>
      <c r="AN233" s="17"/>
      <c r="AO233" s="37"/>
      <c r="AP233" s="17"/>
      <c r="AQ233" s="37"/>
      <c r="AR233" s="37"/>
      <c r="AS233" s="37"/>
      <c r="AT233" s="17"/>
      <c r="AU233" s="37"/>
      <c r="AV233" s="37"/>
      <c r="AW233" s="38"/>
      <c r="AX233" s="37"/>
      <c r="AY233" s="38"/>
      <c r="AZ233" s="34" t="str">
        <f aca="false">IF($E233="","",COUNTA($E233,$F233,$G233,$J233,$L233,$Q233,$U233,$X233,$AM233,$AN233,$AP233,$AR233)/12)</f>
        <v/>
      </c>
      <c r="BA233" s="32" t="str">
        <f aca="false">IF($E233="","",IF(COUNTIF($E$3:$E$402,$E233)&gt;1,"DUPLICATE",""))</f>
        <v/>
      </c>
      <c r="BB233" s="17"/>
      <c r="BC233" s="35" t="str">
        <f aca="false">IF($E233="","",IFERROR(INDEX(SCORING!$C$6:$C$15,MATCH($J233,SCORING!$B$6:$B$15,0)),0)+IFERROR(INDEX(SCORING!$C$18:$C$20,MATCH($U233,SCORING!$B$18:$B$20,0)),0)+IFERROR(INDEX(SCORING!$C$23:$C$26,MATCH($X233,SCORING!$B$23:$B$26,0)),0)+IFERROR(INDEX(SCORING!$C$29:$C$32,MATCH($Q233,SCORING!$B$29:$B$32,0)),0)+IFERROR(INDEX(SCORING!$C$35:$C$37,MATCH($L233,SCORING!$B$35:$B$37,0)),0)+IF($AP233="",0,IF(AND($AQ233="Valid",$AO233="Decision maker"),SCORING!$C$40,IF($AQ233="Valid",SCORING!$C$41,SCORING!$C$42))))</f>
        <v/>
      </c>
      <c r="BD233" s="36" t="str">
        <f aca="false">IF($BC233="","",IF($BC233&gt;=SCORING!$C$46,"A",IF($BC233&gt;=SCORING!$C$47,"B",IF($BC233&gt;=SCORING!$C$48,"C","D"))))</f>
        <v/>
      </c>
      <c r="BE233" s="37"/>
    </row>
    <row r="234" customFormat="false" ht="15" hidden="false" customHeight="false" outlineLevel="0" collapsed="false">
      <c r="A234" s="37"/>
      <c r="B234" s="38"/>
      <c r="C234" s="37"/>
      <c r="D234" s="37"/>
      <c r="E234" s="17"/>
      <c r="F234" s="17"/>
      <c r="G234" s="37"/>
      <c r="H234" s="32" t="str">
        <f aca="false">IF($G234="","",IFERROR(INDEX(LISTS!$P$3:$P$145,MATCH($G234,LISTS!$O$3:$O$145,0)),"Other"))</f>
        <v/>
      </c>
      <c r="I234" s="37"/>
      <c r="J234" s="17"/>
      <c r="K234" s="17"/>
      <c r="L234" s="37"/>
      <c r="M234" s="37"/>
      <c r="N234" s="39"/>
      <c r="O234" s="37"/>
      <c r="P234" s="39"/>
      <c r="Q234" s="37"/>
      <c r="R234" s="39"/>
      <c r="S234" s="17"/>
      <c r="T234" s="17"/>
      <c r="U234" s="37"/>
      <c r="V234" s="37"/>
      <c r="W234" s="17"/>
      <c r="X234" s="37"/>
      <c r="Y234" s="17"/>
      <c r="Z234" s="39"/>
      <c r="AA234" s="39"/>
      <c r="AB234" s="37"/>
      <c r="AC234" s="37"/>
      <c r="AD234" s="38"/>
      <c r="AE234" s="37"/>
      <c r="AF234" s="37"/>
      <c r="AG234" s="37"/>
      <c r="AH234" s="37"/>
      <c r="AI234" s="17"/>
      <c r="AJ234" s="37"/>
      <c r="AK234" s="17"/>
      <c r="AL234" s="39"/>
      <c r="AM234" s="17"/>
      <c r="AN234" s="17"/>
      <c r="AO234" s="37"/>
      <c r="AP234" s="17"/>
      <c r="AQ234" s="37"/>
      <c r="AR234" s="37"/>
      <c r="AS234" s="37"/>
      <c r="AT234" s="17"/>
      <c r="AU234" s="37"/>
      <c r="AV234" s="37"/>
      <c r="AW234" s="38"/>
      <c r="AX234" s="37"/>
      <c r="AY234" s="38"/>
      <c r="AZ234" s="34" t="str">
        <f aca="false">IF($E234="","",COUNTA($E234,$F234,$G234,$J234,$L234,$Q234,$U234,$X234,$AM234,$AN234,$AP234,$AR234)/12)</f>
        <v/>
      </c>
      <c r="BA234" s="32" t="str">
        <f aca="false">IF($E234="","",IF(COUNTIF($E$3:$E$402,$E234)&gt;1,"DUPLICATE",""))</f>
        <v/>
      </c>
      <c r="BB234" s="17"/>
      <c r="BC234" s="35" t="str">
        <f aca="false">IF($E234="","",IFERROR(INDEX(SCORING!$C$6:$C$15,MATCH($J234,SCORING!$B$6:$B$15,0)),0)+IFERROR(INDEX(SCORING!$C$18:$C$20,MATCH($U234,SCORING!$B$18:$B$20,0)),0)+IFERROR(INDEX(SCORING!$C$23:$C$26,MATCH($X234,SCORING!$B$23:$B$26,0)),0)+IFERROR(INDEX(SCORING!$C$29:$C$32,MATCH($Q234,SCORING!$B$29:$B$32,0)),0)+IFERROR(INDEX(SCORING!$C$35:$C$37,MATCH($L234,SCORING!$B$35:$B$37,0)),0)+IF($AP234="",0,IF(AND($AQ234="Valid",$AO234="Decision maker"),SCORING!$C$40,IF($AQ234="Valid",SCORING!$C$41,SCORING!$C$42))))</f>
        <v/>
      </c>
      <c r="BD234" s="36" t="str">
        <f aca="false">IF($BC234="","",IF($BC234&gt;=SCORING!$C$46,"A",IF($BC234&gt;=SCORING!$C$47,"B",IF($BC234&gt;=SCORING!$C$48,"C","D"))))</f>
        <v/>
      </c>
      <c r="BE234" s="37"/>
    </row>
    <row r="235" customFormat="false" ht="15" hidden="false" customHeight="false" outlineLevel="0" collapsed="false">
      <c r="A235" s="37"/>
      <c r="B235" s="38"/>
      <c r="C235" s="37"/>
      <c r="D235" s="37"/>
      <c r="E235" s="17"/>
      <c r="F235" s="17"/>
      <c r="G235" s="37"/>
      <c r="H235" s="32" t="str">
        <f aca="false">IF($G235="","",IFERROR(INDEX(LISTS!$P$3:$P$145,MATCH($G235,LISTS!$O$3:$O$145,0)),"Other"))</f>
        <v/>
      </c>
      <c r="I235" s="37"/>
      <c r="J235" s="17"/>
      <c r="K235" s="17"/>
      <c r="L235" s="37"/>
      <c r="M235" s="37"/>
      <c r="N235" s="39"/>
      <c r="O235" s="37"/>
      <c r="P235" s="39"/>
      <c r="Q235" s="37"/>
      <c r="R235" s="39"/>
      <c r="S235" s="17"/>
      <c r="T235" s="17"/>
      <c r="U235" s="37"/>
      <c r="V235" s="37"/>
      <c r="W235" s="17"/>
      <c r="X235" s="37"/>
      <c r="Y235" s="17"/>
      <c r="Z235" s="39"/>
      <c r="AA235" s="39"/>
      <c r="AB235" s="37"/>
      <c r="AC235" s="37"/>
      <c r="AD235" s="38"/>
      <c r="AE235" s="37"/>
      <c r="AF235" s="37"/>
      <c r="AG235" s="37"/>
      <c r="AH235" s="37"/>
      <c r="AI235" s="17"/>
      <c r="AJ235" s="37"/>
      <c r="AK235" s="17"/>
      <c r="AL235" s="39"/>
      <c r="AM235" s="17"/>
      <c r="AN235" s="17"/>
      <c r="AO235" s="37"/>
      <c r="AP235" s="17"/>
      <c r="AQ235" s="37"/>
      <c r="AR235" s="37"/>
      <c r="AS235" s="37"/>
      <c r="AT235" s="17"/>
      <c r="AU235" s="37"/>
      <c r="AV235" s="37"/>
      <c r="AW235" s="38"/>
      <c r="AX235" s="37"/>
      <c r="AY235" s="38"/>
      <c r="AZ235" s="34" t="str">
        <f aca="false">IF($E235="","",COUNTA($E235,$F235,$G235,$J235,$L235,$Q235,$U235,$X235,$AM235,$AN235,$AP235,$AR235)/12)</f>
        <v/>
      </c>
      <c r="BA235" s="32" t="str">
        <f aca="false">IF($E235="","",IF(COUNTIF($E$3:$E$402,$E235)&gt;1,"DUPLICATE",""))</f>
        <v/>
      </c>
      <c r="BB235" s="17"/>
      <c r="BC235" s="35" t="str">
        <f aca="false">IF($E235="","",IFERROR(INDEX(SCORING!$C$6:$C$15,MATCH($J235,SCORING!$B$6:$B$15,0)),0)+IFERROR(INDEX(SCORING!$C$18:$C$20,MATCH($U235,SCORING!$B$18:$B$20,0)),0)+IFERROR(INDEX(SCORING!$C$23:$C$26,MATCH($X235,SCORING!$B$23:$B$26,0)),0)+IFERROR(INDEX(SCORING!$C$29:$C$32,MATCH($Q235,SCORING!$B$29:$B$32,0)),0)+IFERROR(INDEX(SCORING!$C$35:$C$37,MATCH($L235,SCORING!$B$35:$B$37,0)),0)+IF($AP235="",0,IF(AND($AQ235="Valid",$AO235="Decision maker"),SCORING!$C$40,IF($AQ235="Valid",SCORING!$C$41,SCORING!$C$42))))</f>
        <v/>
      </c>
      <c r="BD235" s="36" t="str">
        <f aca="false">IF($BC235="","",IF($BC235&gt;=SCORING!$C$46,"A",IF($BC235&gt;=SCORING!$C$47,"B",IF($BC235&gt;=SCORING!$C$48,"C","D"))))</f>
        <v/>
      </c>
      <c r="BE235" s="37"/>
    </row>
    <row r="236" customFormat="false" ht="15" hidden="false" customHeight="false" outlineLevel="0" collapsed="false">
      <c r="A236" s="37"/>
      <c r="B236" s="38"/>
      <c r="C236" s="37"/>
      <c r="D236" s="37"/>
      <c r="E236" s="17"/>
      <c r="F236" s="17"/>
      <c r="G236" s="37"/>
      <c r="H236" s="32" t="str">
        <f aca="false">IF($G236="","",IFERROR(INDEX(LISTS!$P$3:$P$145,MATCH($G236,LISTS!$O$3:$O$145,0)),"Other"))</f>
        <v/>
      </c>
      <c r="I236" s="37"/>
      <c r="J236" s="17"/>
      <c r="K236" s="17"/>
      <c r="L236" s="37"/>
      <c r="M236" s="37"/>
      <c r="N236" s="39"/>
      <c r="O236" s="37"/>
      <c r="P236" s="39"/>
      <c r="Q236" s="37"/>
      <c r="R236" s="39"/>
      <c r="S236" s="17"/>
      <c r="T236" s="17"/>
      <c r="U236" s="37"/>
      <c r="V236" s="37"/>
      <c r="W236" s="17"/>
      <c r="X236" s="37"/>
      <c r="Y236" s="17"/>
      <c r="Z236" s="39"/>
      <c r="AA236" s="39"/>
      <c r="AB236" s="37"/>
      <c r="AC236" s="37"/>
      <c r="AD236" s="38"/>
      <c r="AE236" s="37"/>
      <c r="AF236" s="37"/>
      <c r="AG236" s="37"/>
      <c r="AH236" s="37"/>
      <c r="AI236" s="17"/>
      <c r="AJ236" s="37"/>
      <c r="AK236" s="17"/>
      <c r="AL236" s="39"/>
      <c r="AM236" s="17"/>
      <c r="AN236" s="17"/>
      <c r="AO236" s="37"/>
      <c r="AP236" s="17"/>
      <c r="AQ236" s="37"/>
      <c r="AR236" s="37"/>
      <c r="AS236" s="37"/>
      <c r="AT236" s="17"/>
      <c r="AU236" s="37"/>
      <c r="AV236" s="37"/>
      <c r="AW236" s="38"/>
      <c r="AX236" s="37"/>
      <c r="AY236" s="38"/>
      <c r="AZ236" s="34" t="str">
        <f aca="false">IF($E236="","",COUNTA($E236,$F236,$G236,$J236,$L236,$Q236,$U236,$X236,$AM236,$AN236,$AP236,$AR236)/12)</f>
        <v/>
      </c>
      <c r="BA236" s="32" t="str">
        <f aca="false">IF($E236="","",IF(COUNTIF($E$3:$E$402,$E236)&gt;1,"DUPLICATE",""))</f>
        <v/>
      </c>
      <c r="BB236" s="17"/>
      <c r="BC236" s="35" t="str">
        <f aca="false">IF($E236="","",IFERROR(INDEX(SCORING!$C$6:$C$15,MATCH($J236,SCORING!$B$6:$B$15,0)),0)+IFERROR(INDEX(SCORING!$C$18:$C$20,MATCH($U236,SCORING!$B$18:$B$20,0)),0)+IFERROR(INDEX(SCORING!$C$23:$C$26,MATCH($X236,SCORING!$B$23:$B$26,0)),0)+IFERROR(INDEX(SCORING!$C$29:$C$32,MATCH($Q236,SCORING!$B$29:$B$32,0)),0)+IFERROR(INDEX(SCORING!$C$35:$C$37,MATCH($L236,SCORING!$B$35:$B$37,0)),0)+IF($AP236="",0,IF(AND($AQ236="Valid",$AO236="Decision maker"),SCORING!$C$40,IF($AQ236="Valid",SCORING!$C$41,SCORING!$C$42))))</f>
        <v/>
      </c>
      <c r="BD236" s="36" t="str">
        <f aca="false">IF($BC236="","",IF($BC236&gt;=SCORING!$C$46,"A",IF($BC236&gt;=SCORING!$C$47,"B",IF($BC236&gt;=SCORING!$C$48,"C","D"))))</f>
        <v/>
      </c>
      <c r="BE236" s="37"/>
    </row>
    <row r="237" customFormat="false" ht="15" hidden="false" customHeight="false" outlineLevel="0" collapsed="false">
      <c r="A237" s="37"/>
      <c r="B237" s="38"/>
      <c r="C237" s="37"/>
      <c r="D237" s="37"/>
      <c r="E237" s="17"/>
      <c r="F237" s="17"/>
      <c r="G237" s="37"/>
      <c r="H237" s="32" t="str">
        <f aca="false">IF($G237="","",IFERROR(INDEX(LISTS!$P$3:$P$145,MATCH($G237,LISTS!$O$3:$O$145,0)),"Other"))</f>
        <v/>
      </c>
      <c r="I237" s="37"/>
      <c r="J237" s="17"/>
      <c r="K237" s="17"/>
      <c r="L237" s="37"/>
      <c r="M237" s="37"/>
      <c r="N237" s="39"/>
      <c r="O237" s="37"/>
      <c r="P237" s="39"/>
      <c r="Q237" s="37"/>
      <c r="R237" s="39"/>
      <c r="S237" s="17"/>
      <c r="T237" s="17"/>
      <c r="U237" s="37"/>
      <c r="V237" s="37"/>
      <c r="W237" s="17"/>
      <c r="X237" s="37"/>
      <c r="Y237" s="17"/>
      <c r="Z237" s="39"/>
      <c r="AA237" s="39"/>
      <c r="AB237" s="37"/>
      <c r="AC237" s="37"/>
      <c r="AD237" s="38"/>
      <c r="AE237" s="37"/>
      <c r="AF237" s="37"/>
      <c r="AG237" s="37"/>
      <c r="AH237" s="37"/>
      <c r="AI237" s="17"/>
      <c r="AJ237" s="37"/>
      <c r="AK237" s="17"/>
      <c r="AL237" s="39"/>
      <c r="AM237" s="17"/>
      <c r="AN237" s="17"/>
      <c r="AO237" s="37"/>
      <c r="AP237" s="17"/>
      <c r="AQ237" s="37"/>
      <c r="AR237" s="37"/>
      <c r="AS237" s="37"/>
      <c r="AT237" s="17"/>
      <c r="AU237" s="37"/>
      <c r="AV237" s="37"/>
      <c r="AW237" s="38"/>
      <c r="AX237" s="37"/>
      <c r="AY237" s="38"/>
      <c r="AZ237" s="34" t="str">
        <f aca="false">IF($E237="","",COUNTA($E237,$F237,$G237,$J237,$L237,$Q237,$U237,$X237,$AM237,$AN237,$AP237,$AR237)/12)</f>
        <v/>
      </c>
      <c r="BA237" s="32" t="str">
        <f aca="false">IF($E237="","",IF(COUNTIF($E$3:$E$402,$E237)&gt;1,"DUPLICATE",""))</f>
        <v/>
      </c>
      <c r="BB237" s="17"/>
      <c r="BC237" s="35" t="str">
        <f aca="false">IF($E237="","",IFERROR(INDEX(SCORING!$C$6:$C$15,MATCH($J237,SCORING!$B$6:$B$15,0)),0)+IFERROR(INDEX(SCORING!$C$18:$C$20,MATCH($U237,SCORING!$B$18:$B$20,0)),0)+IFERROR(INDEX(SCORING!$C$23:$C$26,MATCH($X237,SCORING!$B$23:$B$26,0)),0)+IFERROR(INDEX(SCORING!$C$29:$C$32,MATCH($Q237,SCORING!$B$29:$B$32,0)),0)+IFERROR(INDEX(SCORING!$C$35:$C$37,MATCH($L237,SCORING!$B$35:$B$37,0)),0)+IF($AP237="",0,IF(AND($AQ237="Valid",$AO237="Decision maker"),SCORING!$C$40,IF($AQ237="Valid",SCORING!$C$41,SCORING!$C$42))))</f>
        <v/>
      </c>
      <c r="BD237" s="36" t="str">
        <f aca="false">IF($BC237="","",IF($BC237&gt;=SCORING!$C$46,"A",IF($BC237&gt;=SCORING!$C$47,"B",IF($BC237&gt;=SCORING!$C$48,"C","D"))))</f>
        <v/>
      </c>
      <c r="BE237" s="37"/>
    </row>
    <row r="238" customFormat="false" ht="15" hidden="false" customHeight="false" outlineLevel="0" collapsed="false">
      <c r="A238" s="37"/>
      <c r="B238" s="38"/>
      <c r="C238" s="37"/>
      <c r="D238" s="37"/>
      <c r="E238" s="17"/>
      <c r="F238" s="17"/>
      <c r="G238" s="37"/>
      <c r="H238" s="32" t="str">
        <f aca="false">IF($G238="","",IFERROR(INDEX(LISTS!$P$3:$P$145,MATCH($G238,LISTS!$O$3:$O$145,0)),"Other"))</f>
        <v/>
      </c>
      <c r="I238" s="37"/>
      <c r="J238" s="17"/>
      <c r="K238" s="17"/>
      <c r="L238" s="37"/>
      <c r="M238" s="37"/>
      <c r="N238" s="39"/>
      <c r="O238" s="37"/>
      <c r="P238" s="39"/>
      <c r="Q238" s="37"/>
      <c r="R238" s="39"/>
      <c r="S238" s="17"/>
      <c r="T238" s="17"/>
      <c r="U238" s="37"/>
      <c r="V238" s="37"/>
      <c r="W238" s="17"/>
      <c r="X238" s="37"/>
      <c r="Y238" s="17"/>
      <c r="Z238" s="39"/>
      <c r="AA238" s="39"/>
      <c r="AB238" s="37"/>
      <c r="AC238" s="37"/>
      <c r="AD238" s="38"/>
      <c r="AE238" s="37"/>
      <c r="AF238" s="37"/>
      <c r="AG238" s="37"/>
      <c r="AH238" s="37"/>
      <c r="AI238" s="17"/>
      <c r="AJ238" s="37"/>
      <c r="AK238" s="17"/>
      <c r="AL238" s="39"/>
      <c r="AM238" s="17"/>
      <c r="AN238" s="17"/>
      <c r="AO238" s="37"/>
      <c r="AP238" s="17"/>
      <c r="AQ238" s="37"/>
      <c r="AR238" s="37"/>
      <c r="AS238" s="37"/>
      <c r="AT238" s="17"/>
      <c r="AU238" s="37"/>
      <c r="AV238" s="37"/>
      <c r="AW238" s="38"/>
      <c r="AX238" s="37"/>
      <c r="AY238" s="38"/>
      <c r="AZ238" s="34" t="str">
        <f aca="false">IF($E238="","",COUNTA($E238,$F238,$G238,$J238,$L238,$Q238,$U238,$X238,$AM238,$AN238,$AP238,$AR238)/12)</f>
        <v/>
      </c>
      <c r="BA238" s="32" t="str">
        <f aca="false">IF($E238="","",IF(COUNTIF($E$3:$E$402,$E238)&gt;1,"DUPLICATE",""))</f>
        <v/>
      </c>
      <c r="BB238" s="17"/>
      <c r="BC238" s="35" t="str">
        <f aca="false">IF($E238="","",IFERROR(INDEX(SCORING!$C$6:$C$15,MATCH($J238,SCORING!$B$6:$B$15,0)),0)+IFERROR(INDEX(SCORING!$C$18:$C$20,MATCH($U238,SCORING!$B$18:$B$20,0)),0)+IFERROR(INDEX(SCORING!$C$23:$C$26,MATCH($X238,SCORING!$B$23:$B$26,0)),0)+IFERROR(INDEX(SCORING!$C$29:$C$32,MATCH($Q238,SCORING!$B$29:$B$32,0)),0)+IFERROR(INDEX(SCORING!$C$35:$C$37,MATCH($L238,SCORING!$B$35:$B$37,0)),0)+IF($AP238="",0,IF(AND($AQ238="Valid",$AO238="Decision maker"),SCORING!$C$40,IF($AQ238="Valid",SCORING!$C$41,SCORING!$C$42))))</f>
        <v/>
      </c>
      <c r="BD238" s="36" t="str">
        <f aca="false">IF($BC238="","",IF($BC238&gt;=SCORING!$C$46,"A",IF($BC238&gt;=SCORING!$C$47,"B",IF($BC238&gt;=SCORING!$C$48,"C","D"))))</f>
        <v/>
      </c>
      <c r="BE238" s="37"/>
    </row>
    <row r="239" customFormat="false" ht="15" hidden="false" customHeight="false" outlineLevel="0" collapsed="false">
      <c r="A239" s="37"/>
      <c r="B239" s="38"/>
      <c r="C239" s="37"/>
      <c r="D239" s="37"/>
      <c r="E239" s="17"/>
      <c r="F239" s="17"/>
      <c r="G239" s="37"/>
      <c r="H239" s="32" t="str">
        <f aca="false">IF($G239="","",IFERROR(INDEX(LISTS!$P$3:$P$145,MATCH($G239,LISTS!$O$3:$O$145,0)),"Other"))</f>
        <v/>
      </c>
      <c r="I239" s="37"/>
      <c r="J239" s="17"/>
      <c r="K239" s="17"/>
      <c r="L239" s="37"/>
      <c r="M239" s="37"/>
      <c r="N239" s="39"/>
      <c r="O239" s="37"/>
      <c r="P239" s="39"/>
      <c r="Q239" s="37"/>
      <c r="R239" s="39"/>
      <c r="S239" s="17"/>
      <c r="T239" s="17"/>
      <c r="U239" s="37"/>
      <c r="V239" s="37"/>
      <c r="W239" s="17"/>
      <c r="X239" s="37"/>
      <c r="Y239" s="17"/>
      <c r="Z239" s="39"/>
      <c r="AA239" s="39"/>
      <c r="AB239" s="37"/>
      <c r="AC239" s="37"/>
      <c r="AD239" s="38"/>
      <c r="AE239" s="37"/>
      <c r="AF239" s="37"/>
      <c r="AG239" s="37"/>
      <c r="AH239" s="37"/>
      <c r="AI239" s="17"/>
      <c r="AJ239" s="37"/>
      <c r="AK239" s="17"/>
      <c r="AL239" s="39"/>
      <c r="AM239" s="17"/>
      <c r="AN239" s="17"/>
      <c r="AO239" s="37"/>
      <c r="AP239" s="17"/>
      <c r="AQ239" s="37"/>
      <c r="AR239" s="37"/>
      <c r="AS239" s="37"/>
      <c r="AT239" s="17"/>
      <c r="AU239" s="37"/>
      <c r="AV239" s="37"/>
      <c r="AW239" s="38"/>
      <c r="AX239" s="37"/>
      <c r="AY239" s="38"/>
      <c r="AZ239" s="34" t="str">
        <f aca="false">IF($E239="","",COUNTA($E239,$F239,$G239,$J239,$L239,$Q239,$U239,$X239,$AM239,$AN239,$AP239,$AR239)/12)</f>
        <v/>
      </c>
      <c r="BA239" s="32" t="str">
        <f aca="false">IF($E239="","",IF(COUNTIF($E$3:$E$402,$E239)&gt;1,"DUPLICATE",""))</f>
        <v/>
      </c>
      <c r="BB239" s="17"/>
      <c r="BC239" s="35" t="str">
        <f aca="false">IF($E239="","",IFERROR(INDEX(SCORING!$C$6:$C$15,MATCH($J239,SCORING!$B$6:$B$15,0)),0)+IFERROR(INDEX(SCORING!$C$18:$C$20,MATCH($U239,SCORING!$B$18:$B$20,0)),0)+IFERROR(INDEX(SCORING!$C$23:$C$26,MATCH($X239,SCORING!$B$23:$B$26,0)),0)+IFERROR(INDEX(SCORING!$C$29:$C$32,MATCH($Q239,SCORING!$B$29:$B$32,0)),0)+IFERROR(INDEX(SCORING!$C$35:$C$37,MATCH($L239,SCORING!$B$35:$B$37,0)),0)+IF($AP239="",0,IF(AND($AQ239="Valid",$AO239="Decision maker"),SCORING!$C$40,IF($AQ239="Valid",SCORING!$C$41,SCORING!$C$42))))</f>
        <v/>
      </c>
      <c r="BD239" s="36" t="str">
        <f aca="false">IF($BC239="","",IF($BC239&gt;=SCORING!$C$46,"A",IF($BC239&gt;=SCORING!$C$47,"B",IF($BC239&gt;=SCORING!$C$48,"C","D"))))</f>
        <v/>
      </c>
      <c r="BE239" s="37"/>
    </row>
    <row r="240" customFormat="false" ht="15" hidden="false" customHeight="false" outlineLevel="0" collapsed="false">
      <c r="A240" s="37"/>
      <c r="B240" s="38"/>
      <c r="C240" s="37"/>
      <c r="D240" s="37"/>
      <c r="E240" s="17"/>
      <c r="F240" s="17"/>
      <c r="G240" s="37"/>
      <c r="H240" s="32" t="str">
        <f aca="false">IF($G240="","",IFERROR(INDEX(LISTS!$P$3:$P$145,MATCH($G240,LISTS!$O$3:$O$145,0)),"Other"))</f>
        <v/>
      </c>
      <c r="I240" s="37"/>
      <c r="J240" s="17"/>
      <c r="K240" s="17"/>
      <c r="L240" s="37"/>
      <c r="M240" s="37"/>
      <c r="N240" s="39"/>
      <c r="O240" s="37"/>
      <c r="P240" s="39"/>
      <c r="Q240" s="37"/>
      <c r="R240" s="39"/>
      <c r="S240" s="17"/>
      <c r="T240" s="17"/>
      <c r="U240" s="37"/>
      <c r="V240" s="37"/>
      <c r="W240" s="17"/>
      <c r="X240" s="37"/>
      <c r="Y240" s="17"/>
      <c r="Z240" s="39"/>
      <c r="AA240" s="39"/>
      <c r="AB240" s="37"/>
      <c r="AC240" s="37"/>
      <c r="AD240" s="38"/>
      <c r="AE240" s="37"/>
      <c r="AF240" s="37"/>
      <c r="AG240" s="37"/>
      <c r="AH240" s="37"/>
      <c r="AI240" s="17"/>
      <c r="AJ240" s="37"/>
      <c r="AK240" s="17"/>
      <c r="AL240" s="39"/>
      <c r="AM240" s="17"/>
      <c r="AN240" s="17"/>
      <c r="AO240" s="37"/>
      <c r="AP240" s="17"/>
      <c r="AQ240" s="37"/>
      <c r="AR240" s="37"/>
      <c r="AS240" s="37"/>
      <c r="AT240" s="17"/>
      <c r="AU240" s="37"/>
      <c r="AV240" s="37"/>
      <c r="AW240" s="38"/>
      <c r="AX240" s="37"/>
      <c r="AY240" s="38"/>
      <c r="AZ240" s="34" t="str">
        <f aca="false">IF($E240="","",COUNTA($E240,$F240,$G240,$J240,$L240,$Q240,$U240,$X240,$AM240,$AN240,$AP240,$AR240)/12)</f>
        <v/>
      </c>
      <c r="BA240" s="32" t="str">
        <f aca="false">IF($E240="","",IF(COUNTIF($E$3:$E$402,$E240)&gt;1,"DUPLICATE",""))</f>
        <v/>
      </c>
      <c r="BB240" s="17"/>
      <c r="BC240" s="35" t="str">
        <f aca="false">IF($E240="","",IFERROR(INDEX(SCORING!$C$6:$C$15,MATCH($J240,SCORING!$B$6:$B$15,0)),0)+IFERROR(INDEX(SCORING!$C$18:$C$20,MATCH($U240,SCORING!$B$18:$B$20,0)),0)+IFERROR(INDEX(SCORING!$C$23:$C$26,MATCH($X240,SCORING!$B$23:$B$26,0)),0)+IFERROR(INDEX(SCORING!$C$29:$C$32,MATCH($Q240,SCORING!$B$29:$B$32,0)),0)+IFERROR(INDEX(SCORING!$C$35:$C$37,MATCH($L240,SCORING!$B$35:$B$37,0)),0)+IF($AP240="",0,IF(AND($AQ240="Valid",$AO240="Decision maker"),SCORING!$C$40,IF($AQ240="Valid",SCORING!$C$41,SCORING!$C$42))))</f>
        <v/>
      </c>
      <c r="BD240" s="36" t="str">
        <f aca="false">IF($BC240="","",IF($BC240&gt;=SCORING!$C$46,"A",IF($BC240&gt;=SCORING!$C$47,"B",IF($BC240&gt;=SCORING!$C$48,"C","D"))))</f>
        <v/>
      </c>
      <c r="BE240" s="37"/>
    </row>
    <row r="241" customFormat="false" ht="15" hidden="false" customHeight="false" outlineLevel="0" collapsed="false">
      <c r="A241" s="37"/>
      <c r="B241" s="38"/>
      <c r="C241" s="37"/>
      <c r="D241" s="37"/>
      <c r="E241" s="17"/>
      <c r="F241" s="17"/>
      <c r="G241" s="37"/>
      <c r="H241" s="32" t="str">
        <f aca="false">IF($G241="","",IFERROR(INDEX(LISTS!$P$3:$P$145,MATCH($G241,LISTS!$O$3:$O$145,0)),"Other"))</f>
        <v/>
      </c>
      <c r="I241" s="37"/>
      <c r="J241" s="17"/>
      <c r="K241" s="17"/>
      <c r="L241" s="37"/>
      <c r="M241" s="37"/>
      <c r="N241" s="39"/>
      <c r="O241" s="37"/>
      <c r="P241" s="39"/>
      <c r="Q241" s="37"/>
      <c r="R241" s="39"/>
      <c r="S241" s="17"/>
      <c r="T241" s="17"/>
      <c r="U241" s="37"/>
      <c r="V241" s="37"/>
      <c r="W241" s="17"/>
      <c r="X241" s="37"/>
      <c r="Y241" s="17"/>
      <c r="Z241" s="39"/>
      <c r="AA241" s="39"/>
      <c r="AB241" s="37"/>
      <c r="AC241" s="37"/>
      <c r="AD241" s="38"/>
      <c r="AE241" s="37"/>
      <c r="AF241" s="37"/>
      <c r="AG241" s="37"/>
      <c r="AH241" s="37"/>
      <c r="AI241" s="17"/>
      <c r="AJ241" s="37"/>
      <c r="AK241" s="17"/>
      <c r="AL241" s="39"/>
      <c r="AM241" s="17"/>
      <c r="AN241" s="17"/>
      <c r="AO241" s="37"/>
      <c r="AP241" s="17"/>
      <c r="AQ241" s="37"/>
      <c r="AR241" s="37"/>
      <c r="AS241" s="37"/>
      <c r="AT241" s="17"/>
      <c r="AU241" s="37"/>
      <c r="AV241" s="37"/>
      <c r="AW241" s="38"/>
      <c r="AX241" s="37"/>
      <c r="AY241" s="38"/>
      <c r="AZ241" s="34" t="str">
        <f aca="false">IF($E241="","",COUNTA($E241,$F241,$G241,$J241,$L241,$Q241,$U241,$X241,$AM241,$AN241,$AP241,$AR241)/12)</f>
        <v/>
      </c>
      <c r="BA241" s="32" t="str">
        <f aca="false">IF($E241="","",IF(COUNTIF($E$3:$E$402,$E241)&gt;1,"DUPLICATE",""))</f>
        <v/>
      </c>
      <c r="BB241" s="17"/>
      <c r="BC241" s="35" t="str">
        <f aca="false">IF($E241="","",IFERROR(INDEX(SCORING!$C$6:$C$15,MATCH($J241,SCORING!$B$6:$B$15,0)),0)+IFERROR(INDEX(SCORING!$C$18:$C$20,MATCH($U241,SCORING!$B$18:$B$20,0)),0)+IFERROR(INDEX(SCORING!$C$23:$C$26,MATCH($X241,SCORING!$B$23:$B$26,0)),0)+IFERROR(INDEX(SCORING!$C$29:$C$32,MATCH($Q241,SCORING!$B$29:$B$32,0)),0)+IFERROR(INDEX(SCORING!$C$35:$C$37,MATCH($L241,SCORING!$B$35:$B$37,0)),0)+IF($AP241="",0,IF(AND($AQ241="Valid",$AO241="Decision maker"),SCORING!$C$40,IF($AQ241="Valid",SCORING!$C$41,SCORING!$C$42))))</f>
        <v/>
      </c>
      <c r="BD241" s="36" t="str">
        <f aca="false">IF($BC241="","",IF($BC241&gt;=SCORING!$C$46,"A",IF($BC241&gt;=SCORING!$C$47,"B",IF($BC241&gt;=SCORING!$C$48,"C","D"))))</f>
        <v/>
      </c>
      <c r="BE241" s="37"/>
    </row>
    <row r="242" customFormat="false" ht="15" hidden="false" customHeight="false" outlineLevel="0" collapsed="false">
      <c r="A242" s="37"/>
      <c r="B242" s="38"/>
      <c r="C242" s="37"/>
      <c r="D242" s="37"/>
      <c r="E242" s="17"/>
      <c r="F242" s="17"/>
      <c r="G242" s="37"/>
      <c r="H242" s="32" t="str">
        <f aca="false">IF($G242="","",IFERROR(INDEX(LISTS!$P$3:$P$145,MATCH($G242,LISTS!$O$3:$O$145,0)),"Other"))</f>
        <v/>
      </c>
      <c r="I242" s="37"/>
      <c r="J242" s="17"/>
      <c r="K242" s="17"/>
      <c r="L242" s="37"/>
      <c r="M242" s="37"/>
      <c r="N242" s="39"/>
      <c r="O242" s="37"/>
      <c r="P242" s="39"/>
      <c r="Q242" s="37"/>
      <c r="R242" s="39"/>
      <c r="S242" s="17"/>
      <c r="T242" s="17"/>
      <c r="U242" s="37"/>
      <c r="V242" s="37"/>
      <c r="W242" s="17"/>
      <c r="X242" s="37"/>
      <c r="Y242" s="17"/>
      <c r="Z242" s="39"/>
      <c r="AA242" s="39"/>
      <c r="AB242" s="37"/>
      <c r="AC242" s="37"/>
      <c r="AD242" s="38"/>
      <c r="AE242" s="37"/>
      <c r="AF242" s="37"/>
      <c r="AG242" s="37"/>
      <c r="AH242" s="37"/>
      <c r="AI242" s="17"/>
      <c r="AJ242" s="37"/>
      <c r="AK242" s="17"/>
      <c r="AL242" s="39"/>
      <c r="AM242" s="17"/>
      <c r="AN242" s="17"/>
      <c r="AO242" s="37"/>
      <c r="AP242" s="17"/>
      <c r="AQ242" s="37"/>
      <c r="AR242" s="37"/>
      <c r="AS242" s="37"/>
      <c r="AT242" s="17"/>
      <c r="AU242" s="37"/>
      <c r="AV242" s="37"/>
      <c r="AW242" s="38"/>
      <c r="AX242" s="37"/>
      <c r="AY242" s="38"/>
      <c r="AZ242" s="34" t="str">
        <f aca="false">IF($E242="","",COUNTA($E242,$F242,$G242,$J242,$L242,$Q242,$U242,$X242,$AM242,$AN242,$AP242,$AR242)/12)</f>
        <v/>
      </c>
      <c r="BA242" s="32" t="str">
        <f aca="false">IF($E242="","",IF(COUNTIF($E$3:$E$402,$E242)&gt;1,"DUPLICATE",""))</f>
        <v/>
      </c>
      <c r="BB242" s="17"/>
      <c r="BC242" s="35" t="str">
        <f aca="false">IF($E242="","",IFERROR(INDEX(SCORING!$C$6:$C$15,MATCH($J242,SCORING!$B$6:$B$15,0)),0)+IFERROR(INDEX(SCORING!$C$18:$C$20,MATCH($U242,SCORING!$B$18:$B$20,0)),0)+IFERROR(INDEX(SCORING!$C$23:$C$26,MATCH($X242,SCORING!$B$23:$B$26,0)),0)+IFERROR(INDEX(SCORING!$C$29:$C$32,MATCH($Q242,SCORING!$B$29:$B$32,0)),0)+IFERROR(INDEX(SCORING!$C$35:$C$37,MATCH($L242,SCORING!$B$35:$B$37,0)),0)+IF($AP242="",0,IF(AND($AQ242="Valid",$AO242="Decision maker"),SCORING!$C$40,IF($AQ242="Valid",SCORING!$C$41,SCORING!$C$42))))</f>
        <v/>
      </c>
      <c r="BD242" s="36" t="str">
        <f aca="false">IF($BC242="","",IF($BC242&gt;=SCORING!$C$46,"A",IF($BC242&gt;=SCORING!$C$47,"B",IF($BC242&gt;=SCORING!$C$48,"C","D"))))</f>
        <v/>
      </c>
      <c r="BE242" s="37"/>
    </row>
    <row r="243" customFormat="false" ht="15" hidden="false" customHeight="false" outlineLevel="0" collapsed="false">
      <c r="A243" s="37"/>
      <c r="B243" s="38"/>
      <c r="C243" s="37"/>
      <c r="D243" s="37"/>
      <c r="E243" s="17"/>
      <c r="F243" s="17"/>
      <c r="G243" s="37"/>
      <c r="H243" s="32" t="str">
        <f aca="false">IF($G243="","",IFERROR(INDEX(LISTS!$P$3:$P$145,MATCH($G243,LISTS!$O$3:$O$145,0)),"Other"))</f>
        <v/>
      </c>
      <c r="I243" s="37"/>
      <c r="J243" s="17"/>
      <c r="K243" s="17"/>
      <c r="L243" s="37"/>
      <c r="M243" s="37"/>
      <c r="N243" s="39"/>
      <c r="O243" s="37"/>
      <c r="P243" s="39"/>
      <c r="Q243" s="37"/>
      <c r="R243" s="39"/>
      <c r="S243" s="17"/>
      <c r="T243" s="17"/>
      <c r="U243" s="37"/>
      <c r="V243" s="37"/>
      <c r="W243" s="17"/>
      <c r="X243" s="37"/>
      <c r="Y243" s="17"/>
      <c r="Z243" s="39"/>
      <c r="AA243" s="39"/>
      <c r="AB243" s="37"/>
      <c r="AC243" s="37"/>
      <c r="AD243" s="38"/>
      <c r="AE243" s="37"/>
      <c r="AF243" s="37"/>
      <c r="AG243" s="37"/>
      <c r="AH243" s="37"/>
      <c r="AI243" s="17"/>
      <c r="AJ243" s="37"/>
      <c r="AK243" s="17"/>
      <c r="AL243" s="39"/>
      <c r="AM243" s="17"/>
      <c r="AN243" s="17"/>
      <c r="AO243" s="37"/>
      <c r="AP243" s="17"/>
      <c r="AQ243" s="37"/>
      <c r="AR243" s="37"/>
      <c r="AS243" s="37"/>
      <c r="AT243" s="17"/>
      <c r="AU243" s="37"/>
      <c r="AV243" s="37"/>
      <c r="AW243" s="38"/>
      <c r="AX243" s="37"/>
      <c r="AY243" s="38"/>
      <c r="AZ243" s="34" t="str">
        <f aca="false">IF($E243="","",COUNTA($E243,$F243,$G243,$J243,$L243,$Q243,$U243,$X243,$AM243,$AN243,$AP243,$AR243)/12)</f>
        <v/>
      </c>
      <c r="BA243" s="32" t="str">
        <f aca="false">IF($E243="","",IF(COUNTIF($E$3:$E$402,$E243)&gt;1,"DUPLICATE",""))</f>
        <v/>
      </c>
      <c r="BB243" s="17"/>
      <c r="BC243" s="35" t="str">
        <f aca="false">IF($E243="","",IFERROR(INDEX(SCORING!$C$6:$C$15,MATCH($J243,SCORING!$B$6:$B$15,0)),0)+IFERROR(INDEX(SCORING!$C$18:$C$20,MATCH($U243,SCORING!$B$18:$B$20,0)),0)+IFERROR(INDEX(SCORING!$C$23:$C$26,MATCH($X243,SCORING!$B$23:$B$26,0)),0)+IFERROR(INDEX(SCORING!$C$29:$C$32,MATCH($Q243,SCORING!$B$29:$B$32,0)),0)+IFERROR(INDEX(SCORING!$C$35:$C$37,MATCH($L243,SCORING!$B$35:$B$37,0)),0)+IF($AP243="",0,IF(AND($AQ243="Valid",$AO243="Decision maker"),SCORING!$C$40,IF($AQ243="Valid",SCORING!$C$41,SCORING!$C$42))))</f>
        <v/>
      </c>
      <c r="BD243" s="36" t="str">
        <f aca="false">IF($BC243="","",IF($BC243&gt;=SCORING!$C$46,"A",IF($BC243&gt;=SCORING!$C$47,"B",IF($BC243&gt;=SCORING!$C$48,"C","D"))))</f>
        <v/>
      </c>
      <c r="BE243" s="37"/>
    </row>
    <row r="244" customFormat="false" ht="15" hidden="false" customHeight="false" outlineLevel="0" collapsed="false">
      <c r="A244" s="37"/>
      <c r="B244" s="38"/>
      <c r="C244" s="37"/>
      <c r="D244" s="37"/>
      <c r="E244" s="17"/>
      <c r="F244" s="17"/>
      <c r="G244" s="37"/>
      <c r="H244" s="32" t="str">
        <f aca="false">IF($G244="","",IFERROR(INDEX(LISTS!$P$3:$P$145,MATCH($G244,LISTS!$O$3:$O$145,0)),"Other"))</f>
        <v/>
      </c>
      <c r="I244" s="37"/>
      <c r="J244" s="17"/>
      <c r="K244" s="17"/>
      <c r="L244" s="37"/>
      <c r="M244" s="37"/>
      <c r="N244" s="39"/>
      <c r="O244" s="37"/>
      <c r="P244" s="39"/>
      <c r="Q244" s="37"/>
      <c r="R244" s="39"/>
      <c r="S244" s="17"/>
      <c r="T244" s="17"/>
      <c r="U244" s="37"/>
      <c r="V244" s="37"/>
      <c r="W244" s="17"/>
      <c r="X244" s="37"/>
      <c r="Y244" s="17"/>
      <c r="Z244" s="39"/>
      <c r="AA244" s="39"/>
      <c r="AB244" s="37"/>
      <c r="AC244" s="37"/>
      <c r="AD244" s="38"/>
      <c r="AE244" s="37"/>
      <c r="AF244" s="37"/>
      <c r="AG244" s="37"/>
      <c r="AH244" s="37"/>
      <c r="AI244" s="17"/>
      <c r="AJ244" s="37"/>
      <c r="AK244" s="17"/>
      <c r="AL244" s="39"/>
      <c r="AM244" s="17"/>
      <c r="AN244" s="17"/>
      <c r="AO244" s="37"/>
      <c r="AP244" s="17"/>
      <c r="AQ244" s="37"/>
      <c r="AR244" s="37"/>
      <c r="AS244" s="37"/>
      <c r="AT244" s="17"/>
      <c r="AU244" s="37"/>
      <c r="AV244" s="37"/>
      <c r="AW244" s="38"/>
      <c r="AX244" s="37"/>
      <c r="AY244" s="38"/>
      <c r="AZ244" s="34" t="str">
        <f aca="false">IF($E244="","",COUNTA($E244,$F244,$G244,$J244,$L244,$Q244,$U244,$X244,$AM244,$AN244,$AP244,$AR244)/12)</f>
        <v/>
      </c>
      <c r="BA244" s="32" t="str">
        <f aca="false">IF($E244="","",IF(COUNTIF($E$3:$E$402,$E244)&gt;1,"DUPLICATE",""))</f>
        <v/>
      </c>
      <c r="BB244" s="17"/>
      <c r="BC244" s="35" t="str">
        <f aca="false">IF($E244="","",IFERROR(INDEX(SCORING!$C$6:$C$15,MATCH($J244,SCORING!$B$6:$B$15,0)),0)+IFERROR(INDEX(SCORING!$C$18:$C$20,MATCH($U244,SCORING!$B$18:$B$20,0)),0)+IFERROR(INDEX(SCORING!$C$23:$C$26,MATCH($X244,SCORING!$B$23:$B$26,0)),0)+IFERROR(INDEX(SCORING!$C$29:$C$32,MATCH($Q244,SCORING!$B$29:$B$32,0)),0)+IFERROR(INDEX(SCORING!$C$35:$C$37,MATCH($L244,SCORING!$B$35:$B$37,0)),0)+IF($AP244="",0,IF(AND($AQ244="Valid",$AO244="Decision maker"),SCORING!$C$40,IF($AQ244="Valid",SCORING!$C$41,SCORING!$C$42))))</f>
        <v/>
      </c>
      <c r="BD244" s="36" t="str">
        <f aca="false">IF($BC244="","",IF($BC244&gt;=SCORING!$C$46,"A",IF($BC244&gt;=SCORING!$C$47,"B",IF($BC244&gt;=SCORING!$C$48,"C","D"))))</f>
        <v/>
      </c>
      <c r="BE244" s="37"/>
    </row>
    <row r="245" customFormat="false" ht="15" hidden="false" customHeight="false" outlineLevel="0" collapsed="false">
      <c r="A245" s="37"/>
      <c r="B245" s="38"/>
      <c r="C245" s="37"/>
      <c r="D245" s="37"/>
      <c r="E245" s="17"/>
      <c r="F245" s="17"/>
      <c r="G245" s="37"/>
      <c r="H245" s="32" t="str">
        <f aca="false">IF($G245="","",IFERROR(INDEX(LISTS!$P$3:$P$145,MATCH($G245,LISTS!$O$3:$O$145,0)),"Other"))</f>
        <v/>
      </c>
      <c r="I245" s="37"/>
      <c r="J245" s="17"/>
      <c r="K245" s="17"/>
      <c r="L245" s="37"/>
      <c r="M245" s="37"/>
      <c r="N245" s="39"/>
      <c r="O245" s="37"/>
      <c r="P245" s="39"/>
      <c r="Q245" s="37"/>
      <c r="R245" s="39"/>
      <c r="S245" s="17"/>
      <c r="T245" s="17"/>
      <c r="U245" s="37"/>
      <c r="V245" s="37"/>
      <c r="W245" s="17"/>
      <c r="X245" s="37"/>
      <c r="Y245" s="17"/>
      <c r="Z245" s="39"/>
      <c r="AA245" s="39"/>
      <c r="AB245" s="37"/>
      <c r="AC245" s="37"/>
      <c r="AD245" s="38"/>
      <c r="AE245" s="37"/>
      <c r="AF245" s="37"/>
      <c r="AG245" s="37"/>
      <c r="AH245" s="37"/>
      <c r="AI245" s="17"/>
      <c r="AJ245" s="37"/>
      <c r="AK245" s="17"/>
      <c r="AL245" s="39"/>
      <c r="AM245" s="17"/>
      <c r="AN245" s="17"/>
      <c r="AO245" s="37"/>
      <c r="AP245" s="17"/>
      <c r="AQ245" s="37"/>
      <c r="AR245" s="37"/>
      <c r="AS245" s="37"/>
      <c r="AT245" s="17"/>
      <c r="AU245" s="37"/>
      <c r="AV245" s="37"/>
      <c r="AW245" s="38"/>
      <c r="AX245" s="37"/>
      <c r="AY245" s="38"/>
      <c r="AZ245" s="34" t="str">
        <f aca="false">IF($E245="","",COUNTA($E245,$F245,$G245,$J245,$L245,$Q245,$U245,$X245,$AM245,$AN245,$AP245,$AR245)/12)</f>
        <v/>
      </c>
      <c r="BA245" s="32" t="str">
        <f aca="false">IF($E245="","",IF(COUNTIF($E$3:$E$402,$E245)&gt;1,"DUPLICATE",""))</f>
        <v/>
      </c>
      <c r="BB245" s="17"/>
      <c r="BC245" s="35" t="str">
        <f aca="false">IF($E245="","",IFERROR(INDEX(SCORING!$C$6:$C$15,MATCH($J245,SCORING!$B$6:$B$15,0)),0)+IFERROR(INDEX(SCORING!$C$18:$C$20,MATCH($U245,SCORING!$B$18:$B$20,0)),0)+IFERROR(INDEX(SCORING!$C$23:$C$26,MATCH($X245,SCORING!$B$23:$B$26,0)),0)+IFERROR(INDEX(SCORING!$C$29:$C$32,MATCH($Q245,SCORING!$B$29:$B$32,0)),0)+IFERROR(INDEX(SCORING!$C$35:$C$37,MATCH($L245,SCORING!$B$35:$B$37,0)),0)+IF($AP245="",0,IF(AND($AQ245="Valid",$AO245="Decision maker"),SCORING!$C$40,IF($AQ245="Valid",SCORING!$C$41,SCORING!$C$42))))</f>
        <v/>
      </c>
      <c r="BD245" s="36" t="str">
        <f aca="false">IF($BC245="","",IF($BC245&gt;=SCORING!$C$46,"A",IF($BC245&gt;=SCORING!$C$47,"B",IF($BC245&gt;=SCORING!$C$48,"C","D"))))</f>
        <v/>
      </c>
      <c r="BE245" s="37"/>
    </row>
    <row r="246" customFormat="false" ht="15" hidden="false" customHeight="false" outlineLevel="0" collapsed="false">
      <c r="A246" s="37"/>
      <c r="B246" s="38"/>
      <c r="C246" s="37"/>
      <c r="D246" s="37"/>
      <c r="E246" s="17"/>
      <c r="F246" s="17"/>
      <c r="G246" s="37"/>
      <c r="H246" s="32" t="str">
        <f aca="false">IF($G246="","",IFERROR(INDEX(LISTS!$P$3:$P$145,MATCH($G246,LISTS!$O$3:$O$145,0)),"Other"))</f>
        <v/>
      </c>
      <c r="I246" s="37"/>
      <c r="J246" s="17"/>
      <c r="K246" s="17"/>
      <c r="L246" s="37"/>
      <c r="M246" s="37"/>
      <c r="N246" s="39"/>
      <c r="O246" s="37"/>
      <c r="P246" s="39"/>
      <c r="Q246" s="37"/>
      <c r="R246" s="39"/>
      <c r="S246" s="17"/>
      <c r="T246" s="17"/>
      <c r="U246" s="37"/>
      <c r="V246" s="37"/>
      <c r="W246" s="17"/>
      <c r="X246" s="37"/>
      <c r="Y246" s="17"/>
      <c r="Z246" s="39"/>
      <c r="AA246" s="39"/>
      <c r="AB246" s="37"/>
      <c r="AC246" s="37"/>
      <c r="AD246" s="38"/>
      <c r="AE246" s="37"/>
      <c r="AF246" s="37"/>
      <c r="AG246" s="37"/>
      <c r="AH246" s="37"/>
      <c r="AI246" s="17"/>
      <c r="AJ246" s="37"/>
      <c r="AK246" s="17"/>
      <c r="AL246" s="39"/>
      <c r="AM246" s="17"/>
      <c r="AN246" s="17"/>
      <c r="AO246" s="37"/>
      <c r="AP246" s="17"/>
      <c r="AQ246" s="37"/>
      <c r="AR246" s="37"/>
      <c r="AS246" s="37"/>
      <c r="AT246" s="17"/>
      <c r="AU246" s="37"/>
      <c r="AV246" s="37"/>
      <c r="AW246" s="38"/>
      <c r="AX246" s="37"/>
      <c r="AY246" s="38"/>
      <c r="AZ246" s="34" t="str">
        <f aca="false">IF($E246="","",COUNTA($E246,$F246,$G246,$J246,$L246,$Q246,$U246,$X246,$AM246,$AN246,$AP246,$AR246)/12)</f>
        <v/>
      </c>
      <c r="BA246" s="32" t="str">
        <f aca="false">IF($E246="","",IF(COUNTIF($E$3:$E$402,$E246)&gt;1,"DUPLICATE",""))</f>
        <v/>
      </c>
      <c r="BB246" s="17"/>
      <c r="BC246" s="35" t="str">
        <f aca="false">IF($E246="","",IFERROR(INDEX(SCORING!$C$6:$C$15,MATCH($J246,SCORING!$B$6:$B$15,0)),0)+IFERROR(INDEX(SCORING!$C$18:$C$20,MATCH($U246,SCORING!$B$18:$B$20,0)),0)+IFERROR(INDEX(SCORING!$C$23:$C$26,MATCH($X246,SCORING!$B$23:$B$26,0)),0)+IFERROR(INDEX(SCORING!$C$29:$C$32,MATCH($Q246,SCORING!$B$29:$B$32,0)),0)+IFERROR(INDEX(SCORING!$C$35:$C$37,MATCH($L246,SCORING!$B$35:$B$37,0)),0)+IF($AP246="",0,IF(AND($AQ246="Valid",$AO246="Decision maker"),SCORING!$C$40,IF($AQ246="Valid",SCORING!$C$41,SCORING!$C$42))))</f>
        <v/>
      </c>
      <c r="BD246" s="36" t="str">
        <f aca="false">IF($BC246="","",IF($BC246&gt;=SCORING!$C$46,"A",IF($BC246&gt;=SCORING!$C$47,"B",IF($BC246&gt;=SCORING!$C$48,"C","D"))))</f>
        <v/>
      </c>
      <c r="BE246" s="37"/>
    </row>
    <row r="247" customFormat="false" ht="15" hidden="false" customHeight="false" outlineLevel="0" collapsed="false">
      <c r="A247" s="37"/>
      <c r="B247" s="38"/>
      <c r="C247" s="37"/>
      <c r="D247" s="37"/>
      <c r="E247" s="17"/>
      <c r="F247" s="17"/>
      <c r="G247" s="37"/>
      <c r="H247" s="32" t="str">
        <f aca="false">IF($G247="","",IFERROR(INDEX(LISTS!$P$3:$P$145,MATCH($G247,LISTS!$O$3:$O$145,0)),"Other"))</f>
        <v/>
      </c>
      <c r="I247" s="37"/>
      <c r="J247" s="17"/>
      <c r="K247" s="17"/>
      <c r="L247" s="37"/>
      <c r="M247" s="37"/>
      <c r="N247" s="39"/>
      <c r="O247" s="37"/>
      <c r="P247" s="39"/>
      <c r="Q247" s="37"/>
      <c r="R247" s="39"/>
      <c r="S247" s="17"/>
      <c r="T247" s="17"/>
      <c r="U247" s="37"/>
      <c r="V247" s="37"/>
      <c r="W247" s="17"/>
      <c r="X247" s="37"/>
      <c r="Y247" s="17"/>
      <c r="Z247" s="39"/>
      <c r="AA247" s="39"/>
      <c r="AB247" s="37"/>
      <c r="AC247" s="37"/>
      <c r="AD247" s="38"/>
      <c r="AE247" s="37"/>
      <c r="AF247" s="37"/>
      <c r="AG247" s="37"/>
      <c r="AH247" s="37"/>
      <c r="AI247" s="17"/>
      <c r="AJ247" s="37"/>
      <c r="AK247" s="17"/>
      <c r="AL247" s="39"/>
      <c r="AM247" s="17"/>
      <c r="AN247" s="17"/>
      <c r="AO247" s="37"/>
      <c r="AP247" s="17"/>
      <c r="AQ247" s="37"/>
      <c r="AR247" s="37"/>
      <c r="AS247" s="37"/>
      <c r="AT247" s="17"/>
      <c r="AU247" s="37"/>
      <c r="AV247" s="37"/>
      <c r="AW247" s="38"/>
      <c r="AX247" s="37"/>
      <c r="AY247" s="38"/>
      <c r="AZ247" s="34" t="str">
        <f aca="false">IF($E247="","",COUNTA($E247,$F247,$G247,$J247,$L247,$Q247,$U247,$X247,$AM247,$AN247,$AP247,$AR247)/12)</f>
        <v/>
      </c>
      <c r="BA247" s="32" t="str">
        <f aca="false">IF($E247="","",IF(COUNTIF($E$3:$E$402,$E247)&gt;1,"DUPLICATE",""))</f>
        <v/>
      </c>
      <c r="BB247" s="17"/>
      <c r="BC247" s="35" t="str">
        <f aca="false">IF($E247="","",IFERROR(INDEX(SCORING!$C$6:$C$15,MATCH($J247,SCORING!$B$6:$B$15,0)),0)+IFERROR(INDEX(SCORING!$C$18:$C$20,MATCH($U247,SCORING!$B$18:$B$20,0)),0)+IFERROR(INDEX(SCORING!$C$23:$C$26,MATCH($X247,SCORING!$B$23:$B$26,0)),0)+IFERROR(INDEX(SCORING!$C$29:$C$32,MATCH($Q247,SCORING!$B$29:$B$32,0)),0)+IFERROR(INDEX(SCORING!$C$35:$C$37,MATCH($L247,SCORING!$B$35:$B$37,0)),0)+IF($AP247="",0,IF(AND($AQ247="Valid",$AO247="Decision maker"),SCORING!$C$40,IF($AQ247="Valid",SCORING!$C$41,SCORING!$C$42))))</f>
        <v/>
      </c>
      <c r="BD247" s="36" t="str">
        <f aca="false">IF($BC247="","",IF($BC247&gt;=SCORING!$C$46,"A",IF($BC247&gt;=SCORING!$C$47,"B",IF($BC247&gt;=SCORING!$C$48,"C","D"))))</f>
        <v/>
      </c>
      <c r="BE247" s="37"/>
    </row>
    <row r="248" customFormat="false" ht="15" hidden="false" customHeight="false" outlineLevel="0" collapsed="false">
      <c r="A248" s="37"/>
      <c r="B248" s="38"/>
      <c r="C248" s="37"/>
      <c r="D248" s="37"/>
      <c r="E248" s="17"/>
      <c r="F248" s="17"/>
      <c r="G248" s="37"/>
      <c r="H248" s="32" t="str">
        <f aca="false">IF($G248="","",IFERROR(INDEX(LISTS!$P$3:$P$145,MATCH($G248,LISTS!$O$3:$O$145,0)),"Other"))</f>
        <v/>
      </c>
      <c r="I248" s="37"/>
      <c r="J248" s="17"/>
      <c r="K248" s="17"/>
      <c r="L248" s="37"/>
      <c r="M248" s="37"/>
      <c r="N248" s="39"/>
      <c r="O248" s="37"/>
      <c r="P248" s="39"/>
      <c r="Q248" s="37"/>
      <c r="R248" s="39"/>
      <c r="S248" s="17"/>
      <c r="T248" s="17"/>
      <c r="U248" s="37"/>
      <c r="V248" s="37"/>
      <c r="W248" s="17"/>
      <c r="X248" s="37"/>
      <c r="Y248" s="17"/>
      <c r="Z248" s="39"/>
      <c r="AA248" s="39"/>
      <c r="AB248" s="37"/>
      <c r="AC248" s="37"/>
      <c r="AD248" s="38"/>
      <c r="AE248" s="37"/>
      <c r="AF248" s="37"/>
      <c r="AG248" s="37"/>
      <c r="AH248" s="37"/>
      <c r="AI248" s="17"/>
      <c r="AJ248" s="37"/>
      <c r="AK248" s="17"/>
      <c r="AL248" s="39"/>
      <c r="AM248" s="17"/>
      <c r="AN248" s="17"/>
      <c r="AO248" s="37"/>
      <c r="AP248" s="17"/>
      <c r="AQ248" s="37"/>
      <c r="AR248" s="37"/>
      <c r="AS248" s="37"/>
      <c r="AT248" s="17"/>
      <c r="AU248" s="37"/>
      <c r="AV248" s="37"/>
      <c r="AW248" s="38"/>
      <c r="AX248" s="37"/>
      <c r="AY248" s="38"/>
      <c r="AZ248" s="34" t="str">
        <f aca="false">IF($E248="","",COUNTA($E248,$F248,$G248,$J248,$L248,$Q248,$U248,$X248,$AM248,$AN248,$AP248,$AR248)/12)</f>
        <v/>
      </c>
      <c r="BA248" s="32" t="str">
        <f aca="false">IF($E248="","",IF(COUNTIF($E$3:$E$402,$E248)&gt;1,"DUPLICATE",""))</f>
        <v/>
      </c>
      <c r="BB248" s="17"/>
      <c r="BC248" s="35" t="str">
        <f aca="false">IF($E248="","",IFERROR(INDEX(SCORING!$C$6:$C$15,MATCH($J248,SCORING!$B$6:$B$15,0)),0)+IFERROR(INDEX(SCORING!$C$18:$C$20,MATCH($U248,SCORING!$B$18:$B$20,0)),0)+IFERROR(INDEX(SCORING!$C$23:$C$26,MATCH($X248,SCORING!$B$23:$B$26,0)),0)+IFERROR(INDEX(SCORING!$C$29:$C$32,MATCH($Q248,SCORING!$B$29:$B$32,0)),0)+IFERROR(INDEX(SCORING!$C$35:$C$37,MATCH($L248,SCORING!$B$35:$B$37,0)),0)+IF($AP248="",0,IF(AND($AQ248="Valid",$AO248="Decision maker"),SCORING!$C$40,IF($AQ248="Valid",SCORING!$C$41,SCORING!$C$42))))</f>
        <v/>
      </c>
      <c r="BD248" s="36" t="str">
        <f aca="false">IF($BC248="","",IF($BC248&gt;=SCORING!$C$46,"A",IF($BC248&gt;=SCORING!$C$47,"B",IF($BC248&gt;=SCORING!$C$48,"C","D"))))</f>
        <v/>
      </c>
      <c r="BE248" s="37"/>
    </row>
    <row r="249" customFormat="false" ht="15" hidden="false" customHeight="false" outlineLevel="0" collapsed="false">
      <c r="A249" s="37"/>
      <c r="B249" s="38"/>
      <c r="C249" s="37"/>
      <c r="D249" s="37"/>
      <c r="E249" s="17"/>
      <c r="F249" s="17"/>
      <c r="G249" s="37"/>
      <c r="H249" s="32" t="str">
        <f aca="false">IF($G249="","",IFERROR(INDEX(LISTS!$P$3:$P$145,MATCH($G249,LISTS!$O$3:$O$145,0)),"Other"))</f>
        <v/>
      </c>
      <c r="I249" s="37"/>
      <c r="J249" s="17"/>
      <c r="K249" s="17"/>
      <c r="L249" s="37"/>
      <c r="M249" s="37"/>
      <c r="N249" s="39"/>
      <c r="O249" s="37"/>
      <c r="P249" s="39"/>
      <c r="Q249" s="37"/>
      <c r="R249" s="39"/>
      <c r="S249" s="17"/>
      <c r="T249" s="17"/>
      <c r="U249" s="37"/>
      <c r="V249" s="37"/>
      <c r="W249" s="17"/>
      <c r="X249" s="37"/>
      <c r="Y249" s="17"/>
      <c r="Z249" s="39"/>
      <c r="AA249" s="39"/>
      <c r="AB249" s="37"/>
      <c r="AC249" s="37"/>
      <c r="AD249" s="38"/>
      <c r="AE249" s="37"/>
      <c r="AF249" s="37"/>
      <c r="AG249" s="37"/>
      <c r="AH249" s="37"/>
      <c r="AI249" s="17"/>
      <c r="AJ249" s="37"/>
      <c r="AK249" s="17"/>
      <c r="AL249" s="39"/>
      <c r="AM249" s="17"/>
      <c r="AN249" s="17"/>
      <c r="AO249" s="37"/>
      <c r="AP249" s="17"/>
      <c r="AQ249" s="37"/>
      <c r="AR249" s="37"/>
      <c r="AS249" s="37"/>
      <c r="AT249" s="17"/>
      <c r="AU249" s="37"/>
      <c r="AV249" s="37"/>
      <c r="AW249" s="38"/>
      <c r="AX249" s="37"/>
      <c r="AY249" s="38"/>
      <c r="AZ249" s="34" t="str">
        <f aca="false">IF($E249="","",COUNTA($E249,$F249,$G249,$J249,$L249,$Q249,$U249,$X249,$AM249,$AN249,$AP249,$AR249)/12)</f>
        <v/>
      </c>
      <c r="BA249" s="32" t="str">
        <f aca="false">IF($E249="","",IF(COUNTIF($E$3:$E$402,$E249)&gt;1,"DUPLICATE",""))</f>
        <v/>
      </c>
      <c r="BB249" s="17"/>
      <c r="BC249" s="35" t="str">
        <f aca="false">IF($E249="","",IFERROR(INDEX(SCORING!$C$6:$C$15,MATCH($J249,SCORING!$B$6:$B$15,0)),0)+IFERROR(INDEX(SCORING!$C$18:$C$20,MATCH($U249,SCORING!$B$18:$B$20,0)),0)+IFERROR(INDEX(SCORING!$C$23:$C$26,MATCH($X249,SCORING!$B$23:$B$26,0)),0)+IFERROR(INDEX(SCORING!$C$29:$C$32,MATCH($Q249,SCORING!$B$29:$B$32,0)),0)+IFERROR(INDEX(SCORING!$C$35:$C$37,MATCH($L249,SCORING!$B$35:$B$37,0)),0)+IF($AP249="",0,IF(AND($AQ249="Valid",$AO249="Decision maker"),SCORING!$C$40,IF($AQ249="Valid",SCORING!$C$41,SCORING!$C$42))))</f>
        <v/>
      </c>
      <c r="BD249" s="36" t="str">
        <f aca="false">IF($BC249="","",IF($BC249&gt;=SCORING!$C$46,"A",IF($BC249&gt;=SCORING!$C$47,"B",IF($BC249&gt;=SCORING!$C$48,"C","D"))))</f>
        <v/>
      </c>
      <c r="BE249" s="37"/>
    </row>
    <row r="250" customFormat="false" ht="15" hidden="false" customHeight="false" outlineLevel="0" collapsed="false">
      <c r="A250" s="37"/>
      <c r="B250" s="38"/>
      <c r="C250" s="37"/>
      <c r="D250" s="37"/>
      <c r="E250" s="17"/>
      <c r="F250" s="17"/>
      <c r="G250" s="37"/>
      <c r="H250" s="32" t="str">
        <f aca="false">IF($G250="","",IFERROR(INDEX(LISTS!$P$3:$P$145,MATCH($G250,LISTS!$O$3:$O$145,0)),"Other"))</f>
        <v/>
      </c>
      <c r="I250" s="37"/>
      <c r="J250" s="17"/>
      <c r="K250" s="17"/>
      <c r="L250" s="37"/>
      <c r="M250" s="37"/>
      <c r="N250" s="39"/>
      <c r="O250" s="37"/>
      <c r="P250" s="39"/>
      <c r="Q250" s="37"/>
      <c r="R250" s="39"/>
      <c r="S250" s="17"/>
      <c r="T250" s="17"/>
      <c r="U250" s="37"/>
      <c r="V250" s="37"/>
      <c r="W250" s="17"/>
      <c r="X250" s="37"/>
      <c r="Y250" s="17"/>
      <c r="Z250" s="39"/>
      <c r="AA250" s="39"/>
      <c r="AB250" s="37"/>
      <c r="AC250" s="37"/>
      <c r="AD250" s="38"/>
      <c r="AE250" s="37"/>
      <c r="AF250" s="37"/>
      <c r="AG250" s="37"/>
      <c r="AH250" s="37"/>
      <c r="AI250" s="17"/>
      <c r="AJ250" s="37"/>
      <c r="AK250" s="17"/>
      <c r="AL250" s="39"/>
      <c r="AM250" s="17"/>
      <c r="AN250" s="17"/>
      <c r="AO250" s="37"/>
      <c r="AP250" s="17"/>
      <c r="AQ250" s="37"/>
      <c r="AR250" s="37"/>
      <c r="AS250" s="37"/>
      <c r="AT250" s="17"/>
      <c r="AU250" s="37"/>
      <c r="AV250" s="37"/>
      <c r="AW250" s="38"/>
      <c r="AX250" s="37"/>
      <c r="AY250" s="38"/>
      <c r="AZ250" s="34" t="str">
        <f aca="false">IF($E250="","",COUNTA($E250,$F250,$G250,$J250,$L250,$Q250,$U250,$X250,$AM250,$AN250,$AP250,$AR250)/12)</f>
        <v/>
      </c>
      <c r="BA250" s="32" t="str">
        <f aca="false">IF($E250="","",IF(COUNTIF($E$3:$E$402,$E250)&gt;1,"DUPLICATE",""))</f>
        <v/>
      </c>
      <c r="BB250" s="17"/>
      <c r="BC250" s="35" t="str">
        <f aca="false">IF($E250="","",IFERROR(INDEX(SCORING!$C$6:$C$15,MATCH($J250,SCORING!$B$6:$B$15,0)),0)+IFERROR(INDEX(SCORING!$C$18:$C$20,MATCH($U250,SCORING!$B$18:$B$20,0)),0)+IFERROR(INDEX(SCORING!$C$23:$C$26,MATCH($X250,SCORING!$B$23:$B$26,0)),0)+IFERROR(INDEX(SCORING!$C$29:$C$32,MATCH($Q250,SCORING!$B$29:$B$32,0)),0)+IFERROR(INDEX(SCORING!$C$35:$C$37,MATCH($L250,SCORING!$B$35:$B$37,0)),0)+IF($AP250="",0,IF(AND($AQ250="Valid",$AO250="Decision maker"),SCORING!$C$40,IF($AQ250="Valid",SCORING!$C$41,SCORING!$C$42))))</f>
        <v/>
      </c>
      <c r="BD250" s="36" t="str">
        <f aca="false">IF($BC250="","",IF($BC250&gt;=SCORING!$C$46,"A",IF($BC250&gt;=SCORING!$C$47,"B",IF($BC250&gt;=SCORING!$C$48,"C","D"))))</f>
        <v/>
      </c>
      <c r="BE250" s="37"/>
    </row>
    <row r="251" customFormat="false" ht="15" hidden="false" customHeight="false" outlineLevel="0" collapsed="false">
      <c r="A251" s="37"/>
      <c r="B251" s="38"/>
      <c r="C251" s="37"/>
      <c r="D251" s="37"/>
      <c r="E251" s="17"/>
      <c r="F251" s="17"/>
      <c r="G251" s="37"/>
      <c r="H251" s="32" t="str">
        <f aca="false">IF($G251="","",IFERROR(INDEX(LISTS!$P$3:$P$145,MATCH($G251,LISTS!$O$3:$O$145,0)),"Other"))</f>
        <v/>
      </c>
      <c r="I251" s="37"/>
      <c r="J251" s="17"/>
      <c r="K251" s="17"/>
      <c r="L251" s="37"/>
      <c r="M251" s="37"/>
      <c r="N251" s="39"/>
      <c r="O251" s="37"/>
      <c r="P251" s="39"/>
      <c r="Q251" s="37"/>
      <c r="R251" s="39"/>
      <c r="S251" s="17"/>
      <c r="T251" s="17"/>
      <c r="U251" s="37"/>
      <c r="V251" s="37"/>
      <c r="W251" s="17"/>
      <c r="X251" s="37"/>
      <c r="Y251" s="17"/>
      <c r="Z251" s="39"/>
      <c r="AA251" s="39"/>
      <c r="AB251" s="37"/>
      <c r="AC251" s="37"/>
      <c r="AD251" s="38"/>
      <c r="AE251" s="37"/>
      <c r="AF251" s="37"/>
      <c r="AG251" s="37"/>
      <c r="AH251" s="37"/>
      <c r="AI251" s="17"/>
      <c r="AJ251" s="37"/>
      <c r="AK251" s="17"/>
      <c r="AL251" s="39"/>
      <c r="AM251" s="17"/>
      <c r="AN251" s="17"/>
      <c r="AO251" s="37"/>
      <c r="AP251" s="17"/>
      <c r="AQ251" s="37"/>
      <c r="AR251" s="37"/>
      <c r="AS251" s="37"/>
      <c r="AT251" s="17"/>
      <c r="AU251" s="37"/>
      <c r="AV251" s="37"/>
      <c r="AW251" s="38"/>
      <c r="AX251" s="37"/>
      <c r="AY251" s="38"/>
      <c r="AZ251" s="34" t="str">
        <f aca="false">IF($E251="","",COUNTA($E251,$F251,$G251,$J251,$L251,$Q251,$U251,$X251,$AM251,$AN251,$AP251,$AR251)/12)</f>
        <v/>
      </c>
      <c r="BA251" s="32" t="str">
        <f aca="false">IF($E251="","",IF(COUNTIF($E$3:$E$402,$E251)&gt;1,"DUPLICATE",""))</f>
        <v/>
      </c>
      <c r="BB251" s="17"/>
      <c r="BC251" s="35" t="str">
        <f aca="false">IF($E251="","",IFERROR(INDEX(SCORING!$C$6:$C$15,MATCH($J251,SCORING!$B$6:$B$15,0)),0)+IFERROR(INDEX(SCORING!$C$18:$C$20,MATCH($U251,SCORING!$B$18:$B$20,0)),0)+IFERROR(INDEX(SCORING!$C$23:$C$26,MATCH($X251,SCORING!$B$23:$B$26,0)),0)+IFERROR(INDEX(SCORING!$C$29:$C$32,MATCH($Q251,SCORING!$B$29:$B$32,0)),0)+IFERROR(INDEX(SCORING!$C$35:$C$37,MATCH($L251,SCORING!$B$35:$B$37,0)),0)+IF($AP251="",0,IF(AND($AQ251="Valid",$AO251="Decision maker"),SCORING!$C$40,IF($AQ251="Valid",SCORING!$C$41,SCORING!$C$42))))</f>
        <v/>
      </c>
      <c r="BD251" s="36" t="str">
        <f aca="false">IF($BC251="","",IF($BC251&gt;=SCORING!$C$46,"A",IF($BC251&gt;=SCORING!$C$47,"B",IF($BC251&gt;=SCORING!$C$48,"C","D"))))</f>
        <v/>
      </c>
      <c r="BE251" s="37"/>
    </row>
    <row r="252" customFormat="false" ht="15" hidden="false" customHeight="false" outlineLevel="0" collapsed="false">
      <c r="A252" s="37"/>
      <c r="B252" s="38"/>
      <c r="C252" s="37"/>
      <c r="D252" s="37"/>
      <c r="E252" s="17"/>
      <c r="F252" s="17"/>
      <c r="G252" s="37"/>
      <c r="H252" s="32" t="str">
        <f aca="false">IF($G252="","",IFERROR(INDEX(LISTS!$P$3:$P$145,MATCH($G252,LISTS!$O$3:$O$145,0)),"Other"))</f>
        <v/>
      </c>
      <c r="I252" s="37"/>
      <c r="J252" s="17"/>
      <c r="K252" s="17"/>
      <c r="L252" s="37"/>
      <c r="M252" s="37"/>
      <c r="N252" s="39"/>
      <c r="O252" s="37"/>
      <c r="P252" s="39"/>
      <c r="Q252" s="37"/>
      <c r="R252" s="39"/>
      <c r="S252" s="17"/>
      <c r="T252" s="17"/>
      <c r="U252" s="37"/>
      <c r="V252" s="37"/>
      <c r="W252" s="17"/>
      <c r="X252" s="37"/>
      <c r="Y252" s="17"/>
      <c r="Z252" s="39"/>
      <c r="AA252" s="39"/>
      <c r="AB252" s="37"/>
      <c r="AC252" s="37"/>
      <c r="AD252" s="38"/>
      <c r="AE252" s="37"/>
      <c r="AF252" s="37"/>
      <c r="AG252" s="37"/>
      <c r="AH252" s="37"/>
      <c r="AI252" s="17"/>
      <c r="AJ252" s="37"/>
      <c r="AK252" s="17"/>
      <c r="AL252" s="39"/>
      <c r="AM252" s="17"/>
      <c r="AN252" s="17"/>
      <c r="AO252" s="37"/>
      <c r="AP252" s="17"/>
      <c r="AQ252" s="37"/>
      <c r="AR252" s="37"/>
      <c r="AS252" s="37"/>
      <c r="AT252" s="17"/>
      <c r="AU252" s="37"/>
      <c r="AV252" s="37"/>
      <c r="AW252" s="38"/>
      <c r="AX252" s="37"/>
      <c r="AY252" s="38"/>
      <c r="AZ252" s="34" t="str">
        <f aca="false">IF($E252="","",COUNTA($E252,$F252,$G252,$J252,$L252,$Q252,$U252,$X252,$AM252,$AN252,$AP252,$AR252)/12)</f>
        <v/>
      </c>
      <c r="BA252" s="32" t="str">
        <f aca="false">IF($E252="","",IF(COUNTIF($E$3:$E$402,$E252)&gt;1,"DUPLICATE",""))</f>
        <v/>
      </c>
      <c r="BB252" s="17"/>
      <c r="BC252" s="35" t="str">
        <f aca="false">IF($E252="","",IFERROR(INDEX(SCORING!$C$6:$C$15,MATCH($J252,SCORING!$B$6:$B$15,0)),0)+IFERROR(INDEX(SCORING!$C$18:$C$20,MATCH($U252,SCORING!$B$18:$B$20,0)),0)+IFERROR(INDEX(SCORING!$C$23:$C$26,MATCH($X252,SCORING!$B$23:$B$26,0)),0)+IFERROR(INDEX(SCORING!$C$29:$C$32,MATCH($Q252,SCORING!$B$29:$B$32,0)),0)+IFERROR(INDEX(SCORING!$C$35:$C$37,MATCH($L252,SCORING!$B$35:$B$37,0)),0)+IF($AP252="",0,IF(AND($AQ252="Valid",$AO252="Decision maker"),SCORING!$C$40,IF($AQ252="Valid",SCORING!$C$41,SCORING!$C$42))))</f>
        <v/>
      </c>
      <c r="BD252" s="36" t="str">
        <f aca="false">IF($BC252="","",IF($BC252&gt;=SCORING!$C$46,"A",IF($BC252&gt;=SCORING!$C$47,"B",IF($BC252&gt;=SCORING!$C$48,"C","D"))))</f>
        <v/>
      </c>
      <c r="BE252" s="37"/>
    </row>
    <row r="253" customFormat="false" ht="15" hidden="false" customHeight="false" outlineLevel="0" collapsed="false">
      <c r="A253" s="37"/>
      <c r="B253" s="38"/>
      <c r="C253" s="37"/>
      <c r="D253" s="37"/>
      <c r="E253" s="17"/>
      <c r="F253" s="17"/>
      <c r="G253" s="37"/>
      <c r="H253" s="32" t="str">
        <f aca="false">IF($G253="","",IFERROR(INDEX(LISTS!$P$3:$P$145,MATCH($G253,LISTS!$O$3:$O$145,0)),"Other"))</f>
        <v/>
      </c>
      <c r="I253" s="37"/>
      <c r="J253" s="17"/>
      <c r="K253" s="17"/>
      <c r="L253" s="37"/>
      <c r="M253" s="37"/>
      <c r="N253" s="39"/>
      <c r="O253" s="37"/>
      <c r="P253" s="39"/>
      <c r="Q253" s="37"/>
      <c r="R253" s="39"/>
      <c r="S253" s="17"/>
      <c r="T253" s="17"/>
      <c r="U253" s="37"/>
      <c r="V253" s="37"/>
      <c r="W253" s="17"/>
      <c r="X253" s="37"/>
      <c r="Y253" s="17"/>
      <c r="Z253" s="39"/>
      <c r="AA253" s="39"/>
      <c r="AB253" s="37"/>
      <c r="AC253" s="37"/>
      <c r="AD253" s="38"/>
      <c r="AE253" s="37"/>
      <c r="AF253" s="37"/>
      <c r="AG253" s="37"/>
      <c r="AH253" s="37"/>
      <c r="AI253" s="17"/>
      <c r="AJ253" s="37"/>
      <c r="AK253" s="17"/>
      <c r="AL253" s="39"/>
      <c r="AM253" s="17"/>
      <c r="AN253" s="17"/>
      <c r="AO253" s="37"/>
      <c r="AP253" s="17"/>
      <c r="AQ253" s="37"/>
      <c r="AR253" s="37"/>
      <c r="AS253" s="37"/>
      <c r="AT253" s="17"/>
      <c r="AU253" s="37"/>
      <c r="AV253" s="37"/>
      <c r="AW253" s="38"/>
      <c r="AX253" s="37"/>
      <c r="AY253" s="38"/>
      <c r="AZ253" s="34" t="str">
        <f aca="false">IF($E253="","",COUNTA($E253,$F253,$G253,$J253,$L253,$Q253,$U253,$X253,$AM253,$AN253,$AP253,$AR253)/12)</f>
        <v/>
      </c>
      <c r="BA253" s="32" t="str">
        <f aca="false">IF($E253="","",IF(COUNTIF($E$3:$E$402,$E253)&gt;1,"DUPLICATE",""))</f>
        <v/>
      </c>
      <c r="BB253" s="17"/>
      <c r="BC253" s="35" t="str">
        <f aca="false">IF($E253="","",IFERROR(INDEX(SCORING!$C$6:$C$15,MATCH($J253,SCORING!$B$6:$B$15,0)),0)+IFERROR(INDEX(SCORING!$C$18:$C$20,MATCH($U253,SCORING!$B$18:$B$20,0)),0)+IFERROR(INDEX(SCORING!$C$23:$C$26,MATCH($X253,SCORING!$B$23:$B$26,0)),0)+IFERROR(INDEX(SCORING!$C$29:$C$32,MATCH($Q253,SCORING!$B$29:$B$32,0)),0)+IFERROR(INDEX(SCORING!$C$35:$C$37,MATCH($L253,SCORING!$B$35:$B$37,0)),0)+IF($AP253="",0,IF(AND($AQ253="Valid",$AO253="Decision maker"),SCORING!$C$40,IF($AQ253="Valid",SCORING!$C$41,SCORING!$C$42))))</f>
        <v/>
      </c>
      <c r="BD253" s="36" t="str">
        <f aca="false">IF($BC253="","",IF($BC253&gt;=SCORING!$C$46,"A",IF($BC253&gt;=SCORING!$C$47,"B",IF($BC253&gt;=SCORING!$C$48,"C","D"))))</f>
        <v/>
      </c>
      <c r="BE253" s="37"/>
    </row>
    <row r="254" customFormat="false" ht="15" hidden="false" customHeight="false" outlineLevel="0" collapsed="false">
      <c r="A254" s="37"/>
      <c r="B254" s="38"/>
      <c r="C254" s="37"/>
      <c r="D254" s="37"/>
      <c r="E254" s="17"/>
      <c r="F254" s="17"/>
      <c r="G254" s="37"/>
      <c r="H254" s="32" t="str">
        <f aca="false">IF($G254="","",IFERROR(INDEX(LISTS!$P$3:$P$145,MATCH($G254,LISTS!$O$3:$O$145,0)),"Other"))</f>
        <v/>
      </c>
      <c r="I254" s="37"/>
      <c r="J254" s="17"/>
      <c r="K254" s="17"/>
      <c r="L254" s="37"/>
      <c r="M254" s="37"/>
      <c r="N254" s="39"/>
      <c r="O254" s="37"/>
      <c r="P254" s="39"/>
      <c r="Q254" s="37"/>
      <c r="R254" s="39"/>
      <c r="S254" s="17"/>
      <c r="T254" s="17"/>
      <c r="U254" s="37"/>
      <c r="V254" s="37"/>
      <c r="W254" s="17"/>
      <c r="X254" s="37"/>
      <c r="Y254" s="17"/>
      <c r="Z254" s="39"/>
      <c r="AA254" s="39"/>
      <c r="AB254" s="37"/>
      <c r="AC254" s="37"/>
      <c r="AD254" s="38"/>
      <c r="AE254" s="37"/>
      <c r="AF254" s="37"/>
      <c r="AG254" s="37"/>
      <c r="AH254" s="37"/>
      <c r="AI254" s="17"/>
      <c r="AJ254" s="37"/>
      <c r="AK254" s="17"/>
      <c r="AL254" s="39"/>
      <c r="AM254" s="17"/>
      <c r="AN254" s="17"/>
      <c r="AO254" s="37"/>
      <c r="AP254" s="17"/>
      <c r="AQ254" s="37"/>
      <c r="AR254" s="37"/>
      <c r="AS254" s="37"/>
      <c r="AT254" s="17"/>
      <c r="AU254" s="37"/>
      <c r="AV254" s="37"/>
      <c r="AW254" s="38"/>
      <c r="AX254" s="37"/>
      <c r="AY254" s="38"/>
      <c r="AZ254" s="34" t="str">
        <f aca="false">IF($E254="","",COUNTA($E254,$F254,$G254,$J254,$L254,$Q254,$U254,$X254,$AM254,$AN254,$AP254,$AR254)/12)</f>
        <v/>
      </c>
      <c r="BA254" s="32" t="str">
        <f aca="false">IF($E254="","",IF(COUNTIF($E$3:$E$402,$E254)&gt;1,"DUPLICATE",""))</f>
        <v/>
      </c>
      <c r="BB254" s="17"/>
      <c r="BC254" s="35" t="str">
        <f aca="false">IF($E254="","",IFERROR(INDEX(SCORING!$C$6:$C$15,MATCH($J254,SCORING!$B$6:$B$15,0)),0)+IFERROR(INDEX(SCORING!$C$18:$C$20,MATCH($U254,SCORING!$B$18:$B$20,0)),0)+IFERROR(INDEX(SCORING!$C$23:$C$26,MATCH($X254,SCORING!$B$23:$B$26,0)),0)+IFERROR(INDEX(SCORING!$C$29:$C$32,MATCH($Q254,SCORING!$B$29:$B$32,0)),0)+IFERROR(INDEX(SCORING!$C$35:$C$37,MATCH($L254,SCORING!$B$35:$B$37,0)),0)+IF($AP254="",0,IF(AND($AQ254="Valid",$AO254="Decision maker"),SCORING!$C$40,IF($AQ254="Valid",SCORING!$C$41,SCORING!$C$42))))</f>
        <v/>
      </c>
      <c r="BD254" s="36" t="str">
        <f aca="false">IF($BC254="","",IF($BC254&gt;=SCORING!$C$46,"A",IF($BC254&gt;=SCORING!$C$47,"B",IF($BC254&gt;=SCORING!$C$48,"C","D"))))</f>
        <v/>
      </c>
      <c r="BE254" s="37"/>
    </row>
    <row r="255" customFormat="false" ht="15" hidden="false" customHeight="false" outlineLevel="0" collapsed="false">
      <c r="A255" s="37"/>
      <c r="B255" s="38"/>
      <c r="C255" s="37"/>
      <c r="D255" s="37"/>
      <c r="E255" s="17"/>
      <c r="F255" s="17"/>
      <c r="G255" s="37"/>
      <c r="H255" s="32" t="str">
        <f aca="false">IF($G255="","",IFERROR(INDEX(LISTS!$P$3:$P$145,MATCH($G255,LISTS!$O$3:$O$145,0)),"Other"))</f>
        <v/>
      </c>
      <c r="I255" s="37"/>
      <c r="J255" s="17"/>
      <c r="K255" s="17"/>
      <c r="L255" s="37"/>
      <c r="M255" s="37"/>
      <c r="N255" s="39"/>
      <c r="O255" s="37"/>
      <c r="P255" s="39"/>
      <c r="Q255" s="37"/>
      <c r="R255" s="39"/>
      <c r="S255" s="17"/>
      <c r="T255" s="17"/>
      <c r="U255" s="37"/>
      <c r="V255" s="37"/>
      <c r="W255" s="17"/>
      <c r="X255" s="37"/>
      <c r="Y255" s="17"/>
      <c r="Z255" s="39"/>
      <c r="AA255" s="39"/>
      <c r="AB255" s="37"/>
      <c r="AC255" s="37"/>
      <c r="AD255" s="38"/>
      <c r="AE255" s="37"/>
      <c r="AF255" s="37"/>
      <c r="AG255" s="37"/>
      <c r="AH255" s="37"/>
      <c r="AI255" s="17"/>
      <c r="AJ255" s="37"/>
      <c r="AK255" s="17"/>
      <c r="AL255" s="39"/>
      <c r="AM255" s="17"/>
      <c r="AN255" s="17"/>
      <c r="AO255" s="37"/>
      <c r="AP255" s="17"/>
      <c r="AQ255" s="37"/>
      <c r="AR255" s="37"/>
      <c r="AS255" s="37"/>
      <c r="AT255" s="17"/>
      <c r="AU255" s="37"/>
      <c r="AV255" s="37"/>
      <c r="AW255" s="38"/>
      <c r="AX255" s="37"/>
      <c r="AY255" s="38"/>
      <c r="AZ255" s="34" t="str">
        <f aca="false">IF($E255="","",COUNTA($E255,$F255,$G255,$J255,$L255,$Q255,$U255,$X255,$AM255,$AN255,$AP255,$AR255)/12)</f>
        <v/>
      </c>
      <c r="BA255" s="32" t="str">
        <f aca="false">IF($E255="","",IF(COUNTIF($E$3:$E$402,$E255)&gt;1,"DUPLICATE",""))</f>
        <v/>
      </c>
      <c r="BB255" s="17"/>
      <c r="BC255" s="35" t="str">
        <f aca="false">IF($E255="","",IFERROR(INDEX(SCORING!$C$6:$C$15,MATCH($J255,SCORING!$B$6:$B$15,0)),0)+IFERROR(INDEX(SCORING!$C$18:$C$20,MATCH($U255,SCORING!$B$18:$B$20,0)),0)+IFERROR(INDEX(SCORING!$C$23:$C$26,MATCH($X255,SCORING!$B$23:$B$26,0)),0)+IFERROR(INDEX(SCORING!$C$29:$C$32,MATCH($Q255,SCORING!$B$29:$B$32,0)),0)+IFERROR(INDEX(SCORING!$C$35:$C$37,MATCH($L255,SCORING!$B$35:$B$37,0)),0)+IF($AP255="",0,IF(AND($AQ255="Valid",$AO255="Decision maker"),SCORING!$C$40,IF($AQ255="Valid",SCORING!$C$41,SCORING!$C$42))))</f>
        <v/>
      </c>
      <c r="BD255" s="36" t="str">
        <f aca="false">IF($BC255="","",IF($BC255&gt;=SCORING!$C$46,"A",IF($BC255&gt;=SCORING!$C$47,"B",IF($BC255&gt;=SCORING!$C$48,"C","D"))))</f>
        <v/>
      </c>
      <c r="BE255" s="37"/>
    </row>
    <row r="256" customFormat="false" ht="15" hidden="false" customHeight="false" outlineLevel="0" collapsed="false">
      <c r="A256" s="37"/>
      <c r="B256" s="38"/>
      <c r="C256" s="37"/>
      <c r="D256" s="37"/>
      <c r="E256" s="17"/>
      <c r="F256" s="17"/>
      <c r="G256" s="37"/>
      <c r="H256" s="32" t="str">
        <f aca="false">IF($G256="","",IFERROR(INDEX(LISTS!$P$3:$P$145,MATCH($G256,LISTS!$O$3:$O$145,0)),"Other"))</f>
        <v/>
      </c>
      <c r="I256" s="37"/>
      <c r="J256" s="17"/>
      <c r="K256" s="17"/>
      <c r="L256" s="37"/>
      <c r="M256" s="37"/>
      <c r="N256" s="39"/>
      <c r="O256" s="37"/>
      <c r="P256" s="39"/>
      <c r="Q256" s="37"/>
      <c r="R256" s="39"/>
      <c r="S256" s="17"/>
      <c r="T256" s="17"/>
      <c r="U256" s="37"/>
      <c r="V256" s="37"/>
      <c r="W256" s="17"/>
      <c r="X256" s="37"/>
      <c r="Y256" s="17"/>
      <c r="Z256" s="39"/>
      <c r="AA256" s="39"/>
      <c r="AB256" s="37"/>
      <c r="AC256" s="37"/>
      <c r="AD256" s="38"/>
      <c r="AE256" s="37"/>
      <c r="AF256" s="37"/>
      <c r="AG256" s="37"/>
      <c r="AH256" s="37"/>
      <c r="AI256" s="17"/>
      <c r="AJ256" s="37"/>
      <c r="AK256" s="17"/>
      <c r="AL256" s="39"/>
      <c r="AM256" s="17"/>
      <c r="AN256" s="17"/>
      <c r="AO256" s="37"/>
      <c r="AP256" s="17"/>
      <c r="AQ256" s="37"/>
      <c r="AR256" s="37"/>
      <c r="AS256" s="37"/>
      <c r="AT256" s="17"/>
      <c r="AU256" s="37"/>
      <c r="AV256" s="37"/>
      <c r="AW256" s="38"/>
      <c r="AX256" s="37"/>
      <c r="AY256" s="38"/>
      <c r="AZ256" s="34" t="str">
        <f aca="false">IF($E256="","",COUNTA($E256,$F256,$G256,$J256,$L256,$Q256,$U256,$X256,$AM256,$AN256,$AP256,$AR256)/12)</f>
        <v/>
      </c>
      <c r="BA256" s="32" t="str">
        <f aca="false">IF($E256="","",IF(COUNTIF($E$3:$E$402,$E256)&gt;1,"DUPLICATE",""))</f>
        <v/>
      </c>
      <c r="BB256" s="17"/>
      <c r="BC256" s="35" t="str">
        <f aca="false">IF($E256="","",IFERROR(INDEX(SCORING!$C$6:$C$15,MATCH($J256,SCORING!$B$6:$B$15,0)),0)+IFERROR(INDEX(SCORING!$C$18:$C$20,MATCH($U256,SCORING!$B$18:$B$20,0)),0)+IFERROR(INDEX(SCORING!$C$23:$C$26,MATCH($X256,SCORING!$B$23:$B$26,0)),0)+IFERROR(INDEX(SCORING!$C$29:$C$32,MATCH($Q256,SCORING!$B$29:$B$32,0)),0)+IFERROR(INDEX(SCORING!$C$35:$C$37,MATCH($L256,SCORING!$B$35:$B$37,0)),0)+IF($AP256="",0,IF(AND($AQ256="Valid",$AO256="Decision maker"),SCORING!$C$40,IF($AQ256="Valid",SCORING!$C$41,SCORING!$C$42))))</f>
        <v/>
      </c>
      <c r="BD256" s="36" t="str">
        <f aca="false">IF($BC256="","",IF($BC256&gt;=SCORING!$C$46,"A",IF($BC256&gt;=SCORING!$C$47,"B",IF($BC256&gt;=SCORING!$C$48,"C","D"))))</f>
        <v/>
      </c>
      <c r="BE256" s="37"/>
    </row>
    <row r="257" customFormat="false" ht="15" hidden="false" customHeight="false" outlineLevel="0" collapsed="false">
      <c r="A257" s="37"/>
      <c r="B257" s="38"/>
      <c r="C257" s="37"/>
      <c r="D257" s="37"/>
      <c r="E257" s="17"/>
      <c r="F257" s="17"/>
      <c r="G257" s="37"/>
      <c r="H257" s="32" t="str">
        <f aca="false">IF($G257="","",IFERROR(INDEX(LISTS!$P$3:$P$145,MATCH($G257,LISTS!$O$3:$O$145,0)),"Other"))</f>
        <v/>
      </c>
      <c r="I257" s="37"/>
      <c r="J257" s="17"/>
      <c r="K257" s="17"/>
      <c r="L257" s="37"/>
      <c r="M257" s="37"/>
      <c r="N257" s="39"/>
      <c r="O257" s="37"/>
      <c r="P257" s="39"/>
      <c r="Q257" s="37"/>
      <c r="R257" s="39"/>
      <c r="S257" s="17"/>
      <c r="T257" s="17"/>
      <c r="U257" s="37"/>
      <c r="V257" s="37"/>
      <c r="W257" s="17"/>
      <c r="X257" s="37"/>
      <c r="Y257" s="17"/>
      <c r="Z257" s="39"/>
      <c r="AA257" s="39"/>
      <c r="AB257" s="37"/>
      <c r="AC257" s="37"/>
      <c r="AD257" s="38"/>
      <c r="AE257" s="37"/>
      <c r="AF257" s="37"/>
      <c r="AG257" s="37"/>
      <c r="AH257" s="37"/>
      <c r="AI257" s="17"/>
      <c r="AJ257" s="37"/>
      <c r="AK257" s="17"/>
      <c r="AL257" s="39"/>
      <c r="AM257" s="17"/>
      <c r="AN257" s="17"/>
      <c r="AO257" s="37"/>
      <c r="AP257" s="17"/>
      <c r="AQ257" s="37"/>
      <c r="AR257" s="37"/>
      <c r="AS257" s="37"/>
      <c r="AT257" s="17"/>
      <c r="AU257" s="37"/>
      <c r="AV257" s="37"/>
      <c r="AW257" s="38"/>
      <c r="AX257" s="37"/>
      <c r="AY257" s="38"/>
      <c r="AZ257" s="34" t="str">
        <f aca="false">IF($E257="","",COUNTA($E257,$F257,$G257,$J257,$L257,$Q257,$U257,$X257,$AM257,$AN257,$AP257,$AR257)/12)</f>
        <v/>
      </c>
      <c r="BA257" s="32" t="str">
        <f aca="false">IF($E257="","",IF(COUNTIF($E$3:$E$402,$E257)&gt;1,"DUPLICATE",""))</f>
        <v/>
      </c>
      <c r="BB257" s="17"/>
      <c r="BC257" s="35" t="str">
        <f aca="false">IF($E257="","",IFERROR(INDEX(SCORING!$C$6:$C$15,MATCH($J257,SCORING!$B$6:$B$15,0)),0)+IFERROR(INDEX(SCORING!$C$18:$C$20,MATCH($U257,SCORING!$B$18:$B$20,0)),0)+IFERROR(INDEX(SCORING!$C$23:$C$26,MATCH($X257,SCORING!$B$23:$B$26,0)),0)+IFERROR(INDEX(SCORING!$C$29:$C$32,MATCH($Q257,SCORING!$B$29:$B$32,0)),0)+IFERROR(INDEX(SCORING!$C$35:$C$37,MATCH($L257,SCORING!$B$35:$B$37,0)),0)+IF($AP257="",0,IF(AND($AQ257="Valid",$AO257="Decision maker"),SCORING!$C$40,IF($AQ257="Valid",SCORING!$C$41,SCORING!$C$42))))</f>
        <v/>
      </c>
      <c r="BD257" s="36" t="str">
        <f aca="false">IF($BC257="","",IF($BC257&gt;=SCORING!$C$46,"A",IF($BC257&gt;=SCORING!$C$47,"B",IF($BC257&gt;=SCORING!$C$48,"C","D"))))</f>
        <v/>
      </c>
      <c r="BE257" s="37"/>
    </row>
    <row r="258" customFormat="false" ht="15" hidden="false" customHeight="false" outlineLevel="0" collapsed="false">
      <c r="A258" s="37"/>
      <c r="B258" s="38"/>
      <c r="C258" s="37"/>
      <c r="D258" s="37"/>
      <c r="E258" s="17"/>
      <c r="F258" s="17"/>
      <c r="G258" s="37"/>
      <c r="H258" s="32" t="str">
        <f aca="false">IF($G258="","",IFERROR(INDEX(LISTS!$P$3:$P$145,MATCH($G258,LISTS!$O$3:$O$145,0)),"Other"))</f>
        <v/>
      </c>
      <c r="I258" s="37"/>
      <c r="J258" s="17"/>
      <c r="K258" s="17"/>
      <c r="L258" s="37"/>
      <c r="M258" s="37"/>
      <c r="N258" s="39"/>
      <c r="O258" s="37"/>
      <c r="P258" s="39"/>
      <c r="Q258" s="37"/>
      <c r="R258" s="39"/>
      <c r="S258" s="17"/>
      <c r="T258" s="17"/>
      <c r="U258" s="37"/>
      <c r="V258" s="37"/>
      <c r="W258" s="17"/>
      <c r="X258" s="37"/>
      <c r="Y258" s="17"/>
      <c r="Z258" s="39"/>
      <c r="AA258" s="39"/>
      <c r="AB258" s="37"/>
      <c r="AC258" s="37"/>
      <c r="AD258" s="38"/>
      <c r="AE258" s="37"/>
      <c r="AF258" s="37"/>
      <c r="AG258" s="37"/>
      <c r="AH258" s="37"/>
      <c r="AI258" s="17"/>
      <c r="AJ258" s="37"/>
      <c r="AK258" s="17"/>
      <c r="AL258" s="39"/>
      <c r="AM258" s="17"/>
      <c r="AN258" s="17"/>
      <c r="AO258" s="37"/>
      <c r="AP258" s="17"/>
      <c r="AQ258" s="37"/>
      <c r="AR258" s="37"/>
      <c r="AS258" s="37"/>
      <c r="AT258" s="17"/>
      <c r="AU258" s="37"/>
      <c r="AV258" s="37"/>
      <c r="AW258" s="38"/>
      <c r="AX258" s="37"/>
      <c r="AY258" s="38"/>
      <c r="AZ258" s="34" t="str">
        <f aca="false">IF($E258="","",COUNTA($E258,$F258,$G258,$J258,$L258,$Q258,$U258,$X258,$AM258,$AN258,$AP258,$AR258)/12)</f>
        <v/>
      </c>
      <c r="BA258" s="32" t="str">
        <f aca="false">IF($E258="","",IF(COUNTIF($E$3:$E$402,$E258)&gt;1,"DUPLICATE",""))</f>
        <v/>
      </c>
      <c r="BB258" s="17"/>
      <c r="BC258" s="35" t="str">
        <f aca="false">IF($E258="","",IFERROR(INDEX(SCORING!$C$6:$C$15,MATCH($J258,SCORING!$B$6:$B$15,0)),0)+IFERROR(INDEX(SCORING!$C$18:$C$20,MATCH($U258,SCORING!$B$18:$B$20,0)),0)+IFERROR(INDEX(SCORING!$C$23:$C$26,MATCH($X258,SCORING!$B$23:$B$26,0)),0)+IFERROR(INDEX(SCORING!$C$29:$C$32,MATCH($Q258,SCORING!$B$29:$B$32,0)),0)+IFERROR(INDEX(SCORING!$C$35:$C$37,MATCH($L258,SCORING!$B$35:$B$37,0)),0)+IF($AP258="",0,IF(AND($AQ258="Valid",$AO258="Decision maker"),SCORING!$C$40,IF($AQ258="Valid",SCORING!$C$41,SCORING!$C$42))))</f>
        <v/>
      </c>
      <c r="BD258" s="36" t="str">
        <f aca="false">IF($BC258="","",IF($BC258&gt;=SCORING!$C$46,"A",IF($BC258&gt;=SCORING!$C$47,"B",IF($BC258&gt;=SCORING!$C$48,"C","D"))))</f>
        <v/>
      </c>
      <c r="BE258" s="37"/>
    </row>
    <row r="259" customFormat="false" ht="15" hidden="false" customHeight="false" outlineLevel="0" collapsed="false">
      <c r="A259" s="37"/>
      <c r="B259" s="38"/>
      <c r="C259" s="37"/>
      <c r="D259" s="37"/>
      <c r="E259" s="17"/>
      <c r="F259" s="17"/>
      <c r="G259" s="37"/>
      <c r="H259" s="32" t="str">
        <f aca="false">IF($G259="","",IFERROR(INDEX(LISTS!$P$3:$P$145,MATCH($G259,LISTS!$O$3:$O$145,0)),"Other"))</f>
        <v/>
      </c>
      <c r="I259" s="37"/>
      <c r="J259" s="17"/>
      <c r="K259" s="17"/>
      <c r="L259" s="37"/>
      <c r="M259" s="37"/>
      <c r="N259" s="39"/>
      <c r="O259" s="37"/>
      <c r="P259" s="39"/>
      <c r="Q259" s="37"/>
      <c r="R259" s="39"/>
      <c r="S259" s="17"/>
      <c r="T259" s="17"/>
      <c r="U259" s="37"/>
      <c r="V259" s="37"/>
      <c r="W259" s="17"/>
      <c r="X259" s="37"/>
      <c r="Y259" s="17"/>
      <c r="Z259" s="39"/>
      <c r="AA259" s="39"/>
      <c r="AB259" s="37"/>
      <c r="AC259" s="37"/>
      <c r="AD259" s="38"/>
      <c r="AE259" s="37"/>
      <c r="AF259" s="37"/>
      <c r="AG259" s="37"/>
      <c r="AH259" s="37"/>
      <c r="AI259" s="17"/>
      <c r="AJ259" s="37"/>
      <c r="AK259" s="17"/>
      <c r="AL259" s="39"/>
      <c r="AM259" s="17"/>
      <c r="AN259" s="17"/>
      <c r="AO259" s="37"/>
      <c r="AP259" s="17"/>
      <c r="AQ259" s="37"/>
      <c r="AR259" s="37"/>
      <c r="AS259" s="37"/>
      <c r="AT259" s="17"/>
      <c r="AU259" s="37"/>
      <c r="AV259" s="37"/>
      <c r="AW259" s="38"/>
      <c r="AX259" s="37"/>
      <c r="AY259" s="38"/>
      <c r="AZ259" s="34" t="str">
        <f aca="false">IF($E259="","",COUNTA($E259,$F259,$G259,$J259,$L259,$Q259,$U259,$X259,$AM259,$AN259,$AP259,$AR259)/12)</f>
        <v/>
      </c>
      <c r="BA259" s="32" t="str">
        <f aca="false">IF($E259="","",IF(COUNTIF($E$3:$E$402,$E259)&gt;1,"DUPLICATE",""))</f>
        <v/>
      </c>
      <c r="BB259" s="17"/>
      <c r="BC259" s="35" t="str">
        <f aca="false">IF($E259="","",IFERROR(INDEX(SCORING!$C$6:$C$15,MATCH($J259,SCORING!$B$6:$B$15,0)),0)+IFERROR(INDEX(SCORING!$C$18:$C$20,MATCH($U259,SCORING!$B$18:$B$20,0)),0)+IFERROR(INDEX(SCORING!$C$23:$C$26,MATCH($X259,SCORING!$B$23:$B$26,0)),0)+IFERROR(INDEX(SCORING!$C$29:$C$32,MATCH($Q259,SCORING!$B$29:$B$32,0)),0)+IFERROR(INDEX(SCORING!$C$35:$C$37,MATCH($L259,SCORING!$B$35:$B$37,0)),0)+IF($AP259="",0,IF(AND($AQ259="Valid",$AO259="Decision maker"),SCORING!$C$40,IF($AQ259="Valid",SCORING!$C$41,SCORING!$C$42))))</f>
        <v/>
      </c>
      <c r="BD259" s="36" t="str">
        <f aca="false">IF($BC259="","",IF($BC259&gt;=SCORING!$C$46,"A",IF($BC259&gt;=SCORING!$C$47,"B",IF($BC259&gt;=SCORING!$C$48,"C","D"))))</f>
        <v/>
      </c>
      <c r="BE259" s="37"/>
    </row>
    <row r="260" customFormat="false" ht="15" hidden="false" customHeight="false" outlineLevel="0" collapsed="false">
      <c r="A260" s="37"/>
      <c r="B260" s="38"/>
      <c r="C260" s="37"/>
      <c r="D260" s="37"/>
      <c r="E260" s="17"/>
      <c r="F260" s="17"/>
      <c r="G260" s="37"/>
      <c r="H260" s="32" t="str">
        <f aca="false">IF($G260="","",IFERROR(INDEX(LISTS!$P$3:$P$145,MATCH($G260,LISTS!$O$3:$O$145,0)),"Other"))</f>
        <v/>
      </c>
      <c r="I260" s="37"/>
      <c r="J260" s="17"/>
      <c r="K260" s="17"/>
      <c r="L260" s="37"/>
      <c r="M260" s="37"/>
      <c r="N260" s="39"/>
      <c r="O260" s="37"/>
      <c r="P260" s="39"/>
      <c r="Q260" s="37"/>
      <c r="R260" s="39"/>
      <c r="S260" s="17"/>
      <c r="T260" s="17"/>
      <c r="U260" s="37"/>
      <c r="V260" s="37"/>
      <c r="W260" s="17"/>
      <c r="X260" s="37"/>
      <c r="Y260" s="17"/>
      <c r="Z260" s="39"/>
      <c r="AA260" s="39"/>
      <c r="AB260" s="37"/>
      <c r="AC260" s="37"/>
      <c r="AD260" s="38"/>
      <c r="AE260" s="37"/>
      <c r="AF260" s="37"/>
      <c r="AG260" s="37"/>
      <c r="AH260" s="37"/>
      <c r="AI260" s="17"/>
      <c r="AJ260" s="37"/>
      <c r="AK260" s="17"/>
      <c r="AL260" s="39"/>
      <c r="AM260" s="17"/>
      <c r="AN260" s="17"/>
      <c r="AO260" s="37"/>
      <c r="AP260" s="17"/>
      <c r="AQ260" s="37"/>
      <c r="AR260" s="37"/>
      <c r="AS260" s="37"/>
      <c r="AT260" s="17"/>
      <c r="AU260" s="37"/>
      <c r="AV260" s="37"/>
      <c r="AW260" s="38"/>
      <c r="AX260" s="37"/>
      <c r="AY260" s="38"/>
      <c r="AZ260" s="34" t="str">
        <f aca="false">IF($E260="","",COUNTA($E260,$F260,$G260,$J260,$L260,$Q260,$U260,$X260,$AM260,$AN260,$AP260,$AR260)/12)</f>
        <v/>
      </c>
      <c r="BA260" s="32" t="str">
        <f aca="false">IF($E260="","",IF(COUNTIF($E$3:$E$402,$E260)&gt;1,"DUPLICATE",""))</f>
        <v/>
      </c>
      <c r="BB260" s="17"/>
      <c r="BC260" s="35" t="str">
        <f aca="false">IF($E260="","",IFERROR(INDEX(SCORING!$C$6:$C$15,MATCH($J260,SCORING!$B$6:$B$15,0)),0)+IFERROR(INDEX(SCORING!$C$18:$C$20,MATCH($U260,SCORING!$B$18:$B$20,0)),0)+IFERROR(INDEX(SCORING!$C$23:$C$26,MATCH($X260,SCORING!$B$23:$B$26,0)),0)+IFERROR(INDEX(SCORING!$C$29:$C$32,MATCH($Q260,SCORING!$B$29:$B$32,0)),0)+IFERROR(INDEX(SCORING!$C$35:$C$37,MATCH($L260,SCORING!$B$35:$B$37,0)),0)+IF($AP260="",0,IF(AND($AQ260="Valid",$AO260="Decision maker"),SCORING!$C$40,IF($AQ260="Valid",SCORING!$C$41,SCORING!$C$42))))</f>
        <v/>
      </c>
      <c r="BD260" s="36" t="str">
        <f aca="false">IF($BC260="","",IF($BC260&gt;=SCORING!$C$46,"A",IF($BC260&gt;=SCORING!$C$47,"B",IF($BC260&gt;=SCORING!$C$48,"C","D"))))</f>
        <v/>
      </c>
      <c r="BE260" s="37"/>
    </row>
    <row r="261" customFormat="false" ht="15" hidden="false" customHeight="false" outlineLevel="0" collapsed="false">
      <c r="A261" s="37"/>
      <c r="B261" s="38"/>
      <c r="C261" s="37"/>
      <c r="D261" s="37"/>
      <c r="E261" s="17"/>
      <c r="F261" s="17"/>
      <c r="G261" s="37"/>
      <c r="H261" s="32" t="str">
        <f aca="false">IF($G261="","",IFERROR(INDEX(LISTS!$P$3:$P$145,MATCH($G261,LISTS!$O$3:$O$145,0)),"Other"))</f>
        <v/>
      </c>
      <c r="I261" s="37"/>
      <c r="J261" s="17"/>
      <c r="K261" s="17"/>
      <c r="L261" s="37"/>
      <c r="M261" s="37"/>
      <c r="N261" s="39"/>
      <c r="O261" s="37"/>
      <c r="P261" s="39"/>
      <c r="Q261" s="37"/>
      <c r="R261" s="39"/>
      <c r="S261" s="17"/>
      <c r="T261" s="17"/>
      <c r="U261" s="37"/>
      <c r="V261" s="37"/>
      <c r="W261" s="17"/>
      <c r="X261" s="37"/>
      <c r="Y261" s="17"/>
      <c r="Z261" s="39"/>
      <c r="AA261" s="39"/>
      <c r="AB261" s="37"/>
      <c r="AC261" s="37"/>
      <c r="AD261" s="38"/>
      <c r="AE261" s="37"/>
      <c r="AF261" s="37"/>
      <c r="AG261" s="37"/>
      <c r="AH261" s="37"/>
      <c r="AI261" s="17"/>
      <c r="AJ261" s="37"/>
      <c r="AK261" s="17"/>
      <c r="AL261" s="39"/>
      <c r="AM261" s="17"/>
      <c r="AN261" s="17"/>
      <c r="AO261" s="37"/>
      <c r="AP261" s="17"/>
      <c r="AQ261" s="37"/>
      <c r="AR261" s="37"/>
      <c r="AS261" s="37"/>
      <c r="AT261" s="17"/>
      <c r="AU261" s="37"/>
      <c r="AV261" s="37"/>
      <c r="AW261" s="38"/>
      <c r="AX261" s="37"/>
      <c r="AY261" s="38"/>
      <c r="AZ261" s="34" t="str">
        <f aca="false">IF($E261="","",COUNTA($E261,$F261,$G261,$J261,$L261,$Q261,$U261,$X261,$AM261,$AN261,$AP261,$AR261)/12)</f>
        <v/>
      </c>
      <c r="BA261" s="32" t="str">
        <f aca="false">IF($E261="","",IF(COUNTIF($E$3:$E$402,$E261)&gt;1,"DUPLICATE",""))</f>
        <v/>
      </c>
      <c r="BB261" s="17"/>
      <c r="BC261" s="35" t="str">
        <f aca="false">IF($E261="","",IFERROR(INDEX(SCORING!$C$6:$C$15,MATCH($J261,SCORING!$B$6:$B$15,0)),0)+IFERROR(INDEX(SCORING!$C$18:$C$20,MATCH($U261,SCORING!$B$18:$B$20,0)),0)+IFERROR(INDEX(SCORING!$C$23:$C$26,MATCH($X261,SCORING!$B$23:$B$26,0)),0)+IFERROR(INDEX(SCORING!$C$29:$C$32,MATCH($Q261,SCORING!$B$29:$B$32,0)),0)+IFERROR(INDEX(SCORING!$C$35:$C$37,MATCH($L261,SCORING!$B$35:$B$37,0)),0)+IF($AP261="",0,IF(AND($AQ261="Valid",$AO261="Decision maker"),SCORING!$C$40,IF($AQ261="Valid",SCORING!$C$41,SCORING!$C$42))))</f>
        <v/>
      </c>
      <c r="BD261" s="36" t="str">
        <f aca="false">IF($BC261="","",IF($BC261&gt;=SCORING!$C$46,"A",IF($BC261&gt;=SCORING!$C$47,"B",IF($BC261&gt;=SCORING!$C$48,"C","D"))))</f>
        <v/>
      </c>
      <c r="BE261" s="37"/>
    </row>
    <row r="262" customFormat="false" ht="15" hidden="false" customHeight="false" outlineLevel="0" collapsed="false">
      <c r="A262" s="37"/>
      <c r="B262" s="38"/>
      <c r="C262" s="37"/>
      <c r="D262" s="37"/>
      <c r="E262" s="17"/>
      <c r="F262" s="17"/>
      <c r="G262" s="37"/>
      <c r="H262" s="32" t="str">
        <f aca="false">IF($G262="","",IFERROR(INDEX(LISTS!$P$3:$P$145,MATCH($G262,LISTS!$O$3:$O$145,0)),"Other"))</f>
        <v/>
      </c>
      <c r="I262" s="37"/>
      <c r="J262" s="17"/>
      <c r="K262" s="17"/>
      <c r="L262" s="37"/>
      <c r="M262" s="37"/>
      <c r="N262" s="39"/>
      <c r="O262" s="37"/>
      <c r="P262" s="39"/>
      <c r="Q262" s="37"/>
      <c r="R262" s="39"/>
      <c r="S262" s="17"/>
      <c r="T262" s="17"/>
      <c r="U262" s="37"/>
      <c r="V262" s="37"/>
      <c r="W262" s="17"/>
      <c r="X262" s="37"/>
      <c r="Y262" s="17"/>
      <c r="Z262" s="39"/>
      <c r="AA262" s="39"/>
      <c r="AB262" s="37"/>
      <c r="AC262" s="37"/>
      <c r="AD262" s="38"/>
      <c r="AE262" s="37"/>
      <c r="AF262" s="37"/>
      <c r="AG262" s="37"/>
      <c r="AH262" s="37"/>
      <c r="AI262" s="17"/>
      <c r="AJ262" s="37"/>
      <c r="AK262" s="17"/>
      <c r="AL262" s="39"/>
      <c r="AM262" s="17"/>
      <c r="AN262" s="17"/>
      <c r="AO262" s="37"/>
      <c r="AP262" s="17"/>
      <c r="AQ262" s="37"/>
      <c r="AR262" s="37"/>
      <c r="AS262" s="37"/>
      <c r="AT262" s="17"/>
      <c r="AU262" s="37"/>
      <c r="AV262" s="37"/>
      <c r="AW262" s="38"/>
      <c r="AX262" s="37"/>
      <c r="AY262" s="38"/>
      <c r="AZ262" s="34" t="str">
        <f aca="false">IF($E262="","",COUNTA($E262,$F262,$G262,$J262,$L262,$Q262,$U262,$X262,$AM262,$AN262,$AP262,$AR262)/12)</f>
        <v/>
      </c>
      <c r="BA262" s="32" t="str">
        <f aca="false">IF($E262="","",IF(COUNTIF($E$3:$E$402,$E262)&gt;1,"DUPLICATE",""))</f>
        <v/>
      </c>
      <c r="BB262" s="17"/>
      <c r="BC262" s="35" t="str">
        <f aca="false">IF($E262="","",IFERROR(INDEX(SCORING!$C$6:$C$15,MATCH($J262,SCORING!$B$6:$B$15,0)),0)+IFERROR(INDEX(SCORING!$C$18:$C$20,MATCH($U262,SCORING!$B$18:$B$20,0)),0)+IFERROR(INDEX(SCORING!$C$23:$C$26,MATCH($X262,SCORING!$B$23:$B$26,0)),0)+IFERROR(INDEX(SCORING!$C$29:$C$32,MATCH($Q262,SCORING!$B$29:$B$32,0)),0)+IFERROR(INDEX(SCORING!$C$35:$C$37,MATCH($L262,SCORING!$B$35:$B$37,0)),0)+IF($AP262="",0,IF(AND($AQ262="Valid",$AO262="Decision maker"),SCORING!$C$40,IF($AQ262="Valid",SCORING!$C$41,SCORING!$C$42))))</f>
        <v/>
      </c>
      <c r="BD262" s="36" t="str">
        <f aca="false">IF($BC262="","",IF($BC262&gt;=SCORING!$C$46,"A",IF($BC262&gt;=SCORING!$C$47,"B",IF($BC262&gt;=SCORING!$C$48,"C","D"))))</f>
        <v/>
      </c>
      <c r="BE262" s="37"/>
    </row>
    <row r="263" customFormat="false" ht="15" hidden="false" customHeight="false" outlineLevel="0" collapsed="false">
      <c r="A263" s="37"/>
      <c r="B263" s="38"/>
      <c r="C263" s="37"/>
      <c r="D263" s="37"/>
      <c r="E263" s="17"/>
      <c r="F263" s="17"/>
      <c r="G263" s="37"/>
      <c r="H263" s="32" t="str">
        <f aca="false">IF($G263="","",IFERROR(INDEX(LISTS!$P$3:$P$145,MATCH($G263,LISTS!$O$3:$O$145,0)),"Other"))</f>
        <v/>
      </c>
      <c r="I263" s="37"/>
      <c r="J263" s="17"/>
      <c r="K263" s="17"/>
      <c r="L263" s="37"/>
      <c r="M263" s="37"/>
      <c r="N263" s="39"/>
      <c r="O263" s="37"/>
      <c r="P263" s="39"/>
      <c r="Q263" s="37"/>
      <c r="R263" s="39"/>
      <c r="S263" s="17"/>
      <c r="T263" s="17"/>
      <c r="U263" s="37"/>
      <c r="V263" s="37"/>
      <c r="W263" s="17"/>
      <c r="X263" s="37"/>
      <c r="Y263" s="17"/>
      <c r="Z263" s="39"/>
      <c r="AA263" s="39"/>
      <c r="AB263" s="37"/>
      <c r="AC263" s="37"/>
      <c r="AD263" s="38"/>
      <c r="AE263" s="37"/>
      <c r="AF263" s="37"/>
      <c r="AG263" s="37"/>
      <c r="AH263" s="37"/>
      <c r="AI263" s="17"/>
      <c r="AJ263" s="37"/>
      <c r="AK263" s="17"/>
      <c r="AL263" s="39"/>
      <c r="AM263" s="17"/>
      <c r="AN263" s="17"/>
      <c r="AO263" s="37"/>
      <c r="AP263" s="17"/>
      <c r="AQ263" s="37"/>
      <c r="AR263" s="37"/>
      <c r="AS263" s="37"/>
      <c r="AT263" s="17"/>
      <c r="AU263" s="37"/>
      <c r="AV263" s="37"/>
      <c r="AW263" s="38"/>
      <c r="AX263" s="37"/>
      <c r="AY263" s="38"/>
      <c r="AZ263" s="34" t="str">
        <f aca="false">IF($E263="","",COUNTA($E263,$F263,$G263,$J263,$L263,$Q263,$U263,$X263,$AM263,$AN263,$AP263,$AR263)/12)</f>
        <v/>
      </c>
      <c r="BA263" s="32" t="str">
        <f aca="false">IF($E263="","",IF(COUNTIF($E$3:$E$402,$E263)&gt;1,"DUPLICATE",""))</f>
        <v/>
      </c>
      <c r="BB263" s="17"/>
      <c r="BC263" s="35" t="str">
        <f aca="false">IF($E263="","",IFERROR(INDEX(SCORING!$C$6:$C$15,MATCH($J263,SCORING!$B$6:$B$15,0)),0)+IFERROR(INDEX(SCORING!$C$18:$C$20,MATCH($U263,SCORING!$B$18:$B$20,0)),0)+IFERROR(INDEX(SCORING!$C$23:$C$26,MATCH($X263,SCORING!$B$23:$B$26,0)),0)+IFERROR(INDEX(SCORING!$C$29:$C$32,MATCH($Q263,SCORING!$B$29:$B$32,0)),0)+IFERROR(INDEX(SCORING!$C$35:$C$37,MATCH($L263,SCORING!$B$35:$B$37,0)),0)+IF($AP263="",0,IF(AND($AQ263="Valid",$AO263="Decision maker"),SCORING!$C$40,IF($AQ263="Valid",SCORING!$C$41,SCORING!$C$42))))</f>
        <v/>
      </c>
      <c r="BD263" s="36" t="str">
        <f aca="false">IF($BC263="","",IF($BC263&gt;=SCORING!$C$46,"A",IF($BC263&gt;=SCORING!$C$47,"B",IF($BC263&gt;=SCORING!$C$48,"C","D"))))</f>
        <v/>
      </c>
      <c r="BE263" s="37"/>
    </row>
    <row r="264" customFormat="false" ht="15" hidden="false" customHeight="false" outlineLevel="0" collapsed="false">
      <c r="A264" s="37"/>
      <c r="B264" s="38"/>
      <c r="C264" s="37"/>
      <c r="D264" s="37"/>
      <c r="E264" s="17"/>
      <c r="F264" s="17"/>
      <c r="G264" s="37"/>
      <c r="H264" s="32" t="str">
        <f aca="false">IF($G264="","",IFERROR(INDEX(LISTS!$P$3:$P$145,MATCH($G264,LISTS!$O$3:$O$145,0)),"Other"))</f>
        <v/>
      </c>
      <c r="I264" s="37"/>
      <c r="J264" s="17"/>
      <c r="K264" s="17"/>
      <c r="L264" s="37"/>
      <c r="M264" s="37"/>
      <c r="N264" s="39"/>
      <c r="O264" s="37"/>
      <c r="P264" s="39"/>
      <c r="Q264" s="37"/>
      <c r="R264" s="39"/>
      <c r="S264" s="17"/>
      <c r="T264" s="17"/>
      <c r="U264" s="37"/>
      <c r="V264" s="37"/>
      <c r="W264" s="17"/>
      <c r="X264" s="37"/>
      <c r="Y264" s="17"/>
      <c r="Z264" s="39"/>
      <c r="AA264" s="39"/>
      <c r="AB264" s="37"/>
      <c r="AC264" s="37"/>
      <c r="AD264" s="38"/>
      <c r="AE264" s="37"/>
      <c r="AF264" s="37"/>
      <c r="AG264" s="37"/>
      <c r="AH264" s="37"/>
      <c r="AI264" s="17"/>
      <c r="AJ264" s="37"/>
      <c r="AK264" s="17"/>
      <c r="AL264" s="39"/>
      <c r="AM264" s="17"/>
      <c r="AN264" s="17"/>
      <c r="AO264" s="37"/>
      <c r="AP264" s="17"/>
      <c r="AQ264" s="37"/>
      <c r="AR264" s="37"/>
      <c r="AS264" s="37"/>
      <c r="AT264" s="17"/>
      <c r="AU264" s="37"/>
      <c r="AV264" s="37"/>
      <c r="AW264" s="38"/>
      <c r="AX264" s="37"/>
      <c r="AY264" s="38"/>
      <c r="AZ264" s="34" t="str">
        <f aca="false">IF($E264="","",COUNTA($E264,$F264,$G264,$J264,$L264,$Q264,$U264,$X264,$AM264,$AN264,$AP264,$AR264)/12)</f>
        <v/>
      </c>
      <c r="BA264" s="32" t="str">
        <f aca="false">IF($E264="","",IF(COUNTIF($E$3:$E$402,$E264)&gt;1,"DUPLICATE",""))</f>
        <v/>
      </c>
      <c r="BB264" s="17"/>
      <c r="BC264" s="35" t="str">
        <f aca="false">IF($E264="","",IFERROR(INDEX(SCORING!$C$6:$C$15,MATCH($J264,SCORING!$B$6:$B$15,0)),0)+IFERROR(INDEX(SCORING!$C$18:$C$20,MATCH($U264,SCORING!$B$18:$B$20,0)),0)+IFERROR(INDEX(SCORING!$C$23:$C$26,MATCH($X264,SCORING!$B$23:$B$26,0)),0)+IFERROR(INDEX(SCORING!$C$29:$C$32,MATCH($Q264,SCORING!$B$29:$B$32,0)),0)+IFERROR(INDEX(SCORING!$C$35:$C$37,MATCH($L264,SCORING!$B$35:$B$37,0)),0)+IF($AP264="",0,IF(AND($AQ264="Valid",$AO264="Decision maker"),SCORING!$C$40,IF($AQ264="Valid",SCORING!$C$41,SCORING!$C$42))))</f>
        <v/>
      </c>
      <c r="BD264" s="36" t="str">
        <f aca="false">IF($BC264="","",IF($BC264&gt;=SCORING!$C$46,"A",IF($BC264&gt;=SCORING!$C$47,"B",IF($BC264&gt;=SCORING!$C$48,"C","D"))))</f>
        <v/>
      </c>
      <c r="BE264" s="37"/>
    </row>
    <row r="265" customFormat="false" ht="15" hidden="false" customHeight="false" outlineLevel="0" collapsed="false">
      <c r="A265" s="37"/>
      <c r="B265" s="38"/>
      <c r="C265" s="37"/>
      <c r="D265" s="37"/>
      <c r="E265" s="17"/>
      <c r="F265" s="17"/>
      <c r="G265" s="37"/>
      <c r="H265" s="32" t="str">
        <f aca="false">IF($G265="","",IFERROR(INDEX(LISTS!$P$3:$P$145,MATCH($G265,LISTS!$O$3:$O$145,0)),"Other"))</f>
        <v/>
      </c>
      <c r="I265" s="37"/>
      <c r="J265" s="17"/>
      <c r="K265" s="17"/>
      <c r="L265" s="37"/>
      <c r="M265" s="37"/>
      <c r="N265" s="39"/>
      <c r="O265" s="37"/>
      <c r="P265" s="39"/>
      <c r="Q265" s="37"/>
      <c r="R265" s="39"/>
      <c r="S265" s="17"/>
      <c r="T265" s="17"/>
      <c r="U265" s="37"/>
      <c r="V265" s="37"/>
      <c r="W265" s="17"/>
      <c r="X265" s="37"/>
      <c r="Y265" s="17"/>
      <c r="Z265" s="39"/>
      <c r="AA265" s="39"/>
      <c r="AB265" s="37"/>
      <c r="AC265" s="37"/>
      <c r="AD265" s="38"/>
      <c r="AE265" s="37"/>
      <c r="AF265" s="37"/>
      <c r="AG265" s="37"/>
      <c r="AH265" s="37"/>
      <c r="AI265" s="17"/>
      <c r="AJ265" s="37"/>
      <c r="AK265" s="17"/>
      <c r="AL265" s="39"/>
      <c r="AM265" s="17"/>
      <c r="AN265" s="17"/>
      <c r="AO265" s="37"/>
      <c r="AP265" s="17"/>
      <c r="AQ265" s="37"/>
      <c r="AR265" s="37"/>
      <c r="AS265" s="37"/>
      <c r="AT265" s="17"/>
      <c r="AU265" s="37"/>
      <c r="AV265" s="37"/>
      <c r="AW265" s="38"/>
      <c r="AX265" s="37"/>
      <c r="AY265" s="38"/>
      <c r="AZ265" s="34" t="str">
        <f aca="false">IF($E265="","",COUNTA($E265,$F265,$G265,$J265,$L265,$Q265,$U265,$X265,$AM265,$AN265,$AP265,$AR265)/12)</f>
        <v/>
      </c>
      <c r="BA265" s="32" t="str">
        <f aca="false">IF($E265="","",IF(COUNTIF($E$3:$E$402,$E265)&gt;1,"DUPLICATE",""))</f>
        <v/>
      </c>
      <c r="BB265" s="17"/>
      <c r="BC265" s="35" t="str">
        <f aca="false">IF($E265="","",IFERROR(INDEX(SCORING!$C$6:$C$15,MATCH($J265,SCORING!$B$6:$B$15,0)),0)+IFERROR(INDEX(SCORING!$C$18:$C$20,MATCH($U265,SCORING!$B$18:$B$20,0)),0)+IFERROR(INDEX(SCORING!$C$23:$C$26,MATCH($X265,SCORING!$B$23:$B$26,0)),0)+IFERROR(INDEX(SCORING!$C$29:$C$32,MATCH($Q265,SCORING!$B$29:$B$32,0)),0)+IFERROR(INDEX(SCORING!$C$35:$C$37,MATCH($L265,SCORING!$B$35:$B$37,0)),0)+IF($AP265="",0,IF(AND($AQ265="Valid",$AO265="Decision maker"),SCORING!$C$40,IF($AQ265="Valid",SCORING!$C$41,SCORING!$C$42))))</f>
        <v/>
      </c>
      <c r="BD265" s="36" t="str">
        <f aca="false">IF($BC265="","",IF($BC265&gt;=SCORING!$C$46,"A",IF($BC265&gt;=SCORING!$C$47,"B",IF($BC265&gt;=SCORING!$C$48,"C","D"))))</f>
        <v/>
      </c>
      <c r="BE265" s="37"/>
    </row>
    <row r="266" customFormat="false" ht="15" hidden="false" customHeight="false" outlineLevel="0" collapsed="false">
      <c r="A266" s="37"/>
      <c r="B266" s="38"/>
      <c r="C266" s="37"/>
      <c r="D266" s="37"/>
      <c r="E266" s="17"/>
      <c r="F266" s="17"/>
      <c r="G266" s="37"/>
      <c r="H266" s="32" t="str">
        <f aca="false">IF($G266="","",IFERROR(INDEX(LISTS!$P$3:$P$145,MATCH($G266,LISTS!$O$3:$O$145,0)),"Other"))</f>
        <v/>
      </c>
      <c r="I266" s="37"/>
      <c r="J266" s="17"/>
      <c r="K266" s="17"/>
      <c r="L266" s="37"/>
      <c r="M266" s="37"/>
      <c r="N266" s="39"/>
      <c r="O266" s="37"/>
      <c r="P266" s="39"/>
      <c r="Q266" s="37"/>
      <c r="R266" s="39"/>
      <c r="S266" s="17"/>
      <c r="T266" s="17"/>
      <c r="U266" s="37"/>
      <c r="V266" s="37"/>
      <c r="W266" s="17"/>
      <c r="X266" s="37"/>
      <c r="Y266" s="17"/>
      <c r="Z266" s="39"/>
      <c r="AA266" s="39"/>
      <c r="AB266" s="37"/>
      <c r="AC266" s="37"/>
      <c r="AD266" s="38"/>
      <c r="AE266" s="37"/>
      <c r="AF266" s="37"/>
      <c r="AG266" s="37"/>
      <c r="AH266" s="37"/>
      <c r="AI266" s="17"/>
      <c r="AJ266" s="37"/>
      <c r="AK266" s="17"/>
      <c r="AL266" s="39"/>
      <c r="AM266" s="17"/>
      <c r="AN266" s="17"/>
      <c r="AO266" s="37"/>
      <c r="AP266" s="17"/>
      <c r="AQ266" s="37"/>
      <c r="AR266" s="37"/>
      <c r="AS266" s="37"/>
      <c r="AT266" s="17"/>
      <c r="AU266" s="37"/>
      <c r="AV266" s="37"/>
      <c r="AW266" s="38"/>
      <c r="AX266" s="37"/>
      <c r="AY266" s="38"/>
      <c r="AZ266" s="34" t="str">
        <f aca="false">IF($E266="","",COUNTA($E266,$F266,$G266,$J266,$L266,$Q266,$U266,$X266,$AM266,$AN266,$AP266,$AR266)/12)</f>
        <v/>
      </c>
      <c r="BA266" s="32" t="str">
        <f aca="false">IF($E266="","",IF(COUNTIF($E$3:$E$402,$E266)&gt;1,"DUPLICATE",""))</f>
        <v/>
      </c>
      <c r="BB266" s="17"/>
      <c r="BC266" s="35" t="str">
        <f aca="false">IF($E266="","",IFERROR(INDEX(SCORING!$C$6:$C$15,MATCH($J266,SCORING!$B$6:$B$15,0)),0)+IFERROR(INDEX(SCORING!$C$18:$C$20,MATCH($U266,SCORING!$B$18:$B$20,0)),0)+IFERROR(INDEX(SCORING!$C$23:$C$26,MATCH($X266,SCORING!$B$23:$B$26,0)),0)+IFERROR(INDEX(SCORING!$C$29:$C$32,MATCH($Q266,SCORING!$B$29:$B$32,0)),0)+IFERROR(INDEX(SCORING!$C$35:$C$37,MATCH($L266,SCORING!$B$35:$B$37,0)),0)+IF($AP266="",0,IF(AND($AQ266="Valid",$AO266="Decision maker"),SCORING!$C$40,IF($AQ266="Valid",SCORING!$C$41,SCORING!$C$42))))</f>
        <v/>
      </c>
      <c r="BD266" s="36" t="str">
        <f aca="false">IF($BC266="","",IF($BC266&gt;=SCORING!$C$46,"A",IF($BC266&gt;=SCORING!$C$47,"B",IF($BC266&gt;=SCORING!$C$48,"C","D"))))</f>
        <v/>
      </c>
      <c r="BE266" s="37"/>
    </row>
    <row r="267" customFormat="false" ht="15" hidden="false" customHeight="false" outlineLevel="0" collapsed="false">
      <c r="A267" s="37"/>
      <c r="B267" s="38"/>
      <c r="C267" s="37"/>
      <c r="D267" s="37"/>
      <c r="E267" s="17"/>
      <c r="F267" s="17"/>
      <c r="G267" s="37"/>
      <c r="H267" s="32" t="str">
        <f aca="false">IF($G267="","",IFERROR(INDEX(LISTS!$P$3:$P$145,MATCH($G267,LISTS!$O$3:$O$145,0)),"Other"))</f>
        <v/>
      </c>
      <c r="I267" s="37"/>
      <c r="J267" s="17"/>
      <c r="K267" s="17"/>
      <c r="L267" s="37"/>
      <c r="M267" s="37"/>
      <c r="N267" s="39"/>
      <c r="O267" s="37"/>
      <c r="P267" s="39"/>
      <c r="Q267" s="37"/>
      <c r="R267" s="39"/>
      <c r="S267" s="17"/>
      <c r="T267" s="17"/>
      <c r="U267" s="37"/>
      <c r="V267" s="37"/>
      <c r="W267" s="17"/>
      <c r="X267" s="37"/>
      <c r="Y267" s="17"/>
      <c r="Z267" s="39"/>
      <c r="AA267" s="39"/>
      <c r="AB267" s="37"/>
      <c r="AC267" s="37"/>
      <c r="AD267" s="38"/>
      <c r="AE267" s="37"/>
      <c r="AF267" s="37"/>
      <c r="AG267" s="37"/>
      <c r="AH267" s="37"/>
      <c r="AI267" s="17"/>
      <c r="AJ267" s="37"/>
      <c r="AK267" s="17"/>
      <c r="AL267" s="39"/>
      <c r="AM267" s="17"/>
      <c r="AN267" s="17"/>
      <c r="AO267" s="37"/>
      <c r="AP267" s="17"/>
      <c r="AQ267" s="37"/>
      <c r="AR267" s="37"/>
      <c r="AS267" s="37"/>
      <c r="AT267" s="17"/>
      <c r="AU267" s="37"/>
      <c r="AV267" s="37"/>
      <c r="AW267" s="38"/>
      <c r="AX267" s="37"/>
      <c r="AY267" s="38"/>
      <c r="AZ267" s="34" t="str">
        <f aca="false">IF($E267="","",COUNTA($E267,$F267,$G267,$J267,$L267,$Q267,$U267,$X267,$AM267,$AN267,$AP267,$AR267)/12)</f>
        <v/>
      </c>
      <c r="BA267" s="32" t="str">
        <f aca="false">IF($E267="","",IF(COUNTIF($E$3:$E$402,$E267)&gt;1,"DUPLICATE",""))</f>
        <v/>
      </c>
      <c r="BB267" s="17"/>
      <c r="BC267" s="35" t="str">
        <f aca="false">IF($E267="","",IFERROR(INDEX(SCORING!$C$6:$C$15,MATCH($J267,SCORING!$B$6:$B$15,0)),0)+IFERROR(INDEX(SCORING!$C$18:$C$20,MATCH($U267,SCORING!$B$18:$B$20,0)),0)+IFERROR(INDEX(SCORING!$C$23:$C$26,MATCH($X267,SCORING!$B$23:$B$26,0)),0)+IFERROR(INDEX(SCORING!$C$29:$C$32,MATCH($Q267,SCORING!$B$29:$B$32,0)),0)+IFERROR(INDEX(SCORING!$C$35:$C$37,MATCH($L267,SCORING!$B$35:$B$37,0)),0)+IF($AP267="",0,IF(AND($AQ267="Valid",$AO267="Decision maker"),SCORING!$C$40,IF($AQ267="Valid",SCORING!$C$41,SCORING!$C$42))))</f>
        <v/>
      </c>
      <c r="BD267" s="36" t="str">
        <f aca="false">IF($BC267="","",IF($BC267&gt;=SCORING!$C$46,"A",IF($BC267&gt;=SCORING!$C$47,"B",IF($BC267&gt;=SCORING!$C$48,"C","D"))))</f>
        <v/>
      </c>
      <c r="BE267" s="37"/>
    </row>
    <row r="268" customFormat="false" ht="15" hidden="false" customHeight="false" outlineLevel="0" collapsed="false">
      <c r="A268" s="37"/>
      <c r="B268" s="38"/>
      <c r="C268" s="37"/>
      <c r="D268" s="37"/>
      <c r="E268" s="17"/>
      <c r="F268" s="17"/>
      <c r="G268" s="37"/>
      <c r="H268" s="32" t="str">
        <f aca="false">IF($G268="","",IFERROR(INDEX(LISTS!$P$3:$P$145,MATCH($G268,LISTS!$O$3:$O$145,0)),"Other"))</f>
        <v/>
      </c>
      <c r="I268" s="37"/>
      <c r="J268" s="17"/>
      <c r="K268" s="17"/>
      <c r="L268" s="37"/>
      <c r="M268" s="37"/>
      <c r="N268" s="39"/>
      <c r="O268" s="37"/>
      <c r="P268" s="39"/>
      <c r="Q268" s="37"/>
      <c r="R268" s="39"/>
      <c r="S268" s="17"/>
      <c r="T268" s="17"/>
      <c r="U268" s="37"/>
      <c r="V268" s="37"/>
      <c r="W268" s="17"/>
      <c r="X268" s="37"/>
      <c r="Y268" s="17"/>
      <c r="Z268" s="39"/>
      <c r="AA268" s="39"/>
      <c r="AB268" s="37"/>
      <c r="AC268" s="37"/>
      <c r="AD268" s="38"/>
      <c r="AE268" s="37"/>
      <c r="AF268" s="37"/>
      <c r="AG268" s="37"/>
      <c r="AH268" s="37"/>
      <c r="AI268" s="17"/>
      <c r="AJ268" s="37"/>
      <c r="AK268" s="17"/>
      <c r="AL268" s="39"/>
      <c r="AM268" s="17"/>
      <c r="AN268" s="17"/>
      <c r="AO268" s="37"/>
      <c r="AP268" s="17"/>
      <c r="AQ268" s="37"/>
      <c r="AR268" s="37"/>
      <c r="AS268" s="37"/>
      <c r="AT268" s="17"/>
      <c r="AU268" s="37"/>
      <c r="AV268" s="37"/>
      <c r="AW268" s="38"/>
      <c r="AX268" s="37"/>
      <c r="AY268" s="38"/>
      <c r="AZ268" s="34" t="str">
        <f aca="false">IF($E268="","",COUNTA($E268,$F268,$G268,$J268,$L268,$Q268,$U268,$X268,$AM268,$AN268,$AP268,$AR268)/12)</f>
        <v/>
      </c>
      <c r="BA268" s="32" t="str">
        <f aca="false">IF($E268="","",IF(COUNTIF($E$3:$E$402,$E268)&gt;1,"DUPLICATE",""))</f>
        <v/>
      </c>
      <c r="BB268" s="17"/>
      <c r="BC268" s="35" t="str">
        <f aca="false">IF($E268="","",IFERROR(INDEX(SCORING!$C$6:$C$15,MATCH($J268,SCORING!$B$6:$B$15,0)),0)+IFERROR(INDEX(SCORING!$C$18:$C$20,MATCH($U268,SCORING!$B$18:$B$20,0)),0)+IFERROR(INDEX(SCORING!$C$23:$C$26,MATCH($X268,SCORING!$B$23:$B$26,0)),0)+IFERROR(INDEX(SCORING!$C$29:$C$32,MATCH($Q268,SCORING!$B$29:$B$32,0)),0)+IFERROR(INDEX(SCORING!$C$35:$C$37,MATCH($L268,SCORING!$B$35:$B$37,0)),0)+IF($AP268="",0,IF(AND($AQ268="Valid",$AO268="Decision maker"),SCORING!$C$40,IF($AQ268="Valid",SCORING!$C$41,SCORING!$C$42))))</f>
        <v/>
      </c>
      <c r="BD268" s="36" t="str">
        <f aca="false">IF($BC268="","",IF($BC268&gt;=SCORING!$C$46,"A",IF($BC268&gt;=SCORING!$C$47,"B",IF($BC268&gt;=SCORING!$C$48,"C","D"))))</f>
        <v/>
      </c>
      <c r="BE268" s="37"/>
    </row>
    <row r="269" customFormat="false" ht="15" hidden="false" customHeight="false" outlineLevel="0" collapsed="false">
      <c r="A269" s="37"/>
      <c r="B269" s="38"/>
      <c r="C269" s="37"/>
      <c r="D269" s="37"/>
      <c r="E269" s="17"/>
      <c r="F269" s="17"/>
      <c r="G269" s="37"/>
      <c r="H269" s="32" t="str">
        <f aca="false">IF($G269="","",IFERROR(INDEX(LISTS!$P$3:$P$145,MATCH($G269,LISTS!$O$3:$O$145,0)),"Other"))</f>
        <v/>
      </c>
      <c r="I269" s="37"/>
      <c r="J269" s="17"/>
      <c r="K269" s="17"/>
      <c r="L269" s="37"/>
      <c r="M269" s="37"/>
      <c r="N269" s="39"/>
      <c r="O269" s="37"/>
      <c r="P269" s="39"/>
      <c r="Q269" s="37"/>
      <c r="R269" s="39"/>
      <c r="S269" s="17"/>
      <c r="T269" s="17"/>
      <c r="U269" s="37"/>
      <c r="V269" s="37"/>
      <c r="W269" s="17"/>
      <c r="X269" s="37"/>
      <c r="Y269" s="17"/>
      <c r="Z269" s="39"/>
      <c r="AA269" s="39"/>
      <c r="AB269" s="37"/>
      <c r="AC269" s="37"/>
      <c r="AD269" s="38"/>
      <c r="AE269" s="37"/>
      <c r="AF269" s="37"/>
      <c r="AG269" s="37"/>
      <c r="AH269" s="37"/>
      <c r="AI269" s="17"/>
      <c r="AJ269" s="37"/>
      <c r="AK269" s="17"/>
      <c r="AL269" s="39"/>
      <c r="AM269" s="17"/>
      <c r="AN269" s="17"/>
      <c r="AO269" s="37"/>
      <c r="AP269" s="17"/>
      <c r="AQ269" s="37"/>
      <c r="AR269" s="37"/>
      <c r="AS269" s="37"/>
      <c r="AT269" s="17"/>
      <c r="AU269" s="37"/>
      <c r="AV269" s="37"/>
      <c r="AW269" s="38"/>
      <c r="AX269" s="37"/>
      <c r="AY269" s="38"/>
      <c r="AZ269" s="34" t="str">
        <f aca="false">IF($E269="","",COUNTA($E269,$F269,$G269,$J269,$L269,$Q269,$U269,$X269,$AM269,$AN269,$AP269,$AR269)/12)</f>
        <v/>
      </c>
      <c r="BA269" s="32" t="str">
        <f aca="false">IF($E269="","",IF(COUNTIF($E$3:$E$402,$E269)&gt;1,"DUPLICATE",""))</f>
        <v/>
      </c>
      <c r="BB269" s="17"/>
      <c r="BC269" s="35" t="str">
        <f aca="false">IF($E269="","",IFERROR(INDEX(SCORING!$C$6:$C$15,MATCH($J269,SCORING!$B$6:$B$15,0)),0)+IFERROR(INDEX(SCORING!$C$18:$C$20,MATCH($U269,SCORING!$B$18:$B$20,0)),0)+IFERROR(INDEX(SCORING!$C$23:$C$26,MATCH($X269,SCORING!$B$23:$B$26,0)),0)+IFERROR(INDEX(SCORING!$C$29:$C$32,MATCH($Q269,SCORING!$B$29:$B$32,0)),0)+IFERROR(INDEX(SCORING!$C$35:$C$37,MATCH($L269,SCORING!$B$35:$B$37,0)),0)+IF($AP269="",0,IF(AND($AQ269="Valid",$AO269="Decision maker"),SCORING!$C$40,IF($AQ269="Valid",SCORING!$C$41,SCORING!$C$42))))</f>
        <v/>
      </c>
      <c r="BD269" s="36" t="str">
        <f aca="false">IF($BC269="","",IF($BC269&gt;=SCORING!$C$46,"A",IF($BC269&gt;=SCORING!$C$47,"B",IF($BC269&gt;=SCORING!$C$48,"C","D"))))</f>
        <v/>
      </c>
      <c r="BE269" s="37"/>
    </row>
    <row r="270" customFormat="false" ht="15" hidden="false" customHeight="false" outlineLevel="0" collapsed="false">
      <c r="A270" s="37"/>
      <c r="B270" s="38"/>
      <c r="C270" s="37"/>
      <c r="D270" s="37"/>
      <c r="E270" s="17"/>
      <c r="F270" s="17"/>
      <c r="G270" s="37"/>
      <c r="H270" s="32" t="str">
        <f aca="false">IF($G270="","",IFERROR(INDEX(LISTS!$P$3:$P$145,MATCH($G270,LISTS!$O$3:$O$145,0)),"Other"))</f>
        <v/>
      </c>
      <c r="I270" s="37"/>
      <c r="J270" s="17"/>
      <c r="K270" s="17"/>
      <c r="L270" s="37"/>
      <c r="M270" s="37"/>
      <c r="N270" s="39"/>
      <c r="O270" s="37"/>
      <c r="P270" s="39"/>
      <c r="Q270" s="37"/>
      <c r="R270" s="39"/>
      <c r="S270" s="17"/>
      <c r="T270" s="17"/>
      <c r="U270" s="37"/>
      <c r="V270" s="37"/>
      <c r="W270" s="17"/>
      <c r="X270" s="37"/>
      <c r="Y270" s="17"/>
      <c r="Z270" s="39"/>
      <c r="AA270" s="39"/>
      <c r="AB270" s="37"/>
      <c r="AC270" s="37"/>
      <c r="AD270" s="38"/>
      <c r="AE270" s="37"/>
      <c r="AF270" s="37"/>
      <c r="AG270" s="37"/>
      <c r="AH270" s="37"/>
      <c r="AI270" s="17"/>
      <c r="AJ270" s="37"/>
      <c r="AK270" s="17"/>
      <c r="AL270" s="39"/>
      <c r="AM270" s="17"/>
      <c r="AN270" s="17"/>
      <c r="AO270" s="37"/>
      <c r="AP270" s="17"/>
      <c r="AQ270" s="37"/>
      <c r="AR270" s="37"/>
      <c r="AS270" s="37"/>
      <c r="AT270" s="17"/>
      <c r="AU270" s="37"/>
      <c r="AV270" s="37"/>
      <c r="AW270" s="38"/>
      <c r="AX270" s="37"/>
      <c r="AY270" s="38"/>
      <c r="AZ270" s="34" t="str">
        <f aca="false">IF($E270="","",COUNTA($E270,$F270,$G270,$J270,$L270,$Q270,$U270,$X270,$AM270,$AN270,$AP270,$AR270)/12)</f>
        <v/>
      </c>
      <c r="BA270" s="32" t="str">
        <f aca="false">IF($E270="","",IF(COUNTIF($E$3:$E$402,$E270)&gt;1,"DUPLICATE",""))</f>
        <v/>
      </c>
      <c r="BB270" s="17"/>
      <c r="BC270" s="35" t="str">
        <f aca="false">IF($E270="","",IFERROR(INDEX(SCORING!$C$6:$C$15,MATCH($J270,SCORING!$B$6:$B$15,0)),0)+IFERROR(INDEX(SCORING!$C$18:$C$20,MATCH($U270,SCORING!$B$18:$B$20,0)),0)+IFERROR(INDEX(SCORING!$C$23:$C$26,MATCH($X270,SCORING!$B$23:$B$26,0)),0)+IFERROR(INDEX(SCORING!$C$29:$C$32,MATCH($Q270,SCORING!$B$29:$B$32,0)),0)+IFERROR(INDEX(SCORING!$C$35:$C$37,MATCH($L270,SCORING!$B$35:$B$37,0)),0)+IF($AP270="",0,IF(AND($AQ270="Valid",$AO270="Decision maker"),SCORING!$C$40,IF($AQ270="Valid",SCORING!$C$41,SCORING!$C$42))))</f>
        <v/>
      </c>
      <c r="BD270" s="36" t="str">
        <f aca="false">IF($BC270="","",IF($BC270&gt;=SCORING!$C$46,"A",IF($BC270&gt;=SCORING!$C$47,"B",IF($BC270&gt;=SCORING!$C$48,"C","D"))))</f>
        <v/>
      </c>
      <c r="BE270" s="37"/>
    </row>
    <row r="271" customFormat="false" ht="15" hidden="false" customHeight="false" outlineLevel="0" collapsed="false">
      <c r="A271" s="37"/>
      <c r="B271" s="38"/>
      <c r="C271" s="37"/>
      <c r="D271" s="37"/>
      <c r="E271" s="17"/>
      <c r="F271" s="17"/>
      <c r="G271" s="37"/>
      <c r="H271" s="32" t="str">
        <f aca="false">IF($G271="","",IFERROR(INDEX(LISTS!$P$3:$P$145,MATCH($G271,LISTS!$O$3:$O$145,0)),"Other"))</f>
        <v/>
      </c>
      <c r="I271" s="37"/>
      <c r="J271" s="17"/>
      <c r="K271" s="17"/>
      <c r="L271" s="37"/>
      <c r="M271" s="37"/>
      <c r="N271" s="39"/>
      <c r="O271" s="37"/>
      <c r="P271" s="39"/>
      <c r="Q271" s="37"/>
      <c r="R271" s="39"/>
      <c r="S271" s="17"/>
      <c r="T271" s="17"/>
      <c r="U271" s="37"/>
      <c r="V271" s="37"/>
      <c r="W271" s="17"/>
      <c r="X271" s="37"/>
      <c r="Y271" s="17"/>
      <c r="Z271" s="39"/>
      <c r="AA271" s="39"/>
      <c r="AB271" s="37"/>
      <c r="AC271" s="37"/>
      <c r="AD271" s="38"/>
      <c r="AE271" s="37"/>
      <c r="AF271" s="37"/>
      <c r="AG271" s="37"/>
      <c r="AH271" s="37"/>
      <c r="AI271" s="17"/>
      <c r="AJ271" s="37"/>
      <c r="AK271" s="17"/>
      <c r="AL271" s="39"/>
      <c r="AM271" s="17"/>
      <c r="AN271" s="17"/>
      <c r="AO271" s="37"/>
      <c r="AP271" s="17"/>
      <c r="AQ271" s="37"/>
      <c r="AR271" s="37"/>
      <c r="AS271" s="37"/>
      <c r="AT271" s="17"/>
      <c r="AU271" s="37"/>
      <c r="AV271" s="37"/>
      <c r="AW271" s="38"/>
      <c r="AX271" s="37"/>
      <c r="AY271" s="38"/>
      <c r="AZ271" s="34" t="str">
        <f aca="false">IF($E271="","",COUNTA($E271,$F271,$G271,$J271,$L271,$Q271,$U271,$X271,$AM271,$AN271,$AP271,$AR271)/12)</f>
        <v/>
      </c>
      <c r="BA271" s="32" t="str">
        <f aca="false">IF($E271="","",IF(COUNTIF($E$3:$E$402,$E271)&gt;1,"DUPLICATE",""))</f>
        <v/>
      </c>
      <c r="BB271" s="17"/>
      <c r="BC271" s="35" t="str">
        <f aca="false">IF($E271="","",IFERROR(INDEX(SCORING!$C$6:$C$15,MATCH($J271,SCORING!$B$6:$B$15,0)),0)+IFERROR(INDEX(SCORING!$C$18:$C$20,MATCH($U271,SCORING!$B$18:$B$20,0)),0)+IFERROR(INDEX(SCORING!$C$23:$C$26,MATCH($X271,SCORING!$B$23:$B$26,0)),0)+IFERROR(INDEX(SCORING!$C$29:$C$32,MATCH($Q271,SCORING!$B$29:$B$32,0)),0)+IFERROR(INDEX(SCORING!$C$35:$C$37,MATCH($L271,SCORING!$B$35:$B$37,0)),0)+IF($AP271="",0,IF(AND($AQ271="Valid",$AO271="Decision maker"),SCORING!$C$40,IF($AQ271="Valid",SCORING!$C$41,SCORING!$C$42))))</f>
        <v/>
      </c>
      <c r="BD271" s="36" t="str">
        <f aca="false">IF($BC271="","",IF($BC271&gt;=SCORING!$C$46,"A",IF($BC271&gt;=SCORING!$C$47,"B",IF($BC271&gt;=SCORING!$C$48,"C","D"))))</f>
        <v/>
      </c>
      <c r="BE271" s="37"/>
    </row>
    <row r="272" customFormat="false" ht="15" hidden="false" customHeight="false" outlineLevel="0" collapsed="false">
      <c r="A272" s="37"/>
      <c r="B272" s="38"/>
      <c r="C272" s="37"/>
      <c r="D272" s="37"/>
      <c r="E272" s="17"/>
      <c r="F272" s="17"/>
      <c r="G272" s="37"/>
      <c r="H272" s="32" t="str">
        <f aca="false">IF($G272="","",IFERROR(INDEX(LISTS!$P$3:$P$145,MATCH($G272,LISTS!$O$3:$O$145,0)),"Other"))</f>
        <v/>
      </c>
      <c r="I272" s="37"/>
      <c r="J272" s="17"/>
      <c r="K272" s="17"/>
      <c r="L272" s="37"/>
      <c r="M272" s="37"/>
      <c r="N272" s="39"/>
      <c r="O272" s="37"/>
      <c r="P272" s="39"/>
      <c r="Q272" s="37"/>
      <c r="R272" s="39"/>
      <c r="S272" s="17"/>
      <c r="T272" s="17"/>
      <c r="U272" s="37"/>
      <c r="V272" s="37"/>
      <c r="W272" s="17"/>
      <c r="X272" s="37"/>
      <c r="Y272" s="17"/>
      <c r="Z272" s="39"/>
      <c r="AA272" s="39"/>
      <c r="AB272" s="37"/>
      <c r="AC272" s="37"/>
      <c r="AD272" s="38"/>
      <c r="AE272" s="37"/>
      <c r="AF272" s="37"/>
      <c r="AG272" s="37"/>
      <c r="AH272" s="37"/>
      <c r="AI272" s="17"/>
      <c r="AJ272" s="37"/>
      <c r="AK272" s="17"/>
      <c r="AL272" s="39"/>
      <c r="AM272" s="17"/>
      <c r="AN272" s="17"/>
      <c r="AO272" s="37"/>
      <c r="AP272" s="17"/>
      <c r="AQ272" s="37"/>
      <c r="AR272" s="37"/>
      <c r="AS272" s="37"/>
      <c r="AT272" s="17"/>
      <c r="AU272" s="37"/>
      <c r="AV272" s="37"/>
      <c r="AW272" s="38"/>
      <c r="AX272" s="37"/>
      <c r="AY272" s="38"/>
      <c r="AZ272" s="34" t="str">
        <f aca="false">IF($E272="","",COUNTA($E272,$F272,$G272,$J272,$L272,$Q272,$U272,$X272,$AM272,$AN272,$AP272,$AR272)/12)</f>
        <v/>
      </c>
      <c r="BA272" s="32" t="str">
        <f aca="false">IF($E272="","",IF(COUNTIF($E$3:$E$402,$E272)&gt;1,"DUPLICATE",""))</f>
        <v/>
      </c>
      <c r="BB272" s="17"/>
      <c r="BC272" s="35" t="str">
        <f aca="false">IF($E272="","",IFERROR(INDEX(SCORING!$C$6:$C$15,MATCH($J272,SCORING!$B$6:$B$15,0)),0)+IFERROR(INDEX(SCORING!$C$18:$C$20,MATCH($U272,SCORING!$B$18:$B$20,0)),0)+IFERROR(INDEX(SCORING!$C$23:$C$26,MATCH($X272,SCORING!$B$23:$B$26,0)),0)+IFERROR(INDEX(SCORING!$C$29:$C$32,MATCH($Q272,SCORING!$B$29:$B$32,0)),0)+IFERROR(INDEX(SCORING!$C$35:$C$37,MATCH($L272,SCORING!$B$35:$B$37,0)),0)+IF($AP272="",0,IF(AND($AQ272="Valid",$AO272="Decision maker"),SCORING!$C$40,IF($AQ272="Valid",SCORING!$C$41,SCORING!$C$42))))</f>
        <v/>
      </c>
      <c r="BD272" s="36" t="str">
        <f aca="false">IF($BC272="","",IF($BC272&gt;=SCORING!$C$46,"A",IF($BC272&gt;=SCORING!$C$47,"B",IF($BC272&gt;=SCORING!$C$48,"C","D"))))</f>
        <v/>
      </c>
      <c r="BE272" s="37"/>
    </row>
    <row r="273" customFormat="false" ht="15" hidden="false" customHeight="false" outlineLevel="0" collapsed="false">
      <c r="A273" s="37"/>
      <c r="B273" s="38"/>
      <c r="C273" s="37"/>
      <c r="D273" s="37"/>
      <c r="E273" s="17"/>
      <c r="F273" s="17"/>
      <c r="G273" s="37"/>
      <c r="H273" s="32" t="str">
        <f aca="false">IF($G273="","",IFERROR(INDEX(LISTS!$P$3:$P$145,MATCH($G273,LISTS!$O$3:$O$145,0)),"Other"))</f>
        <v/>
      </c>
      <c r="I273" s="37"/>
      <c r="J273" s="17"/>
      <c r="K273" s="17"/>
      <c r="L273" s="37"/>
      <c r="M273" s="37"/>
      <c r="N273" s="39"/>
      <c r="O273" s="37"/>
      <c r="P273" s="39"/>
      <c r="Q273" s="37"/>
      <c r="R273" s="39"/>
      <c r="S273" s="17"/>
      <c r="T273" s="17"/>
      <c r="U273" s="37"/>
      <c r="V273" s="37"/>
      <c r="W273" s="17"/>
      <c r="X273" s="37"/>
      <c r="Y273" s="17"/>
      <c r="Z273" s="39"/>
      <c r="AA273" s="39"/>
      <c r="AB273" s="37"/>
      <c r="AC273" s="37"/>
      <c r="AD273" s="38"/>
      <c r="AE273" s="37"/>
      <c r="AF273" s="37"/>
      <c r="AG273" s="37"/>
      <c r="AH273" s="37"/>
      <c r="AI273" s="17"/>
      <c r="AJ273" s="37"/>
      <c r="AK273" s="17"/>
      <c r="AL273" s="39"/>
      <c r="AM273" s="17"/>
      <c r="AN273" s="17"/>
      <c r="AO273" s="37"/>
      <c r="AP273" s="17"/>
      <c r="AQ273" s="37"/>
      <c r="AR273" s="37"/>
      <c r="AS273" s="37"/>
      <c r="AT273" s="17"/>
      <c r="AU273" s="37"/>
      <c r="AV273" s="37"/>
      <c r="AW273" s="38"/>
      <c r="AX273" s="37"/>
      <c r="AY273" s="38"/>
      <c r="AZ273" s="34" t="str">
        <f aca="false">IF($E273="","",COUNTA($E273,$F273,$G273,$J273,$L273,$Q273,$U273,$X273,$AM273,$AN273,$AP273,$AR273)/12)</f>
        <v/>
      </c>
      <c r="BA273" s="32" t="str">
        <f aca="false">IF($E273="","",IF(COUNTIF($E$3:$E$402,$E273)&gt;1,"DUPLICATE",""))</f>
        <v/>
      </c>
      <c r="BB273" s="17"/>
      <c r="BC273" s="35" t="str">
        <f aca="false">IF($E273="","",IFERROR(INDEX(SCORING!$C$6:$C$15,MATCH($J273,SCORING!$B$6:$B$15,0)),0)+IFERROR(INDEX(SCORING!$C$18:$C$20,MATCH($U273,SCORING!$B$18:$B$20,0)),0)+IFERROR(INDEX(SCORING!$C$23:$C$26,MATCH($X273,SCORING!$B$23:$B$26,0)),0)+IFERROR(INDEX(SCORING!$C$29:$C$32,MATCH($Q273,SCORING!$B$29:$B$32,0)),0)+IFERROR(INDEX(SCORING!$C$35:$C$37,MATCH($L273,SCORING!$B$35:$B$37,0)),0)+IF($AP273="",0,IF(AND($AQ273="Valid",$AO273="Decision maker"),SCORING!$C$40,IF($AQ273="Valid",SCORING!$C$41,SCORING!$C$42))))</f>
        <v/>
      </c>
      <c r="BD273" s="36" t="str">
        <f aca="false">IF($BC273="","",IF($BC273&gt;=SCORING!$C$46,"A",IF($BC273&gt;=SCORING!$C$47,"B",IF($BC273&gt;=SCORING!$C$48,"C","D"))))</f>
        <v/>
      </c>
      <c r="BE273" s="37"/>
    </row>
    <row r="274" customFormat="false" ht="15" hidden="false" customHeight="false" outlineLevel="0" collapsed="false">
      <c r="A274" s="37"/>
      <c r="B274" s="38"/>
      <c r="C274" s="37"/>
      <c r="D274" s="37"/>
      <c r="E274" s="17"/>
      <c r="F274" s="17"/>
      <c r="G274" s="37"/>
      <c r="H274" s="32" t="str">
        <f aca="false">IF($G274="","",IFERROR(INDEX(LISTS!$P$3:$P$145,MATCH($G274,LISTS!$O$3:$O$145,0)),"Other"))</f>
        <v/>
      </c>
      <c r="I274" s="37"/>
      <c r="J274" s="17"/>
      <c r="K274" s="17"/>
      <c r="L274" s="37"/>
      <c r="M274" s="37"/>
      <c r="N274" s="39"/>
      <c r="O274" s="37"/>
      <c r="P274" s="39"/>
      <c r="Q274" s="37"/>
      <c r="R274" s="39"/>
      <c r="S274" s="17"/>
      <c r="T274" s="17"/>
      <c r="U274" s="37"/>
      <c r="V274" s="37"/>
      <c r="W274" s="17"/>
      <c r="X274" s="37"/>
      <c r="Y274" s="17"/>
      <c r="Z274" s="39"/>
      <c r="AA274" s="39"/>
      <c r="AB274" s="37"/>
      <c r="AC274" s="37"/>
      <c r="AD274" s="38"/>
      <c r="AE274" s="37"/>
      <c r="AF274" s="37"/>
      <c r="AG274" s="37"/>
      <c r="AH274" s="37"/>
      <c r="AI274" s="17"/>
      <c r="AJ274" s="37"/>
      <c r="AK274" s="17"/>
      <c r="AL274" s="39"/>
      <c r="AM274" s="17"/>
      <c r="AN274" s="17"/>
      <c r="AO274" s="37"/>
      <c r="AP274" s="17"/>
      <c r="AQ274" s="37"/>
      <c r="AR274" s="37"/>
      <c r="AS274" s="37"/>
      <c r="AT274" s="17"/>
      <c r="AU274" s="37"/>
      <c r="AV274" s="37"/>
      <c r="AW274" s="38"/>
      <c r="AX274" s="37"/>
      <c r="AY274" s="38"/>
      <c r="AZ274" s="34" t="str">
        <f aca="false">IF($E274="","",COUNTA($E274,$F274,$G274,$J274,$L274,$Q274,$U274,$X274,$AM274,$AN274,$AP274,$AR274)/12)</f>
        <v/>
      </c>
      <c r="BA274" s="32" t="str">
        <f aca="false">IF($E274="","",IF(COUNTIF($E$3:$E$402,$E274)&gt;1,"DUPLICATE",""))</f>
        <v/>
      </c>
      <c r="BB274" s="17"/>
      <c r="BC274" s="35" t="str">
        <f aca="false">IF($E274="","",IFERROR(INDEX(SCORING!$C$6:$C$15,MATCH($J274,SCORING!$B$6:$B$15,0)),0)+IFERROR(INDEX(SCORING!$C$18:$C$20,MATCH($U274,SCORING!$B$18:$B$20,0)),0)+IFERROR(INDEX(SCORING!$C$23:$C$26,MATCH($X274,SCORING!$B$23:$B$26,0)),0)+IFERROR(INDEX(SCORING!$C$29:$C$32,MATCH($Q274,SCORING!$B$29:$B$32,0)),0)+IFERROR(INDEX(SCORING!$C$35:$C$37,MATCH($L274,SCORING!$B$35:$B$37,0)),0)+IF($AP274="",0,IF(AND($AQ274="Valid",$AO274="Decision maker"),SCORING!$C$40,IF($AQ274="Valid",SCORING!$C$41,SCORING!$C$42))))</f>
        <v/>
      </c>
      <c r="BD274" s="36" t="str">
        <f aca="false">IF($BC274="","",IF($BC274&gt;=SCORING!$C$46,"A",IF($BC274&gt;=SCORING!$C$47,"B",IF($BC274&gt;=SCORING!$C$48,"C","D"))))</f>
        <v/>
      </c>
      <c r="BE274" s="37"/>
    </row>
    <row r="275" customFormat="false" ht="15" hidden="false" customHeight="false" outlineLevel="0" collapsed="false">
      <c r="A275" s="37"/>
      <c r="B275" s="38"/>
      <c r="C275" s="37"/>
      <c r="D275" s="37"/>
      <c r="E275" s="17"/>
      <c r="F275" s="17"/>
      <c r="G275" s="37"/>
      <c r="H275" s="32" t="str">
        <f aca="false">IF($G275="","",IFERROR(INDEX(LISTS!$P$3:$P$145,MATCH($G275,LISTS!$O$3:$O$145,0)),"Other"))</f>
        <v/>
      </c>
      <c r="I275" s="37"/>
      <c r="J275" s="17"/>
      <c r="K275" s="17"/>
      <c r="L275" s="37"/>
      <c r="M275" s="37"/>
      <c r="N275" s="39"/>
      <c r="O275" s="37"/>
      <c r="P275" s="39"/>
      <c r="Q275" s="37"/>
      <c r="R275" s="39"/>
      <c r="S275" s="17"/>
      <c r="T275" s="17"/>
      <c r="U275" s="37"/>
      <c r="V275" s="37"/>
      <c r="W275" s="17"/>
      <c r="X275" s="37"/>
      <c r="Y275" s="17"/>
      <c r="Z275" s="39"/>
      <c r="AA275" s="39"/>
      <c r="AB275" s="37"/>
      <c r="AC275" s="37"/>
      <c r="AD275" s="38"/>
      <c r="AE275" s="37"/>
      <c r="AF275" s="37"/>
      <c r="AG275" s="37"/>
      <c r="AH275" s="37"/>
      <c r="AI275" s="17"/>
      <c r="AJ275" s="37"/>
      <c r="AK275" s="17"/>
      <c r="AL275" s="39"/>
      <c r="AM275" s="17"/>
      <c r="AN275" s="17"/>
      <c r="AO275" s="37"/>
      <c r="AP275" s="17"/>
      <c r="AQ275" s="37"/>
      <c r="AR275" s="37"/>
      <c r="AS275" s="37"/>
      <c r="AT275" s="17"/>
      <c r="AU275" s="37"/>
      <c r="AV275" s="37"/>
      <c r="AW275" s="38"/>
      <c r="AX275" s="37"/>
      <c r="AY275" s="38"/>
      <c r="AZ275" s="34" t="str">
        <f aca="false">IF($E275="","",COUNTA($E275,$F275,$G275,$J275,$L275,$Q275,$U275,$X275,$AM275,$AN275,$AP275,$AR275)/12)</f>
        <v/>
      </c>
      <c r="BA275" s="32" t="str">
        <f aca="false">IF($E275="","",IF(COUNTIF($E$3:$E$402,$E275)&gt;1,"DUPLICATE",""))</f>
        <v/>
      </c>
      <c r="BB275" s="17"/>
      <c r="BC275" s="35" t="str">
        <f aca="false">IF($E275="","",IFERROR(INDEX(SCORING!$C$6:$C$15,MATCH($J275,SCORING!$B$6:$B$15,0)),0)+IFERROR(INDEX(SCORING!$C$18:$C$20,MATCH($U275,SCORING!$B$18:$B$20,0)),0)+IFERROR(INDEX(SCORING!$C$23:$C$26,MATCH($X275,SCORING!$B$23:$B$26,0)),0)+IFERROR(INDEX(SCORING!$C$29:$C$32,MATCH($Q275,SCORING!$B$29:$B$32,0)),0)+IFERROR(INDEX(SCORING!$C$35:$C$37,MATCH($L275,SCORING!$B$35:$B$37,0)),0)+IF($AP275="",0,IF(AND($AQ275="Valid",$AO275="Decision maker"),SCORING!$C$40,IF($AQ275="Valid",SCORING!$C$41,SCORING!$C$42))))</f>
        <v/>
      </c>
      <c r="BD275" s="36" t="str">
        <f aca="false">IF($BC275="","",IF($BC275&gt;=SCORING!$C$46,"A",IF($BC275&gt;=SCORING!$C$47,"B",IF($BC275&gt;=SCORING!$C$48,"C","D"))))</f>
        <v/>
      </c>
      <c r="BE275" s="37"/>
    </row>
    <row r="276" customFormat="false" ht="15" hidden="false" customHeight="false" outlineLevel="0" collapsed="false">
      <c r="A276" s="37"/>
      <c r="B276" s="38"/>
      <c r="C276" s="37"/>
      <c r="D276" s="37"/>
      <c r="E276" s="17"/>
      <c r="F276" s="17"/>
      <c r="G276" s="37"/>
      <c r="H276" s="32" t="str">
        <f aca="false">IF($G276="","",IFERROR(INDEX(LISTS!$P$3:$P$145,MATCH($G276,LISTS!$O$3:$O$145,0)),"Other"))</f>
        <v/>
      </c>
      <c r="I276" s="37"/>
      <c r="J276" s="17"/>
      <c r="K276" s="17"/>
      <c r="L276" s="37"/>
      <c r="M276" s="37"/>
      <c r="N276" s="39"/>
      <c r="O276" s="37"/>
      <c r="P276" s="39"/>
      <c r="Q276" s="37"/>
      <c r="R276" s="39"/>
      <c r="S276" s="17"/>
      <c r="T276" s="17"/>
      <c r="U276" s="37"/>
      <c r="V276" s="37"/>
      <c r="W276" s="17"/>
      <c r="X276" s="37"/>
      <c r="Y276" s="17"/>
      <c r="Z276" s="39"/>
      <c r="AA276" s="39"/>
      <c r="AB276" s="37"/>
      <c r="AC276" s="37"/>
      <c r="AD276" s="38"/>
      <c r="AE276" s="37"/>
      <c r="AF276" s="37"/>
      <c r="AG276" s="37"/>
      <c r="AH276" s="37"/>
      <c r="AI276" s="17"/>
      <c r="AJ276" s="37"/>
      <c r="AK276" s="17"/>
      <c r="AL276" s="39"/>
      <c r="AM276" s="17"/>
      <c r="AN276" s="17"/>
      <c r="AO276" s="37"/>
      <c r="AP276" s="17"/>
      <c r="AQ276" s="37"/>
      <c r="AR276" s="37"/>
      <c r="AS276" s="37"/>
      <c r="AT276" s="17"/>
      <c r="AU276" s="37"/>
      <c r="AV276" s="37"/>
      <c r="AW276" s="38"/>
      <c r="AX276" s="37"/>
      <c r="AY276" s="38"/>
      <c r="AZ276" s="34" t="str">
        <f aca="false">IF($E276="","",COUNTA($E276,$F276,$G276,$J276,$L276,$Q276,$U276,$X276,$AM276,$AN276,$AP276,$AR276)/12)</f>
        <v/>
      </c>
      <c r="BA276" s="32" t="str">
        <f aca="false">IF($E276="","",IF(COUNTIF($E$3:$E$402,$E276)&gt;1,"DUPLICATE",""))</f>
        <v/>
      </c>
      <c r="BB276" s="17"/>
      <c r="BC276" s="35" t="str">
        <f aca="false">IF($E276="","",IFERROR(INDEX(SCORING!$C$6:$C$15,MATCH($J276,SCORING!$B$6:$B$15,0)),0)+IFERROR(INDEX(SCORING!$C$18:$C$20,MATCH($U276,SCORING!$B$18:$B$20,0)),0)+IFERROR(INDEX(SCORING!$C$23:$C$26,MATCH($X276,SCORING!$B$23:$B$26,0)),0)+IFERROR(INDEX(SCORING!$C$29:$C$32,MATCH($Q276,SCORING!$B$29:$B$32,0)),0)+IFERROR(INDEX(SCORING!$C$35:$C$37,MATCH($L276,SCORING!$B$35:$B$37,0)),0)+IF($AP276="",0,IF(AND($AQ276="Valid",$AO276="Decision maker"),SCORING!$C$40,IF($AQ276="Valid",SCORING!$C$41,SCORING!$C$42))))</f>
        <v/>
      </c>
      <c r="BD276" s="36" t="str">
        <f aca="false">IF($BC276="","",IF($BC276&gt;=SCORING!$C$46,"A",IF($BC276&gt;=SCORING!$C$47,"B",IF($BC276&gt;=SCORING!$C$48,"C","D"))))</f>
        <v/>
      </c>
      <c r="BE276" s="37"/>
    </row>
    <row r="277" customFormat="false" ht="15" hidden="false" customHeight="false" outlineLevel="0" collapsed="false">
      <c r="A277" s="37"/>
      <c r="B277" s="38"/>
      <c r="C277" s="37"/>
      <c r="D277" s="37"/>
      <c r="E277" s="17"/>
      <c r="F277" s="17"/>
      <c r="G277" s="37"/>
      <c r="H277" s="32" t="str">
        <f aca="false">IF($G277="","",IFERROR(INDEX(LISTS!$P$3:$P$145,MATCH($G277,LISTS!$O$3:$O$145,0)),"Other"))</f>
        <v/>
      </c>
      <c r="I277" s="37"/>
      <c r="J277" s="17"/>
      <c r="K277" s="17"/>
      <c r="L277" s="37"/>
      <c r="M277" s="37"/>
      <c r="N277" s="39"/>
      <c r="O277" s="37"/>
      <c r="P277" s="39"/>
      <c r="Q277" s="37"/>
      <c r="R277" s="39"/>
      <c r="S277" s="17"/>
      <c r="T277" s="17"/>
      <c r="U277" s="37"/>
      <c r="V277" s="37"/>
      <c r="W277" s="17"/>
      <c r="X277" s="37"/>
      <c r="Y277" s="17"/>
      <c r="Z277" s="39"/>
      <c r="AA277" s="39"/>
      <c r="AB277" s="37"/>
      <c r="AC277" s="37"/>
      <c r="AD277" s="38"/>
      <c r="AE277" s="37"/>
      <c r="AF277" s="37"/>
      <c r="AG277" s="37"/>
      <c r="AH277" s="37"/>
      <c r="AI277" s="17"/>
      <c r="AJ277" s="37"/>
      <c r="AK277" s="17"/>
      <c r="AL277" s="39"/>
      <c r="AM277" s="17"/>
      <c r="AN277" s="17"/>
      <c r="AO277" s="37"/>
      <c r="AP277" s="17"/>
      <c r="AQ277" s="37"/>
      <c r="AR277" s="37"/>
      <c r="AS277" s="37"/>
      <c r="AT277" s="17"/>
      <c r="AU277" s="37"/>
      <c r="AV277" s="37"/>
      <c r="AW277" s="38"/>
      <c r="AX277" s="37"/>
      <c r="AY277" s="38"/>
      <c r="AZ277" s="34" t="str">
        <f aca="false">IF($E277="","",COUNTA($E277,$F277,$G277,$J277,$L277,$Q277,$U277,$X277,$AM277,$AN277,$AP277,$AR277)/12)</f>
        <v/>
      </c>
      <c r="BA277" s="32" t="str">
        <f aca="false">IF($E277="","",IF(COUNTIF($E$3:$E$402,$E277)&gt;1,"DUPLICATE",""))</f>
        <v/>
      </c>
      <c r="BB277" s="17"/>
      <c r="BC277" s="35" t="str">
        <f aca="false">IF($E277="","",IFERROR(INDEX(SCORING!$C$6:$C$15,MATCH($J277,SCORING!$B$6:$B$15,0)),0)+IFERROR(INDEX(SCORING!$C$18:$C$20,MATCH($U277,SCORING!$B$18:$B$20,0)),0)+IFERROR(INDEX(SCORING!$C$23:$C$26,MATCH($X277,SCORING!$B$23:$B$26,0)),0)+IFERROR(INDEX(SCORING!$C$29:$C$32,MATCH($Q277,SCORING!$B$29:$B$32,0)),0)+IFERROR(INDEX(SCORING!$C$35:$C$37,MATCH($L277,SCORING!$B$35:$B$37,0)),0)+IF($AP277="",0,IF(AND($AQ277="Valid",$AO277="Decision maker"),SCORING!$C$40,IF($AQ277="Valid",SCORING!$C$41,SCORING!$C$42))))</f>
        <v/>
      </c>
      <c r="BD277" s="36" t="str">
        <f aca="false">IF($BC277="","",IF($BC277&gt;=SCORING!$C$46,"A",IF($BC277&gt;=SCORING!$C$47,"B",IF($BC277&gt;=SCORING!$C$48,"C","D"))))</f>
        <v/>
      </c>
      <c r="BE277" s="37"/>
    </row>
    <row r="278" customFormat="false" ht="15" hidden="false" customHeight="false" outlineLevel="0" collapsed="false">
      <c r="A278" s="37"/>
      <c r="B278" s="38"/>
      <c r="C278" s="37"/>
      <c r="D278" s="37"/>
      <c r="E278" s="17"/>
      <c r="F278" s="17"/>
      <c r="G278" s="37"/>
      <c r="H278" s="32" t="str">
        <f aca="false">IF($G278="","",IFERROR(INDEX(LISTS!$P$3:$P$145,MATCH($G278,LISTS!$O$3:$O$145,0)),"Other"))</f>
        <v/>
      </c>
      <c r="I278" s="37"/>
      <c r="J278" s="17"/>
      <c r="K278" s="17"/>
      <c r="L278" s="37"/>
      <c r="M278" s="37"/>
      <c r="N278" s="39"/>
      <c r="O278" s="37"/>
      <c r="P278" s="39"/>
      <c r="Q278" s="37"/>
      <c r="R278" s="39"/>
      <c r="S278" s="17"/>
      <c r="T278" s="17"/>
      <c r="U278" s="37"/>
      <c r="V278" s="37"/>
      <c r="W278" s="17"/>
      <c r="X278" s="37"/>
      <c r="Y278" s="17"/>
      <c r="Z278" s="39"/>
      <c r="AA278" s="39"/>
      <c r="AB278" s="37"/>
      <c r="AC278" s="37"/>
      <c r="AD278" s="38"/>
      <c r="AE278" s="37"/>
      <c r="AF278" s="37"/>
      <c r="AG278" s="37"/>
      <c r="AH278" s="37"/>
      <c r="AI278" s="17"/>
      <c r="AJ278" s="37"/>
      <c r="AK278" s="17"/>
      <c r="AL278" s="39"/>
      <c r="AM278" s="17"/>
      <c r="AN278" s="17"/>
      <c r="AO278" s="37"/>
      <c r="AP278" s="17"/>
      <c r="AQ278" s="37"/>
      <c r="AR278" s="37"/>
      <c r="AS278" s="37"/>
      <c r="AT278" s="17"/>
      <c r="AU278" s="37"/>
      <c r="AV278" s="37"/>
      <c r="AW278" s="38"/>
      <c r="AX278" s="37"/>
      <c r="AY278" s="38"/>
      <c r="AZ278" s="34" t="str">
        <f aca="false">IF($E278="","",COUNTA($E278,$F278,$G278,$J278,$L278,$Q278,$U278,$X278,$AM278,$AN278,$AP278,$AR278)/12)</f>
        <v/>
      </c>
      <c r="BA278" s="32" t="str">
        <f aca="false">IF($E278="","",IF(COUNTIF($E$3:$E$402,$E278)&gt;1,"DUPLICATE",""))</f>
        <v/>
      </c>
      <c r="BB278" s="17"/>
      <c r="BC278" s="35" t="str">
        <f aca="false">IF($E278="","",IFERROR(INDEX(SCORING!$C$6:$C$15,MATCH($J278,SCORING!$B$6:$B$15,0)),0)+IFERROR(INDEX(SCORING!$C$18:$C$20,MATCH($U278,SCORING!$B$18:$B$20,0)),0)+IFERROR(INDEX(SCORING!$C$23:$C$26,MATCH($X278,SCORING!$B$23:$B$26,0)),0)+IFERROR(INDEX(SCORING!$C$29:$C$32,MATCH($Q278,SCORING!$B$29:$B$32,0)),0)+IFERROR(INDEX(SCORING!$C$35:$C$37,MATCH($L278,SCORING!$B$35:$B$37,0)),0)+IF($AP278="",0,IF(AND($AQ278="Valid",$AO278="Decision maker"),SCORING!$C$40,IF($AQ278="Valid",SCORING!$C$41,SCORING!$C$42))))</f>
        <v/>
      </c>
      <c r="BD278" s="36" t="str">
        <f aca="false">IF($BC278="","",IF($BC278&gt;=SCORING!$C$46,"A",IF($BC278&gt;=SCORING!$C$47,"B",IF($BC278&gt;=SCORING!$C$48,"C","D"))))</f>
        <v/>
      </c>
      <c r="BE278" s="37"/>
    </row>
    <row r="279" customFormat="false" ht="15" hidden="false" customHeight="false" outlineLevel="0" collapsed="false">
      <c r="A279" s="37"/>
      <c r="B279" s="38"/>
      <c r="C279" s="37"/>
      <c r="D279" s="37"/>
      <c r="E279" s="17"/>
      <c r="F279" s="17"/>
      <c r="G279" s="37"/>
      <c r="H279" s="32" t="str">
        <f aca="false">IF($G279="","",IFERROR(INDEX(LISTS!$P$3:$P$145,MATCH($G279,LISTS!$O$3:$O$145,0)),"Other"))</f>
        <v/>
      </c>
      <c r="I279" s="37"/>
      <c r="J279" s="17"/>
      <c r="K279" s="17"/>
      <c r="L279" s="37"/>
      <c r="M279" s="37"/>
      <c r="N279" s="39"/>
      <c r="O279" s="37"/>
      <c r="P279" s="39"/>
      <c r="Q279" s="37"/>
      <c r="R279" s="39"/>
      <c r="S279" s="17"/>
      <c r="T279" s="17"/>
      <c r="U279" s="37"/>
      <c r="V279" s="37"/>
      <c r="W279" s="17"/>
      <c r="X279" s="37"/>
      <c r="Y279" s="17"/>
      <c r="Z279" s="39"/>
      <c r="AA279" s="39"/>
      <c r="AB279" s="37"/>
      <c r="AC279" s="37"/>
      <c r="AD279" s="38"/>
      <c r="AE279" s="37"/>
      <c r="AF279" s="37"/>
      <c r="AG279" s="37"/>
      <c r="AH279" s="37"/>
      <c r="AI279" s="17"/>
      <c r="AJ279" s="37"/>
      <c r="AK279" s="17"/>
      <c r="AL279" s="39"/>
      <c r="AM279" s="17"/>
      <c r="AN279" s="17"/>
      <c r="AO279" s="37"/>
      <c r="AP279" s="17"/>
      <c r="AQ279" s="37"/>
      <c r="AR279" s="37"/>
      <c r="AS279" s="37"/>
      <c r="AT279" s="17"/>
      <c r="AU279" s="37"/>
      <c r="AV279" s="37"/>
      <c r="AW279" s="38"/>
      <c r="AX279" s="37"/>
      <c r="AY279" s="38"/>
      <c r="AZ279" s="34" t="str">
        <f aca="false">IF($E279="","",COUNTA($E279,$F279,$G279,$J279,$L279,$Q279,$U279,$X279,$AM279,$AN279,$AP279,$AR279)/12)</f>
        <v/>
      </c>
      <c r="BA279" s="32" t="str">
        <f aca="false">IF($E279="","",IF(COUNTIF($E$3:$E$402,$E279)&gt;1,"DUPLICATE",""))</f>
        <v/>
      </c>
      <c r="BB279" s="17"/>
      <c r="BC279" s="35" t="str">
        <f aca="false">IF($E279="","",IFERROR(INDEX(SCORING!$C$6:$C$15,MATCH($J279,SCORING!$B$6:$B$15,0)),0)+IFERROR(INDEX(SCORING!$C$18:$C$20,MATCH($U279,SCORING!$B$18:$B$20,0)),0)+IFERROR(INDEX(SCORING!$C$23:$C$26,MATCH($X279,SCORING!$B$23:$B$26,0)),0)+IFERROR(INDEX(SCORING!$C$29:$C$32,MATCH($Q279,SCORING!$B$29:$B$32,0)),0)+IFERROR(INDEX(SCORING!$C$35:$C$37,MATCH($L279,SCORING!$B$35:$B$37,0)),0)+IF($AP279="",0,IF(AND($AQ279="Valid",$AO279="Decision maker"),SCORING!$C$40,IF($AQ279="Valid",SCORING!$C$41,SCORING!$C$42))))</f>
        <v/>
      </c>
      <c r="BD279" s="36" t="str">
        <f aca="false">IF($BC279="","",IF($BC279&gt;=SCORING!$C$46,"A",IF($BC279&gt;=SCORING!$C$47,"B",IF($BC279&gt;=SCORING!$C$48,"C","D"))))</f>
        <v/>
      </c>
      <c r="BE279" s="37"/>
    </row>
    <row r="280" customFormat="false" ht="15" hidden="false" customHeight="false" outlineLevel="0" collapsed="false">
      <c r="A280" s="37"/>
      <c r="B280" s="38"/>
      <c r="C280" s="37"/>
      <c r="D280" s="37"/>
      <c r="E280" s="17"/>
      <c r="F280" s="17"/>
      <c r="G280" s="37"/>
      <c r="H280" s="32" t="str">
        <f aca="false">IF($G280="","",IFERROR(INDEX(LISTS!$P$3:$P$145,MATCH($G280,LISTS!$O$3:$O$145,0)),"Other"))</f>
        <v/>
      </c>
      <c r="I280" s="37"/>
      <c r="J280" s="17"/>
      <c r="K280" s="17"/>
      <c r="L280" s="37"/>
      <c r="M280" s="37"/>
      <c r="N280" s="39"/>
      <c r="O280" s="37"/>
      <c r="P280" s="39"/>
      <c r="Q280" s="37"/>
      <c r="R280" s="39"/>
      <c r="S280" s="17"/>
      <c r="T280" s="17"/>
      <c r="U280" s="37"/>
      <c r="V280" s="37"/>
      <c r="W280" s="17"/>
      <c r="X280" s="37"/>
      <c r="Y280" s="17"/>
      <c r="Z280" s="39"/>
      <c r="AA280" s="39"/>
      <c r="AB280" s="37"/>
      <c r="AC280" s="37"/>
      <c r="AD280" s="38"/>
      <c r="AE280" s="37"/>
      <c r="AF280" s="37"/>
      <c r="AG280" s="37"/>
      <c r="AH280" s="37"/>
      <c r="AI280" s="17"/>
      <c r="AJ280" s="37"/>
      <c r="AK280" s="17"/>
      <c r="AL280" s="39"/>
      <c r="AM280" s="17"/>
      <c r="AN280" s="17"/>
      <c r="AO280" s="37"/>
      <c r="AP280" s="17"/>
      <c r="AQ280" s="37"/>
      <c r="AR280" s="37"/>
      <c r="AS280" s="37"/>
      <c r="AT280" s="17"/>
      <c r="AU280" s="37"/>
      <c r="AV280" s="37"/>
      <c r="AW280" s="38"/>
      <c r="AX280" s="37"/>
      <c r="AY280" s="38"/>
      <c r="AZ280" s="34" t="str">
        <f aca="false">IF($E280="","",COUNTA($E280,$F280,$G280,$J280,$L280,$Q280,$U280,$X280,$AM280,$AN280,$AP280,$AR280)/12)</f>
        <v/>
      </c>
      <c r="BA280" s="32" t="str">
        <f aca="false">IF($E280="","",IF(COUNTIF($E$3:$E$402,$E280)&gt;1,"DUPLICATE",""))</f>
        <v/>
      </c>
      <c r="BB280" s="17"/>
      <c r="BC280" s="35" t="str">
        <f aca="false">IF($E280="","",IFERROR(INDEX(SCORING!$C$6:$C$15,MATCH($J280,SCORING!$B$6:$B$15,0)),0)+IFERROR(INDEX(SCORING!$C$18:$C$20,MATCH($U280,SCORING!$B$18:$B$20,0)),0)+IFERROR(INDEX(SCORING!$C$23:$C$26,MATCH($X280,SCORING!$B$23:$B$26,0)),0)+IFERROR(INDEX(SCORING!$C$29:$C$32,MATCH($Q280,SCORING!$B$29:$B$32,0)),0)+IFERROR(INDEX(SCORING!$C$35:$C$37,MATCH($L280,SCORING!$B$35:$B$37,0)),0)+IF($AP280="",0,IF(AND($AQ280="Valid",$AO280="Decision maker"),SCORING!$C$40,IF($AQ280="Valid",SCORING!$C$41,SCORING!$C$42))))</f>
        <v/>
      </c>
      <c r="BD280" s="36" t="str">
        <f aca="false">IF($BC280="","",IF($BC280&gt;=SCORING!$C$46,"A",IF($BC280&gt;=SCORING!$C$47,"B",IF($BC280&gt;=SCORING!$C$48,"C","D"))))</f>
        <v/>
      </c>
      <c r="BE280" s="37"/>
    </row>
    <row r="281" customFormat="false" ht="15" hidden="false" customHeight="false" outlineLevel="0" collapsed="false">
      <c r="A281" s="37"/>
      <c r="B281" s="38"/>
      <c r="C281" s="37"/>
      <c r="D281" s="37"/>
      <c r="E281" s="17"/>
      <c r="F281" s="17"/>
      <c r="G281" s="37"/>
      <c r="H281" s="32" t="str">
        <f aca="false">IF($G281="","",IFERROR(INDEX(LISTS!$P$3:$P$145,MATCH($G281,LISTS!$O$3:$O$145,0)),"Other"))</f>
        <v/>
      </c>
      <c r="I281" s="37"/>
      <c r="J281" s="17"/>
      <c r="K281" s="17"/>
      <c r="L281" s="37"/>
      <c r="M281" s="37"/>
      <c r="N281" s="39"/>
      <c r="O281" s="37"/>
      <c r="P281" s="39"/>
      <c r="Q281" s="37"/>
      <c r="R281" s="39"/>
      <c r="S281" s="17"/>
      <c r="T281" s="17"/>
      <c r="U281" s="37"/>
      <c r="V281" s="37"/>
      <c r="W281" s="17"/>
      <c r="X281" s="37"/>
      <c r="Y281" s="17"/>
      <c r="Z281" s="39"/>
      <c r="AA281" s="39"/>
      <c r="AB281" s="37"/>
      <c r="AC281" s="37"/>
      <c r="AD281" s="38"/>
      <c r="AE281" s="37"/>
      <c r="AF281" s="37"/>
      <c r="AG281" s="37"/>
      <c r="AH281" s="37"/>
      <c r="AI281" s="17"/>
      <c r="AJ281" s="37"/>
      <c r="AK281" s="17"/>
      <c r="AL281" s="39"/>
      <c r="AM281" s="17"/>
      <c r="AN281" s="17"/>
      <c r="AO281" s="37"/>
      <c r="AP281" s="17"/>
      <c r="AQ281" s="37"/>
      <c r="AR281" s="37"/>
      <c r="AS281" s="37"/>
      <c r="AT281" s="17"/>
      <c r="AU281" s="37"/>
      <c r="AV281" s="37"/>
      <c r="AW281" s="38"/>
      <c r="AX281" s="37"/>
      <c r="AY281" s="38"/>
      <c r="AZ281" s="34" t="str">
        <f aca="false">IF($E281="","",COUNTA($E281,$F281,$G281,$J281,$L281,$Q281,$U281,$X281,$AM281,$AN281,$AP281,$AR281)/12)</f>
        <v/>
      </c>
      <c r="BA281" s="32" t="str">
        <f aca="false">IF($E281="","",IF(COUNTIF($E$3:$E$402,$E281)&gt;1,"DUPLICATE",""))</f>
        <v/>
      </c>
      <c r="BB281" s="17"/>
      <c r="BC281" s="35" t="str">
        <f aca="false">IF($E281="","",IFERROR(INDEX(SCORING!$C$6:$C$15,MATCH($J281,SCORING!$B$6:$B$15,0)),0)+IFERROR(INDEX(SCORING!$C$18:$C$20,MATCH($U281,SCORING!$B$18:$B$20,0)),0)+IFERROR(INDEX(SCORING!$C$23:$C$26,MATCH($X281,SCORING!$B$23:$B$26,0)),0)+IFERROR(INDEX(SCORING!$C$29:$C$32,MATCH($Q281,SCORING!$B$29:$B$32,0)),0)+IFERROR(INDEX(SCORING!$C$35:$C$37,MATCH($L281,SCORING!$B$35:$B$37,0)),0)+IF($AP281="",0,IF(AND($AQ281="Valid",$AO281="Decision maker"),SCORING!$C$40,IF($AQ281="Valid",SCORING!$C$41,SCORING!$C$42))))</f>
        <v/>
      </c>
      <c r="BD281" s="36" t="str">
        <f aca="false">IF($BC281="","",IF($BC281&gt;=SCORING!$C$46,"A",IF($BC281&gt;=SCORING!$C$47,"B",IF($BC281&gt;=SCORING!$C$48,"C","D"))))</f>
        <v/>
      </c>
      <c r="BE281" s="37"/>
    </row>
    <row r="282" customFormat="false" ht="15" hidden="false" customHeight="false" outlineLevel="0" collapsed="false">
      <c r="A282" s="37"/>
      <c r="B282" s="38"/>
      <c r="C282" s="37"/>
      <c r="D282" s="37"/>
      <c r="E282" s="17"/>
      <c r="F282" s="17"/>
      <c r="G282" s="37"/>
      <c r="H282" s="32" t="str">
        <f aca="false">IF($G282="","",IFERROR(INDEX(LISTS!$P$3:$P$145,MATCH($G282,LISTS!$O$3:$O$145,0)),"Other"))</f>
        <v/>
      </c>
      <c r="I282" s="37"/>
      <c r="J282" s="17"/>
      <c r="K282" s="17"/>
      <c r="L282" s="37"/>
      <c r="M282" s="37"/>
      <c r="N282" s="39"/>
      <c r="O282" s="37"/>
      <c r="P282" s="39"/>
      <c r="Q282" s="37"/>
      <c r="R282" s="39"/>
      <c r="S282" s="17"/>
      <c r="T282" s="17"/>
      <c r="U282" s="37"/>
      <c r="V282" s="37"/>
      <c r="W282" s="17"/>
      <c r="X282" s="37"/>
      <c r="Y282" s="17"/>
      <c r="Z282" s="39"/>
      <c r="AA282" s="39"/>
      <c r="AB282" s="37"/>
      <c r="AC282" s="37"/>
      <c r="AD282" s="38"/>
      <c r="AE282" s="37"/>
      <c r="AF282" s="37"/>
      <c r="AG282" s="37"/>
      <c r="AH282" s="37"/>
      <c r="AI282" s="17"/>
      <c r="AJ282" s="37"/>
      <c r="AK282" s="17"/>
      <c r="AL282" s="39"/>
      <c r="AM282" s="17"/>
      <c r="AN282" s="17"/>
      <c r="AO282" s="37"/>
      <c r="AP282" s="17"/>
      <c r="AQ282" s="37"/>
      <c r="AR282" s="37"/>
      <c r="AS282" s="37"/>
      <c r="AT282" s="17"/>
      <c r="AU282" s="37"/>
      <c r="AV282" s="37"/>
      <c r="AW282" s="38"/>
      <c r="AX282" s="37"/>
      <c r="AY282" s="38"/>
      <c r="AZ282" s="34" t="str">
        <f aca="false">IF($E282="","",COUNTA($E282,$F282,$G282,$J282,$L282,$Q282,$U282,$X282,$AM282,$AN282,$AP282,$AR282)/12)</f>
        <v/>
      </c>
      <c r="BA282" s="32" t="str">
        <f aca="false">IF($E282="","",IF(COUNTIF($E$3:$E$402,$E282)&gt;1,"DUPLICATE",""))</f>
        <v/>
      </c>
      <c r="BB282" s="17"/>
      <c r="BC282" s="35" t="str">
        <f aca="false">IF($E282="","",IFERROR(INDEX(SCORING!$C$6:$C$15,MATCH($J282,SCORING!$B$6:$B$15,0)),0)+IFERROR(INDEX(SCORING!$C$18:$C$20,MATCH($U282,SCORING!$B$18:$B$20,0)),0)+IFERROR(INDEX(SCORING!$C$23:$C$26,MATCH($X282,SCORING!$B$23:$B$26,0)),0)+IFERROR(INDEX(SCORING!$C$29:$C$32,MATCH($Q282,SCORING!$B$29:$B$32,0)),0)+IFERROR(INDEX(SCORING!$C$35:$C$37,MATCH($L282,SCORING!$B$35:$B$37,0)),0)+IF($AP282="",0,IF(AND($AQ282="Valid",$AO282="Decision maker"),SCORING!$C$40,IF($AQ282="Valid",SCORING!$C$41,SCORING!$C$42))))</f>
        <v/>
      </c>
      <c r="BD282" s="36" t="str">
        <f aca="false">IF($BC282="","",IF($BC282&gt;=SCORING!$C$46,"A",IF($BC282&gt;=SCORING!$C$47,"B",IF($BC282&gt;=SCORING!$C$48,"C","D"))))</f>
        <v/>
      </c>
      <c r="BE282" s="37"/>
    </row>
    <row r="283" customFormat="false" ht="15" hidden="false" customHeight="false" outlineLevel="0" collapsed="false">
      <c r="A283" s="37"/>
      <c r="B283" s="38"/>
      <c r="C283" s="37"/>
      <c r="D283" s="37"/>
      <c r="E283" s="17"/>
      <c r="F283" s="17"/>
      <c r="G283" s="37"/>
      <c r="H283" s="32" t="str">
        <f aca="false">IF($G283="","",IFERROR(INDEX(LISTS!$P$3:$P$145,MATCH($G283,LISTS!$O$3:$O$145,0)),"Other"))</f>
        <v/>
      </c>
      <c r="I283" s="37"/>
      <c r="J283" s="17"/>
      <c r="K283" s="17"/>
      <c r="L283" s="37"/>
      <c r="M283" s="37"/>
      <c r="N283" s="39"/>
      <c r="O283" s="37"/>
      <c r="P283" s="39"/>
      <c r="Q283" s="37"/>
      <c r="R283" s="39"/>
      <c r="S283" s="17"/>
      <c r="T283" s="17"/>
      <c r="U283" s="37"/>
      <c r="V283" s="37"/>
      <c r="W283" s="17"/>
      <c r="X283" s="37"/>
      <c r="Y283" s="17"/>
      <c r="Z283" s="39"/>
      <c r="AA283" s="39"/>
      <c r="AB283" s="37"/>
      <c r="AC283" s="37"/>
      <c r="AD283" s="38"/>
      <c r="AE283" s="37"/>
      <c r="AF283" s="37"/>
      <c r="AG283" s="37"/>
      <c r="AH283" s="37"/>
      <c r="AI283" s="17"/>
      <c r="AJ283" s="37"/>
      <c r="AK283" s="17"/>
      <c r="AL283" s="39"/>
      <c r="AM283" s="17"/>
      <c r="AN283" s="17"/>
      <c r="AO283" s="37"/>
      <c r="AP283" s="17"/>
      <c r="AQ283" s="37"/>
      <c r="AR283" s="37"/>
      <c r="AS283" s="37"/>
      <c r="AT283" s="17"/>
      <c r="AU283" s="37"/>
      <c r="AV283" s="37"/>
      <c r="AW283" s="38"/>
      <c r="AX283" s="37"/>
      <c r="AY283" s="38"/>
      <c r="AZ283" s="34" t="str">
        <f aca="false">IF($E283="","",COUNTA($E283,$F283,$G283,$J283,$L283,$Q283,$U283,$X283,$AM283,$AN283,$AP283,$AR283)/12)</f>
        <v/>
      </c>
      <c r="BA283" s="32" t="str">
        <f aca="false">IF($E283="","",IF(COUNTIF($E$3:$E$402,$E283)&gt;1,"DUPLICATE",""))</f>
        <v/>
      </c>
      <c r="BB283" s="17"/>
      <c r="BC283" s="35" t="str">
        <f aca="false">IF($E283="","",IFERROR(INDEX(SCORING!$C$6:$C$15,MATCH($J283,SCORING!$B$6:$B$15,0)),0)+IFERROR(INDEX(SCORING!$C$18:$C$20,MATCH($U283,SCORING!$B$18:$B$20,0)),0)+IFERROR(INDEX(SCORING!$C$23:$C$26,MATCH($X283,SCORING!$B$23:$B$26,0)),0)+IFERROR(INDEX(SCORING!$C$29:$C$32,MATCH($Q283,SCORING!$B$29:$B$32,0)),0)+IFERROR(INDEX(SCORING!$C$35:$C$37,MATCH($L283,SCORING!$B$35:$B$37,0)),0)+IF($AP283="",0,IF(AND($AQ283="Valid",$AO283="Decision maker"),SCORING!$C$40,IF($AQ283="Valid",SCORING!$C$41,SCORING!$C$42))))</f>
        <v/>
      </c>
      <c r="BD283" s="36" t="str">
        <f aca="false">IF($BC283="","",IF($BC283&gt;=SCORING!$C$46,"A",IF($BC283&gt;=SCORING!$C$47,"B",IF($BC283&gt;=SCORING!$C$48,"C","D"))))</f>
        <v/>
      </c>
      <c r="BE283" s="37"/>
    </row>
    <row r="284" customFormat="false" ht="15" hidden="false" customHeight="false" outlineLevel="0" collapsed="false">
      <c r="A284" s="37"/>
      <c r="B284" s="38"/>
      <c r="C284" s="37"/>
      <c r="D284" s="37"/>
      <c r="E284" s="17"/>
      <c r="F284" s="17"/>
      <c r="G284" s="37"/>
      <c r="H284" s="32" t="str">
        <f aca="false">IF($G284="","",IFERROR(INDEX(LISTS!$P$3:$P$145,MATCH($G284,LISTS!$O$3:$O$145,0)),"Other"))</f>
        <v/>
      </c>
      <c r="I284" s="37"/>
      <c r="J284" s="17"/>
      <c r="K284" s="17"/>
      <c r="L284" s="37"/>
      <c r="M284" s="37"/>
      <c r="N284" s="39"/>
      <c r="O284" s="37"/>
      <c r="P284" s="39"/>
      <c r="Q284" s="37"/>
      <c r="R284" s="39"/>
      <c r="S284" s="17"/>
      <c r="T284" s="17"/>
      <c r="U284" s="37"/>
      <c r="V284" s="37"/>
      <c r="W284" s="17"/>
      <c r="X284" s="37"/>
      <c r="Y284" s="17"/>
      <c r="Z284" s="39"/>
      <c r="AA284" s="39"/>
      <c r="AB284" s="37"/>
      <c r="AC284" s="37"/>
      <c r="AD284" s="38"/>
      <c r="AE284" s="37"/>
      <c r="AF284" s="37"/>
      <c r="AG284" s="37"/>
      <c r="AH284" s="37"/>
      <c r="AI284" s="17"/>
      <c r="AJ284" s="37"/>
      <c r="AK284" s="17"/>
      <c r="AL284" s="39"/>
      <c r="AM284" s="17"/>
      <c r="AN284" s="17"/>
      <c r="AO284" s="37"/>
      <c r="AP284" s="17"/>
      <c r="AQ284" s="37"/>
      <c r="AR284" s="37"/>
      <c r="AS284" s="37"/>
      <c r="AT284" s="17"/>
      <c r="AU284" s="37"/>
      <c r="AV284" s="37"/>
      <c r="AW284" s="38"/>
      <c r="AX284" s="37"/>
      <c r="AY284" s="38"/>
      <c r="AZ284" s="34" t="str">
        <f aca="false">IF($E284="","",COUNTA($E284,$F284,$G284,$J284,$L284,$Q284,$U284,$X284,$AM284,$AN284,$AP284,$AR284)/12)</f>
        <v/>
      </c>
      <c r="BA284" s="32" t="str">
        <f aca="false">IF($E284="","",IF(COUNTIF($E$3:$E$402,$E284)&gt;1,"DUPLICATE",""))</f>
        <v/>
      </c>
      <c r="BB284" s="17"/>
      <c r="BC284" s="35" t="str">
        <f aca="false">IF($E284="","",IFERROR(INDEX(SCORING!$C$6:$C$15,MATCH($J284,SCORING!$B$6:$B$15,0)),0)+IFERROR(INDEX(SCORING!$C$18:$C$20,MATCH($U284,SCORING!$B$18:$B$20,0)),0)+IFERROR(INDEX(SCORING!$C$23:$C$26,MATCH($X284,SCORING!$B$23:$B$26,0)),0)+IFERROR(INDEX(SCORING!$C$29:$C$32,MATCH($Q284,SCORING!$B$29:$B$32,0)),0)+IFERROR(INDEX(SCORING!$C$35:$C$37,MATCH($L284,SCORING!$B$35:$B$37,0)),0)+IF($AP284="",0,IF(AND($AQ284="Valid",$AO284="Decision maker"),SCORING!$C$40,IF($AQ284="Valid",SCORING!$C$41,SCORING!$C$42))))</f>
        <v/>
      </c>
      <c r="BD284" s="36" t="str">
        <f aca="false">IF($BC284="","",IF($BC284&gt;=SCORING!$C$46,"A",IF($BC284&gt;=SCORING!$C$47,"B",IF($BC284&gt;=SCORING!$C$48,"C","D"))))</f>
        <v/>
      </c>
      <c r="BE284" s="37"/>
    </row>
    <row r="285" customFormat="false" ht="15" hidden="false" customHeight="false" outlineLevel="0" collapsed="false">
      <c r="A285" s="37"/>
      <c r="B285" s="38"/>
      <c r="C285" s="37"/>
      <c r="D285" s="37"/>
      <c r="E285" s="17"/>
      <c r="F285" s="17"/>
      <c r="G285" s="37"/>
      <c r="H285" s="32" t="str">
        <f aca="false">IF($G285="","",IFERROR(INDEX(LISTS!$P$3:$P$145,MATCH($G285,LISTS!$O$3:$O$145,0)),"Other"))</f>
        <v/>
      </c>
      <c r="I285" s="37"/>
      <c r="J285" s="17"/>
      <c r="K285" s="17"/>
      <c r="L285" s="37"/>
      <c r="M285" s="37"/>
      <c r="N285" s="39"/>
      <c r="O285" s="37"/>
      <c r="P285" s="39"/>
      <c r="Q285" s="37"/>
      <c r="R285" s="39"/>
      <c r="S285" s="17"/>
      <c r="T285" s="17"/>
      <c r="U285" s="37"/>
      <c r="V285" s="37"/>
      <c r="W285" s="17"/>
      <c r="X285" s="37"/>
      <c r="Y285" s="17"/>
      <c r="Z285" s="39"/>
      <c r="AA285" s="39"/>
      <c r="AB285" s="37"/>
      <c r="AC285" s="37"/>
      <c r="AD285" s="38"/>
      <c r="AE285" s="37"/>
      <c r="AF285" s="37"/>
      <c r="AG285" s="37"/>
      <c r="AH285" s="37"/>
      <c r="AI285" s="17"/>
      <c r="AJ285" s="37"/>
      <c r="AK285" s="17"/>
      <c r="AL285" s="39"/>
      <c r="AM285" s="17"/>
      <c r="AN285" s="17"/>
      <c r="AO285" s="37"/>
      <c r="AP285" s="17"/>
      <c r="AQ285" s="37"/>
      <c r="AR285" s="37"/>
      <c r="AS285" s="37"/>
      <c r="AT285" s="17"/>
      <c r="AU285" s="37"/>
      <c r="AV285" s="37"/>
      <c r="AW285" s="38"/>
      <c r="AX285" s="37"/>
      <c r="AY285" s="38"/>
      <c r="AZ285" s="34" t="str">
        <f aca="false">IF($E285="","",COUNTA($E285,$F285,$G285,$J285,$L285,$Q285,$U285,$X285,$AM285,$AN285,$AP285,$AR285)/12)</f>
        <v/>
      </c>
      <c r="BA285" s="32" t="str">
        <f aca="false">IF($E285="","",IF(COUNTIF($E$3:$E$402,$E285)&gt;1,"DUPLICATE",""))</f>
        <v/>
      </c>
      <c r="BB285" s="17"/>
      <c r="BC285" s="35" t="str">
        <f aca="false">IF($E285="","",IFERROR(INDEX(SCORING!$C$6:$C$15,MATCH($J285,SCORING!$B$6:$B$15,0)),0)+IFERROR(INDEX(SCORING!$C$18:$C$20,MATCH($U285,SCORING!$B$18:$B$20,0)),0)+IFERROR(INDEX(SCORING!$C$23:$C$26,MATCH($X285,SCORING!$B$23:$B$26,0)),0)+IFERROR(INDEX(SCORING!$C$29:$C$32,MATCH($Q285,SCORING!$B$29:$B$32,0)),0)+IFERROR(INDEX(SCORING!$C$35:$C$37,MATCH($L285,SCORING!$B$35:$B$37,0)),0)+IF($AP285="",0,IF(AND($AQ285="Valid",$AO285="Decision maker"),SCORING!$C$40,IF($AQ285="Valid",SCORING!$C$41,SCORING!$C$42))))</f>
        <v/>
      </c>
      <c r="BD285" s="36" t="str">
        <f aca="false">IF($BC285="","",IF($BC285&gt;=SCORING!$C$46,"A",IF($BC285&gt;=SCORING!$C$47,"B",IF($BC285&gt;=SCORING!$C$48,"C","D"))))</f>
        <v/>
      </c>
      <c r="BE285" s="37"/>
    </row>
    <row r="286" customFormat="false" ht="15" hidden="false" customHeight="false" outlineLevel="0" collapsed="false">
      <c r="A286" s="37"/>
      <c r="B286" s="38"/>
      <c r="C286" s="37"/>
      <c r="D286" s="37"/>
      <c r="E286" s="17"/>
      <c r="F286" s="17"/>
      <c r="G286" s="37"/>
      <c r="H286" s="32" t="str">
        <f aca="false">IF($G286="","",IFERROR(INDEX(LISTS!$P$3:$P$145,MATCH($G286,LISTS!$O$3:$O$145,0)),"Other"))</f>
        <v/>
      </c>
      <c r="I286" s="37"/>
      <c r="J286" s="17"/>
      <c r="K286" s="17"/>
      <c r="L286" s="37"/>
      <c r="M286" s="37"/>
      <c r="N286" s="39"/>
      <c r="O286" s="37"/>
      <c r="P286" s="39"/>
      <c r="Q286" s="37"/>
      <c r="R286" s="39"/>
      <c r="S286" s="17"/>
      <c r="T286" s="17"/>
      <c r="U286" s="37"/>
      <c r="V286" s="37"/>
      <c r="W286" s="17"/>
      <c r="X286" s="37"/>
      <c r="Y286" s="17"/>
      <c r="Z286" s="39"/>
      <c r="AA286" s="39"/>
      <c r="AB286" s="37"/>
      <c r="AC286" s="37"/>
      <c r="AD286" s="38"/>
      <c r="AE286" s="37"/>
      <c r="AF286" s="37"/>
      <c r="AG286" s="37"/>
      <c r="AH286" s="37"/>
      <c r="AI286" s="17"/>
      <c r="AJ286" s="37"/>
      <c r="AK286" s="17"/>
      <c r="AL286" s="39"/>
      <c r="AM286" s="17"/>
      <c r="AN286" s="17"/>
      <c r="AO286" s="37"/>
      <c r="AP286" s="17"/>
      <c r="AQ286" s="37"/>
      <c r="AR286" s="37"/>
      <c r="AS286" s="37"/>
      <c r="AT286" s="17"/>
      <c r="AU286" s="37"/>
      <c r="AV286" s="37"/>
      <c r="AW286" s="38"/>
      <c r="AX286" s="37"/>
      <c r="AY286" s="38"/>
      <c r="AZ286" s="34" t="str">
        <f aca="false">IF($E286="","",COUNTA($E286,$F286,$G286,$J286,$L286,$Q286,$U286,$X286,$AM286,$AN286,$AP286,$AR286)/12)</f>
        <v/>
      </c>
      <c r="BA286" s="32" t="str">
        <f aca="false">IF($E286="","",IF(COUNTIF($E$3:$E$402,$E286)&gt;1,"DUPLICATE",""))</f>
        <v/>
      </c>
      <c r="BB286" s="17"/>
      <c r="BC286" s="35" t="str">
        <f aca="false">IF($E286="","",IFERROR(INDEX(SCORING!$C$6:$C$15,MATCH($J286,SCORING!$B$6:$B$15,0)),0)+IFERROR(INDEX(SCORING!$C$18:$C$20,MATCH($U286,SCORING!$B$18:$B$20,0)),0)+IFERROR(INDEX(SCORING!$C$23:$C$26,MATCH($X286,SCORING!$B$23:$B$26,0)),0)+IFERROR(INDEX(SCORING!$C$29:$C$32,MATCH($Q286,SCORING!$B$29:$B$32,0)),0)+IFERROR(INDEX(SCORING!$C$35:$C$37,MATCH($L286,SCORING!$B$35:$B$37,0)),0)+IF($AP286="",0,IF(AND($AQ286="Valid",$AO286="Decision maker"),SCORING!$C$40,IF($AQ286="Valid",SCORING!$C$41,SCORING!$C$42))))</f>
        <v/>
      </c>
      <c r="BD286" s="36" t="str">
        <f aca="false">IF($BC286="","",IF($BC286&gt;=SCORING!$C$46,"A",IF($BC286&gt;=SCORING!$C$47,"B",IF($BC286&gt;=SCORING!$C$48,"C","D"))))</f>
        <v/>
      </c>
      <c r="BE286" s="37"/>
    </row>
    <row r="287" customFormat="false" ht="15" hidden="false" customHeight="false" outlineLevel="0" collapsed="false">
      <c r="A287" s="37"/>
      <c r="B287" s="38"/>
      <c r="C287" s="37"/>
      <c r="D287" s="37"/>
      <c r="E287" s="17"/>
      <c r="F287" s="17"/>
      <c r="G287" s="37"/>
      <c r="H287" s="32" t="str">
        <f aca="false">IF($G287="","",IFERROR(INDEX(LISTS!$P$3:$P$145,MATCH($G287,LISTS!$O$3:$O$145,0)),"Other"))</f>
        <v/>
      </c>
      <c r="I287" s="37"/>
      <c r="J287" s="17"/>
      <c r="K287" s="17"/>
      <c r="L287" s="37"/>
      <c r="M287" s="37"/>
      <c r="N287" s="39"/>
      <c r="O287" s="37"/>
      <c r="P287" s="39"/>
      <c r="Q287" s="37"/>
      <c r="R287" s="39"/>
      <c r="S287" s="17"/>
      <c r="T287" s="17"/>
      <c r="U287" s="37"/>
      <c r="V287" s="37"/>
      <c r="W287" s="17"/>
      <c r="X287" s="37"/>
      <c r="Y287" s="17"/>
      <c r="Z287" s="39"/>
      <c r="AA287" s="39"/>
      <c r="AB287" s="37"/>
      <c r="AC287" s="37"/>
      <c r="AD287" s="38"/>
      <c r="AE287" s="37"/>
      <c r="AF287" s="37"/>
      <c r="AG287" s="37"/>
      <c r="AH287" s="37"/>
      <c r="AI287" s="17"/>
      <c r="AJ287" s="37"/>
      <c r="AK287" s="17"/>
      <c r="AL287" s="39"/>
      <c r="AM287" s="17"/>
      <c r="AN287" s="17"/>
      <c r="AO287" s="37"/>
      <c r="AP287" s="17"/>
      <c r="AQ287" s="37"/>
      <c r="AR287" s="37"/>
      <c r="AS287" s="37"/>
      <c r="AT287" s="17"/>
      <c r="AU287" s="37"/>
      <c r="AV287" s="37"/>
      <c r="AW287" s="38"/>
      <c r="AX287" s="37"/>
      <c r="AY287" s="38"/>
      <c r="AZ287" s="34" t="str">
        <f aca="false">IF($E287="","",COUNTA($E287,$F287,$G287,$J287,$L287,$Q287,$U287,$X287,$AM287,$AN287,$AP287,$AR287)/12)</f>
        <v/>
      </c>
      <c r="BA287" s="32" t="str">
        <f aca="false">IF($E287="","",IF(COUNTIF($E$3:$E$402,$E287)&gt;1,"DUPLICATE",""))</f>
        <v/>
      </c>
      <c r="BB287" s="17"/>
      <c r="BC287" s="35" t="str">
        <f aca="false">IF($E287="","",IFERROR(INDEX(SCORING!$C$6:$C$15,MATCH($J287,SCORING!$B$6:$B$15,0)),0)+IFERROR(INDEX(SCORING!$C$18:$C$20,MATCH($U287,SCORING!$B$18:$B$20,0)),0)+IFERROR(INDEX(SCORING!$C$23:$C$26,MATCH($X287,SCORING!$B$23:$B$26,0)),0)+IFERROR(INDEX(SCORING!$C$29:$C$32,MATCH($Q287,SCORING!$B$29:$B$32,0)),0)+IFERROR(INDEX(SCORING!$C$35:$C$37,MATCH($L287,SCORING!$B$35:$B$37,0)),0)+IF($AP287="",0,IF(AND($AQ287="Valid",$AO287="Decision maker"),SCORING!$C$40,IF($AQ287="Valid",SCORING!$C$41,SCORING!$C$42))))</f>
        <v/>
      </c>
      <c r="BD287" s="36" t="str">
        <f aca="false">IF($BC287="","",IF($BC287&gt;=SCORING!$C$46,"A",IF($BC287&gt;=SCORING!$C$47,"B",IF($BC287&gt;=SCORING!$C$48,"C","D"))))</f>
        <v/>
      </c>
      <c r="BE287" s="37"/>
    </row>
    <row r="288" customFormat="false" ht="15" hidden="false" customHeight="false" outlineLevel="0" collapsed="false">
      <c r="A288" s="37"/>
      <c r="B288" s="38"/>
      <c r="C288" s="37"/>
      <c r="D288" s="37"/>
      <c r="E288" s="17"/>
      <c r="F288" s="17"/>
      <c r="G288" s="37"/>
      <c r="H288" s="32" t="str">
        <f aca="false">IF($G288="","",IFERROR(INDEX(LISTS!$P$3:$P$145,MATCH($G288,LISTS!$O$3:$O$145,0)),"Other"))</f>
        <v/>
      </c>
      <c r="I288" s="37"/>
      <c r="J288" s="17"/>
      <c r="K288" s="17"/>
      <c r="L288" s="37"/>
      <c r="M288" s="37"/>
      <c r="N288" s="39"/>
      <c r="O288" s="37"/>
      <c r="P288" s="39"/>
      <c r="Q288" s="37"/>
      <c r="R288" s="39"/>
      <c r="S288" s="17"/>
      <c r="T288" s="17"/>
      <c r="U288" s="37"/>
      <c r="V288" s="37"/>
      <c r="W288" s="17"/>
      <c r="X288" s="37"/>
      <c r="Y288" s="17"/>
      <c r="Z288" s="39"/>
      <c r="AA288" s="39"/>
      <c r="AB288" s="37"/>
      <c r="AC288" s="37"/>
      <c r="AD288" s="38"/>
      <c r="AE288" s="37"/>
      <c r="AF288" s="37"/>
      <c r="AG288" s="37"/>
      <c r="AH288" s="37"/>
      <c r="AI288" s="17"/>
      <c r="AJ288" s="37"/>
      <c r="AK288" s="17"/>
      <c r="AL288" s="39"/>
      <c r="AM288" s="17"/>
      <c r="AN288" s="17"/>
      <c r="AO288" s="37"/>
      <c r="AP288" s="17"/>
      <c r="AQ288" s="37"/>
      <c r="AR288" s="37"/>
      <c r="AS288" s="37"/>
      <c r="AT288" s="17"/>
      <c r="AU288" s="37"/>
      <c r="AV288" s="37"/>
      <c r="AW288" s="38"/>
      <c r="AX288" s="37"/>
      <c r="AY288" s="38"/>
      <c r="AZ288" s="34" t="str">
        <f aca="false">IF($E288="","",COUNTA($E288,$F288,$G288,$J288,$L288,$Q288,$U288,$X288,$AM288,$AN288,$AP288,$AR288)/12)</f>
        <v/>
      </c>
      <c r="BA288" s="32" t="str">
        <f aca="false">IF($E288="","",IF(COUNTIF($E$3:$E$402,$E288)&gt;1,"DUPLICATE",""))</f>
        <v/>
      </c>
      <c r="BB288" s="17"/>
      <c r="BC288" s="35" t="str">
        <f aca="false">IF($E288="","",IFERROR(INDEX(SCORING!$C$6:$C$15,MATCH($J288,SCORING!$B$6:$B$15,0)),0)+IFERROR(INDEX(SCORING!$C$18:$C$20,MATCH($U288,SCORING!$B$18:$B$20,0)),0)+IFERROR(INDEX(SCORING!$C$23:$C$26,MATCH($X288,SCORING!$B$23:$B$26,0)),0)+IFERROR(INDEX(SCORING!$C$29:$C$32,MATCH($Q288,SCORING!$B$29:$B$32,0)),0)+IFERROR(INDEX(SCORING!$C$35:$C$37,MATCH($L288,SCORING!$B$35:$B$37,0)),0)+IF($AP288="",0,IF(AND($AQ288="Valid",$AO288="Decision maker"),SCORING!$C$40,IF($AQ288="Valid",SCORING!$C$41,SCORING!$C$42))))</f>
        <v/>
      </c>
      <c r="BD288" s="36" t="str">
        <f aca="false">IF($BC288="","",IF($BC288&gt;=SCORING!$C$46,"A",IF($BC288&gt;=SCORING!$C$47,"B",IF($BC288&gt;=SCORING!$C$48,"C","D"))))</f>
        <v/>
      </c>
      <c r="BE288" s="37"/>
    </row>
    <row r="289" customFormat="false" ht="15" hidden="false" customHeight="false" outlineLevel="0" collapsed="false">
      <c r="A289" s="37"/>
      <c r="B289" s="38"/>
      <c r="C289" s="37"/>
      <c r="D289" s="37"/>
      <c r="E289" s="17"/>
      <c r="F289" s="17"/>
      <c r="G289" s="37"/>
      <c r="H289" s="32" t="str">
        <f aca="false">IF($G289="","",IFERROR(INDEX(LISTS!$P$3:$P$145,MATCH($G289,LISTS!$O$3:$O$145,0)),"Other"))</f>
        <v/>
      </c>
      <c r="I289" s="37"/>
      <c r="J289" s="17"/>
      <c r="K289" s="17"/>
      <c r="L289" s="37"/>
      <c r="M289" s="37"/>
      <c r="N289" s="39"/>
      <c r="O289" s="37"/>
      <c r="P289" s="39"/>
      <c r="Q289" s="37"/>
      <c r="R289" s="39"/>
      <c r="S289" s="17"/>
      <c r="T289" s="17"/>
      <c r="U289" s="37"/>
      <c r="V289" s="37"/>
      <c r="W289" s="17"/>
      <c r="X289" s="37"/>
      <c r="Y289" s="17"/>
      <c r="Z289" s="39"/>
      <c r="AA289" s="39"/>
      <c r="AB289" s="37"/>
      <c r="AC289" s="37"/>
      <c r="AD289" s="38"/>
      <c r="AE289" s="37"/>
      <c r="AF289" s="37"/>
      <c r="AG289" s="37"/>
      <c r="AH289" s="37"/>
      <c r="AI289" s="17"/>
      <c r="AJ289" s="37"/>
      <c r="AK289" s="17"/>
      <c r="AL289" s="39"/>
      <c r="AM289" s="17"/>
      <c r="AN289" s="17"/>
      <c r="AO289" s="37"/>
      <c r="AP289" s="17"/>
      <c r="AQ289" s="37"/>
      <c r="AR289" s="37"/>
      <c r="AS289" s="37"/>
      <c r="AT289" s="17"/>
      <c r="AU289" s="37"/>
      <c r="AV289" s="37"/>
      <c r="AW289" s="38"/>
      <c r="AX289" s="37"/>
      <c r="AY289" s="38"/>
      <c r="AZ289" s="34" t="str">
        <f aca="false">IF($E289="","",COUNTA($E289,$F289,$G289,$J289,$L289,$Q289,$U289,$X289,$AM289,$AN289,$AP289,$AR289)/12)</f>
        <v/>
      </c>
      <c r="BA289" s="32" t="str">
        <f aca="false">IF($E289="","",IF(COUNTIF($E$3:$E$402,$E289)&gt;1,"DUPLICATE",""))</f>
        <v/>
      </c>
      <c r="BB289" s="17"/>
      <c r="BC289" s="35" t="str">
        <f aca="false">IF($E289="","",IFERROR(INDEX(SCORING!$C$6:$C$15,MATCH($J289,SCORING!$B$6:$B$15,0)),0)+IFERROR(INDEX(SCORING!$C$18:$C$20,MATCH($U289,SCORING!$B$18:$B$20,0)),0)+IFERROR(INDEX(SCORING!$C$23:$C$26,MATCH($X289,SCORING!$B$23:$B$26,0)),0)+IFERROR(INDEX(SCORING!$C$29:$C$32,MATCH($Q289,SCORING!$B$29:$B$32,0)),0)+IFERROR(INDEX(SCORING!$C$35:$C$37,MATCH($L289,SCORING!$B$35:$B$37,0)),0)+IF($AP289="",0,IF(AND($AQ289="Valid",$AO289="Decision maker"),SCORING!$C$40,IF($AQ289="Valid",SCORING!$C$41,SCORING!$C$42))))</f>
        <v/>
      </c>
      <c r="BD289" s="36" t="str">
        <f aca="false">IF($BC289="","",IF($BC289&gt;=SCORING!$C$46,"A",IF($BC289&gt;=SCORING!$C$47,"B",IF($BC289&gt;=SCORING!$C$48,"C","D"))))</f>
        <v/>
      </c>
      <c r="BE289" s="37"/>
    </row>
    <row r="290" customFormat="false" ht="15" hidden="false" customHeight="false" outlineLevel="0" collapsed="false">
      <c r="A290" s="37"/>
      <c r="B290" s="38"/>
      <c r="C290" s="37"/>
      <c r="D290" s="37"/>
      <c r="E290" s="17"/>
      <c r="F290" s="17"/>
      <c r="G290" s="37"/>
      <c r="H290" s="32" t="str">
        <f aca="false">IF($G290="","",IFERROR(INDEX(LISTS!$P$3:$P$145,MATCH($G290,LISTS!$O$3:$O$145,0)),"Other"))</f>
        <v/>
      </c>
      <c r="I290" s="37"/>
      <c r="J290" s="17"/>
      <c r="K290" s="17"/>
      <c r="L290" s="37"/>
      <c r="M290" s="37"/>
      <c r="N290" s="39"/>
      <c r="O290" s="37"/>
      <c r="P290" s="39"/>
      <c r="Q290" s="37"/>
      <c r="R290" s="39"/>
      <c r="S290" s="17"/>
      <c r="T290" s="17"/>
      <c r="U290" s="37"/>
      <c r="V290" s="37"/>
      <c r="W290" s="17"/>
      <c r="X290" s="37"/>
      <c r="Y290" s="17"/>
      <c r="Z290" s="39"/>
      <c r="AA290" s="39"/>
      <c r="AB290" s="37"/>
      <c r="AC290" s="37"/>
      <c r="AD290" s="38"/>
      <c r="AE290" s="37"/>
      <c r="AF290" s="37"/>
      <c r="AG290" s="37"/>
      <c r="AH290" s="37"/>
      <c r="AI290" s="17"/>
      <c r="AJ290" s="37"/>
      <c r="AK290" s="17"/>
      <c r="AL290" s="39"/>
      <c r="AM290" s="17"/>
      <c r="AN290" s="17"/>
      <c r="AO290" s="37"/>
      <c r="AP290" s="17"/>
      <c r="AQ290" s="37"/>
      <c r="AR290" s="37"/>
      <c r="AS290" s="37"/>
      <c r="AT290" s="17"/>
      <c r="AU290" s="37"/>
      <c r="AV290" s="37"/>
      <c r="AW290" s="38"/>
      <c r="AX290" s="37"/>
      <c r="AY290" s="38"/>
      <c r="AZ290" s="34" t="str">
        <f aca="false">IF($E290="","",COUNTA($E290,$F290,$G290,$J290,$L290,$Q290,$U290,$X290,$AM290,$AN290,$AP290,$AR290)/12)</f>
        <v/>
      </c>
      <c r="BA290" s="32" t="str">
        <f aca="false">IF($E290="","",IF(COUNTIF($E$3:$E$402,$E290)&gt;1,"DUPLICATE",""))</f>
        <v/>
      </c>
      <c r="BB290" s="17"/>
      <c r="BC290" s="35" t="str">
        <f aca="false">IF($E290="","",IFERROR(INDEX(SCORING!$C$6:$C$15,MATCH($J290,SCORING!$B$6:$B$15,0)),0)+IFERROR(INDEX(SCORING!$C$18:$C$20,MATCH($U290,SCORING!$B$18:$B$20,0)),0)+IFERROR(INDEX(SCORING!$C$23:$C$26,MATCH($X290,SCORING!$B$23:$B$26,0)),0)+IFERROR(INDEX(SCORING!$C$29:$C$32,MATCH($Q290,SCORING!$B$29:$B$32,0)),0)+IFERROR(INDEX(SCORING!$C$35:$C$37,MATCH($L290,SCORING!$B$35:$B$37,0)),0)+IF($AP290="",0,IF(AND($AQ290="Valid",$AO290="Decision maker"),SCORING!$C$40,IF($AQ290="Valid",SCORING!$C$41,SCORING!$C$42))))</f>
        <v/>
      </c>
      <c r="BD290" s="36" t="str">
        <f aca="false">IF($BC290="","",IF($BC290&gt;=SCORING!$C$46,"A",IF($BC290&gt;=SCORING!$C$47,"B",IF($BC290&gt;=SCORING!$C$48,"C","D"))))</f>
        <v/>
      </c>
      <c r="BE290" s="37"/>
    </row>
    <row r="291" customFormat="false" ht="15" hidden="false" customHeight="false" outlineLevel="0" collapsed="false">
      <c r="A291" s="37"/>
      <c r="B291" s="38"/>
      <c r="C291" s="37"/>
      <c r="D291" s="37"/>
      <c r="E291" s="17"/>
      <c r="F291" s="17"/>
      <c r="G291" s="37"/>
      <c r="H291" s="32" t="str">
        <f aca="false">IF($G291="","",IFERROR(INDEX(LISTS!$P$3:$P$145,MATCH($G291,LISTS!$O$3:$O$145,0)),"Other"))</f>
        <v/>
      </c>
      <c r="I291" s="37"/>
      <c r="J291" s="17"/>
      <c r="K291" s="17"/>
      <c r="L291" s="37"/>
      <c r="M291" s="37"/>
      <c r="N291" s="39"/>
      <c r="O291" s="37"/>
      <c r="P291" s="39"/>
      <c r="Q291" s="37"/>
      <c r="R291" s="39"/>
      <c r="S291" s="17"/>
      <c r="T291" s="17"/>
      <c r="U291" s="37"/>
      <c r="V291" s="37"/>
      <c r="W291" s="17"/>
      <c r="X291" s="37"/>
      <c r="Y291" s="17"/>
      <c r="Z291" s="39"/>
      <c r="AA291" s="39"/>
      <c r="AB291" s="37"/>
      <c r="AC291" s="37"/>
      <c r="AD291" s="38"/>
      <c r="AE291" s="37"/>
      <c r="AF291" s="37"/>
      <c r="AG291" s="37"/>
      <c r="AH291" s="37"/>
      <c r="AI291" s="17"/>
      <c r="AJ291" s="37"/>
      <c r="AK291" s="17"/>
      <c r="AL291" s="39"/>
      <c r="AM291" s="17"/>
      <c r="AN291" s="17"/>
      <c r="AO291" s="37"/>
      <c r="AP291" s="17"/>
      <c r="AQ291" s="37"/>
      <c r="AR291" s="37"/>
      <c r="AS291" s="37"/>
      <c r="AT291" s="17"/>
      <c r="AU291" s="37"/>
      <c r="AV291" s="37"/>
      <c r="AW291" s="38"/>
      <c r="AX291" s="37"/>
      <c r="AY291" s="38"/>
      <c r="AZ291" s="34" t="str">
        <f aca="false">IF($E291="","",COUNTA($E291,$F291,$G291,$J291,$L291,$Q291,$U291,$X291,$AM291,$AN291,$AP291,$AR291)/12)</f>
        <v/>
      </c>
      <c r="BA291" s="32" t="str">
        <f aca="false">IF($E291="","",IF(COUNTIF($E$3:$E$402,$E291)&gt;1,"DUPLICATE",""))</f>
        <v/>
      </c>
      <c r="BB291" s="17"/>
      <c r="BC291" s="35" t="str">
        <f aca="false">IF($E291="","",IFERROR(INDEX(SCORING!$C$6:$C$15,MATCH($J291,SCORING!$B$6:$B$15,0)),0)+IFERROR(INDEX(SCORING!$C$18:$C$20,MATCH($U291,SCORING!$B$18:$B$20,0)),0)+IFERROR(INDEX(SCORING!$C$23:$C$26,MATCH($X291,SCORING!$B$23:$B$26,0)),0)+IFERROR(INDEX(SCORING!$C$29:$C$32,MATCH($Q291,SCORING!$B$29:$B$32,0)),0)+IFERROR(INDEX(SCORING!$C$35:$C$37,MATCH($L291,SCORING!$B$35:$B$37,0)),0)+IF($AP291="",0,IF(AND($AQ291="Valid",$AO291="Decision maker"),SCORING!$C$40,IF($AQ291="Valid",SCORING!$C$41,SCORING!$C$42))))</f>
        <v/>
      </c>
      <c r="BD291" s="36" t="str">
        <f aca="false">IF($BC291="","",IF($BC291&gt;=SCORING!$C$46,"A",IF($BC291&gt;=SCORING!$C$47,"B",IF($BC291&gt;=SCORING!$C$48,"C","D"))))</f>
        <v/>
      </c>
      <c r="BE291" s="37"/>
    </row>
    <row r="292" customFormat="false" ht="15" hidden="false" customHeight="false" outlineLevel="0" collapsed="false">
      <c r="A292" s="37"/>
      <c r="B292" s="38"/>
      <c r="C292" s="37"/>
      <c r="D292" s="37"/>
      <c r="E292" s="17"/>
      <c r="F292" s="17"/>
      <c r="G292" s="37"/>
      <c r="H292" s="32" t="str">
        <f aca="false">IF($G292="","",IFERROR(INDEX(LISTS!$P$3:$P$145,MATCH($G292,LISTS!$O$3:$O$145,0)),"Other"))</f>
        <v/>
      </c>
      <c r="I292" s="37"/>
      <c r="J292" s="17"/>
      <c r="K292" s="17"/>
      <c r="L292" s="37"/>
      <c r="M292" s="37"/>
      <c r="N292" s="39"/>
      <c r="O292" s="37"/>
      <c r="P292" s="39"/>
      <c r="Q292" s="37"/>
      <c r="R292" s="39"/>
      <c r="S292" s="17"/>
      <c r="T292" s="17"/>
      <c r="U292" s="37"/>
      <c r="V292" s="37"/>
      <c r="W292" s="17"/>
      <c r="X292" s="37"/>
      <c r="Y292" s="17"/>
      <c r="Z292" s="39"/>
      <c r="AA292" s="39"/>
      <c r="AB292" s="37"/>
      <c r="AC292" s="37"/>
      <c r="AD292" s="38"/>
      <c r="AE292" s="37"/>
      <c r="AF292" s="37"/>
      <c r="AG292" s="37"/>
      <c r="AH292" s="37"/>
      <c r="AI292" s="17"/>
      <c r="AJ292" s="37"/>
      <c r="AK292" s="17"/>
      <c r="AL292" s="39"/>
      <c r="AM292" s="17"/>
      <c r="AN292" s="17"/>
      <c r="AO292" s="37"/>
      <c r="AP292" s="17"/>
      <c r="AQ292" s="37"/>
      <c r="AR292" s="37"/>
      <c r="AS292" s="37"/>
      <c r="AT292" s="17"/>
      <c r="AU292" s="37"/>
      <c r="AV292" s="37"/>
      <c r="AW292" s="38"/>
      <c r="AX292" s="37"/>
      <c r="AY292" s="38"/>
      <c r="AZ292" s="34" t="str">
        <f aca="false">IF($E292="","",COUNTA($E292,$F292,$G292,$J292,$L292,$Q292,$U292,$X292,$AM292,$AN292,$AP292,$AR292)/12)</f>
        <v/>
      </c>
      <c r="BA292" s="32" t="str">
        <f aca="false">IF($E292="","",IF(COUNTIF($E$3:$E$402,$E292)&gt;1,"DUPLICATE",""))</f>
        <v/>
      </c>
      <c r="BB292" s="17"/>
      <c r="BC292" s="35" t="str">
        <f aca="false">IF($E292="","",IFERROR(INDEX(SCORING!$C$6:$C$15,MATCH($J292,SCORING!$B$6:$B$15,0)),0)+IFERROR(INDEX(SCORING!$C$18:$C$20,MATCH($U292,SCORING!$B$18:$B$20,0)),0)+IFERROR(INDEX(SCORING!$C$23:$C$26,MATCH($X292,SCORING!$B$23:$B$26,0)),0)+IFERROR(INDEX(SCORING!$C$29:$C$32,MATCH($Q292,SCORING!$B$29:$B$32,0)),0)+IFERROR(INDEX(SCORING!$C$35:$C$37,MATCH($L292,SCORING!$B$35:$B$37,0)),0)+IF($AP292="",0,IF(AND($AQ292="Valid",$AO292="Decision maker"),SCORING!$C$40,IF($AQ292="Valid",SCORING!$C$41,SCORING!$C$42))))</f>
        <v/>
      </c>
      <c r="BD292" s="36" t="str">
        <f aca="false">IF($BC292="","",IF($BC292&gt;=SCORING!$C$46,"A",IF($BC292&gt;=SCORING!$C$47,"B",IF($BC292&gt;=SCORING!$C$48,"C","D"))))</f>
        <v/>
      </c>
      <c r="BE292" s="37"/>
    </row>
    <row r="293" customFormat="false" ht="15" hidden="false" customHeight="false" outlineLevel="0" collapsed="false">
      <c r="A293" s="37"/>
      <c r="B293" s="38"/>
      <c r="C293" s="37"/>
      <c r="D293" s="37"/>
      <c r="E293" s="17"/>
      <c r="F293" s="17"/>
      <c r="G293" s="37"/>
      <c r="H293" s="32" t="str">
        <f aca="false">IF($G293="","",IFERROR(INDEX(LISTS!$P$3:$P$145,MATCH($G293,LISTS!$O$3:$O$145,0)),"Other"))</f>
        <v/>
      </c>
      <c r="I293" s="37"/>
      <c r="J293" s="17"/>
      <c r="K293" s="17"/>
      <c r="L293" s="37"/>
      <c r="M293" s="37"/>
      <c r="N293" s="39"/>
      <c r="O293" s="37"/>
      <c r="P293" s="39"/>
      <c r="Q293" s="37"/>
      <c r="R293" s="39"/>
      <c r="S293" s="17"/>
      <c r="T293" s="17"/>
      <c r="U293" s="37"/>
      <c r="V293" s="37"/>
      <c r="W293" s="17"/>
      <c r="X293" s="37"/>
      <c r="Y293" s="17"/>
      <c r="Z293" s="39"/>
      <c r="AA293" s="39"/>
      <c r="AB293" s="37"/>
      <c r="AC293" s="37"/>
      <c r="AD293" s="38"/>
      <c r="AE293" s="37"/>
      <c r="AF293" s="37"/>
      <c r="AG293" s="37"/>
      <c r="AH293" s="37"/>
      <c r="AI293" s="17"/>
      <c r="AJ293" s="37"/>
      <c r="AK293" s="17"/>
      <c r="AL293" s="39"/>
      <c r="AM293" s="17"/>
      <c r="AN293" s="17"/>
      <c r="AO293" s="37"/>
      <c r="AP293" s="17"/>
      <c r="AQ293" s="37"/>
      <c r="AR293" s="37"/>
      <c r="AS293" s="37"/>
      <c r="AT293" s="17"/>
      <c r="AU293" s="37"/>
      <c r="AV293" s="37"/>
      <c r="AW293" s="38"/>
      <c r="AX293" s="37"/>
      <c r="AY293" s="38"/>
      <c r="AZ293" s="34" t="str">
        <f aca="false">IF($E293="","",COUNTA($E293,$F293,$G293,$J293,$L293,$Q293,$U293,$X293,$AM293,$AN293,$AP293,$AR293)/12)</f>
        <v/>
      </c>
      <c r="BA293" s="32" t="str">
        <f aca="false">IF($E293="","",IF(COUNTIF($E$3:$E$402,$E293)&gt;1,"DUPLICATE",""))</f>
        <v/>
      </c>
      <c r="BB293" s="17"/>
      <c r="BC293" s="35" t="str">
        <f aca="false">IF($E293="","",IFERROR(INDEX(SCORING!$C$6:$C$15,MATCH($J293,SCORING!$B$6:$B$15,0)),0)+IFERROR(INDEX(SCORING!$C$18:$C$20,MATCH($U293,SCORING!$B$18:$B$20,0)),0)+IFERROR(INDEX(SCORING!$C$23:$C$26,MATCH($X293,SCORING!$B$23:$B$26,0)),0)+IFERROR(INDEX(SCORING!$C$29:$C$32,MATCH($Q293,SCORING!$B$29:$B$32,0)),0)+IFERROR(INDEX(SCORING!$C$35:$C$37,MATCH($L293,SCORING!$B$35:$B$37,0)),0)+IF($AP293="",0,IF(AND($AQ293="Valid",$AO293="Decision maker"),SCORING!$C$40,IF($AQ293="Valid",SCORING!$C$41,SCORING!$C$42))))</f>
        <v/>
      </c>
      <c r="BD293" s="36" t="str">
        <f aca="false">IF($BC293="","",IF($BC293&gt;=SCORING!$C$46,"A",IF($BC293&gt;=SCORING!$C$47,"B",IF($BC293&gt;=SCORING!$C$48,"C","D"))))</f>
        <v/>
      </c>
      <c r="BE293" s="37"/>
    </row>
    <row r="294" customFormat="false" ht="15" hidden="false" customHeight="false" outlineLevel="0" collapsed="false">
      <c r="A294" s="37"/>
      <c r="B294" s="38"/>
      <c r="C294" s="37"/>
      <c r="D294" s="37"/>
      <c r="E294" s="17"/>
      <c r="F294" s="17"/>
      <c r="G294" s="37"/>
      <c r="H294" s="32" t="str">
        <f aca="false">IF($G294="","",IFERROR(INDEX(LISTS!$P$3:$P$145,MATCH($G294,LISTS!$O$3:$O$145,0)),"Other"))</f>
        <v/>
      </c>
      <c r="I294" s="37"/>
      <c r="J294" s="17"/>
      <c r="K294" s="17"/>
      <c r="L294" s="37"/>
      <c r="M294" s="37"/>
      <c r="N294" s="39"/>
      <c r="O294" s="37"/>
      <c r="P294" s="39"/>
      <c r="Q294" s="37"/>
      <c r="R294" s="39"/>
      <c r="S294" s="17"/>
      <c r="T294" s="17"/>
      <c r="U294" s="37"/>
      <c r="V294" s="37"/>
      <c r="W294" s="17"/>
      <c r="X294" s="37"/>
      <c r="Y294" s="17"/>
      <c r="Z294" s="39"/>
      <c r="AA294" s="39"/>
      <c r="AB294" s="37"/>
      <c r="AC294" s="37"/>
      <c r="AD294" s="38"/>
      <c r="AE294" s="37"/>
      <c r="AF294" s="37"/>
      <c r="AG294" s="37"/>
      <c r="AH294" s="37"/>
      <c r="AI294" s="17"/>
      <c r="AJ294" s="37"/>
      <c r="AK294" s="17"/>
      <c r="AL294" s="39"/>
      <c r="AM294" s="17"/>
      <c r="AN294" s="17"/>
      <c r="AO294" s="37"/>
      <c r="AP294" s="17"/>
      <c r="AQ294" s="37"/>
      <c r="AR294" s="37"/>
      <c r="AS294" s="37"/>
      <c r="AT294" s="17"/>
      <c r="AU294" s="37"/>
      <c r="AV294" s="37"/>
      <c r="AW294" s="38"/>
      <c r="AX294" s="37"/>
      <c r="AY294" s="38"/>
      <c r="AZ294" s="34" t="str">
        <f aca="false">IF($E294="","",COUNTA($E294,$F294,$G294,$J294,$L294,$Q294,$U294,$X294,$AM294,$AN294,$AP294,$AR294)/12)</f>
        <v/>
      </c>
      <c r="BA294" s="32" t="str">
        <f aca="false">IF($E294="","",IF(COUNTIF($E$3:$E$402,$E294)&gt;1,"DUPLICATE",""))</f>
        <v/>
      </c>
      <c r="BB294" s="17"/>
      <c r="BC294" s="35" t="str">
        <f aca="false">IF($E294="","",IFERROR(INDEX(SCORING!$C$6:$C$15,MATCH($J294,SCORING!$B$6:$B$15,0)),0)+IFERROR(INDEX(SCORING!$C$18:$C$20,MATCH($U294,SCORING!$B$18:$B$20,0)),0)+IFERROR(INDEX(SCORING!$C$23:$C$26,MATCH($X294,SCORING!$B$23:$B$26,0)),0)+IFERROR(INDEX(SCORING!$C$29:$C$32,MATCH($Q294,SCORING!$B$29:$B$32,0)),0)+IFERROR(INDEX(SCORING!$C$35:$C$37,MATCH($L294,SCORING!$B$35:$B$37,0)),0)+IF($AP294="",0,IF(AND($AQ294="Valid",$AO294="Decision maker"),SCORING!$C$40,IF($AQ294="Valid",SCORING!$C$41,SCORING!$C$42))))</f>
        <v/>
      </c>
      <c r="BD294" s="36" t="str">
        <f aca="false">IF($BC294="","",IF($BC294&gt;=SCORING!$C$46,"A",IF($BC294&gt;=SCORING!$C$47,"B",IF($BC294&gt;=SCORING!$C$48,"C","D"))))</f>
        <v/>
      </c>
      <c r="BE294" s="37"/>
    </row>
    <row r="295" customFormat="false" ht="15" hidden="false" customHeight="false" outlineLevel="0" collapsed="false">
      <c r="A295" s="37"/>
      <c r="B295" s="38"/>
      <c r="C295" s="37"/>
      <c r="D295" s="37"/>
      <c r="E295" s="17"/>
      <c r="F295" s="17"/>
      <c r="G295" s="37"/>
      <c r="H295" s="32" t="str">
        <f aca="false">IF($G295="","",IFERROR(INDEX(LISTS!$P$3:$P$145,MATCH($G295,LISTS!$O$3:$O$145,0)),"Other"))</f>
        <v/>
      </c>
      <c r="I295" s="37"/>
      <c r="J295" s="17"/>
      <c r="K295" s="17"/>
      <c r="L295" s="37"/>
      <c r="M295" s="37"/>
      <c r="N295" s="39"/>
      <c r="O295" s="37"/>
      <c r="P295" s="39"/>
      <c r="Q295" s="37"/>
      <c r="R295" s="39"/>
      <c r="S295" s="17"/>
      <c r="T295" s="17"/>
      <c r="U295" s="37"/>
      <c r="V295" s="37"/>
      <c r="W295" s="17"/>
      <c r="X295" s="37"/>
      <c r="Y295" s="17"/>
      <c r="Z295" s="39"/>
      <c r="AA295" s="39"/>
      <c r="AB295" s="37"/>
      <c r="AC295" s="37"/>
      <c r="AD295" s="38"/>
      <c r="AE295" s="37"/>
      <c r="AF295" s="37"/>
      <c r="AG295" s="37"/>
      <c r="AH295" s="37"/>
      <c r="AI295" s="17"/>
      <c r="AJ295" s="37"/>
      <c r="AK295" s="17"/>
      <c r="AL295" s="39"/>
      <c r="AM295" s="17"/>
      <c r="AN295" s="17"/>
      <c r="AO295" s="37"/>
      <c r="AP295" s="17"/>
      <c r="AQ295" s="37"/>
      <c r="AR295" s="37"/>
      <c r="AS295" s="37"/>
      <c r="AT295" s="17"/>
      <c r="AU295" s="37"/>
      <c r="AV295" s="37"/>
      <c r="AW295" s="38"/>
      <c r="AX295" s="37"/>
      <c r="AY295" s="38"/>
      <c r="AZ295" s="34" t="str">
        <f aca="false">IF($E295="","",COUNTA($E295,$F295,$G295,$J295,$L295,$Q295,$U295,$X295,$AM295,$AN295,$AP295,$AR295)/12)</f>
        <v/>
      </c>
      <c r="BA295" s="32" t="str">
        <f aca="false">IF($E295="","",IF(COUNTIF($E$3:$E$402,$E295)&gt;1,"DUPLICATE",""))</f>
        <v/>
      </c>
      <c r="BB295" s="17"/>
      <c r="BC295" s="35" t="str">
        <f aca="false">IF($E295="","",IFERROR(INDEX(SCORING!$C$6:$C$15,MATCH($J295,SCORING!$B$6:$B$15,0)),0)+IFERROR(INDEX(SCORING!$C$18:$C$20,MATCH($U295,SCORING!$B$18:$B$20,0)),0)+IFERROR(INDEX(SCORING!$C$23:$C$26,MATCH($X295,SCORING!$B$23:$B$26,0)),0)+IFERROR(INDEX(SCORING!$C$29:$C$32,MATCH($Q295,SCORING!$B$29:$B$32,0)),0)+IFERROR(INDEX(SCORING!$C$35:$C$37,MATCH($L295,SCORING!$B$35:$B$37,0)),0)+IF($AP295="",0,IF(AND($AQ295="Valid",$AO295="Decision maker"),SCORING!$C$40,IF($AQ295="Valid",SCORING!$C$41,SCORING!$C$42))))</f>
        <v/>
      </c>
      <c r="BD295" s="36" t="str">
        <f aca="false">IF($BC295="","",IF($BC295&gt;=SCORING!$C$46,"A",IF($BC295&gt;=SCORING!$C$47,"B",IF($BC295&gt;=SCORING!$C$48,"C","D"))))</f>
        <v/>
      </c>
      <c r="BE295" s="37"/>
    </row>
    <row r="296" customFormat="false" ht="15" hidden="false" customHeight="false" outlineLevel="0" collapsed="false">
      <c r="A296" s="37"/>
      <c r="B296" s="38"/>
      <c r="C296" s="37"/>
      <c r="D296" s="37"/>
      <c r="E296" s="17"/>
      <c r="F296" s="17"/>
      <c r="G296" s="37"/>
      <c r="H296" s="32" t="str">
        <f aca="false">IF($G296="","",IFERROR(INDEX(LISTS!$P$3:$P$145,MATCH($G296,LISTS!$O$3:$O$145,0)),"Other"))</f>
        <v/>
      </c>
      <c r="I296" s="37"/>
      <c r="J296" s="17"/>
      <c r="K296" s="17"/>
      <c r="L296" s="37"/>
      <c r="M296" s="37"/>
      <c r="N296" s="39"/>
      <c r="O296" s="37"/>
      <c r="P296" s="39"/>
      <c r="Q296" s="37"/>
      <c r="R296" s="39"/>
      <c r="S296" s="17"/>
      <c r="T296" s="17"/>
      <c r="U296" s="37"/>
      <c r="V296" s="37"/>
      <c r="W296" s="17"/>
      <c r="X296" s="37"/>
      <c r="Y296" s="17"/>
      <c r="Z296" s="39"/>
      <c r="AA296" s="39"/>
      <c r="AB296" s="37"/>
      <c r="AC296" s="37"/>
      <c r="AD296" s="38"/>
      <c r="AE296" s="37"/>
      <c r="AF296" s="37"/>
      <c r="AG296" s="37"/>
      <c r="AH296" s="37"/>
      <c r="AI296" s="17"/>
      <c r="AJ296" s="37"/>
      <c r="AK296" s="17"/>
      <c r="AL296" s="39"/>
      <c r="AM296" s="17"/>
      <c r="AN296" s="17"/>
      <c r="AO296" s="37"/>
      <c r="AP296" s="17"/>
      <c r="AQ296" s="37"/>
      <c r="AR296" s="37"/>
      <c r="AS296" s="37"/>
      <c r="AT296" s="17"/>
      <c r="AU296" s="37"/>
      <c r="AV296" s="37"/>
      <c r="AW296" s="38"/>
      <c r="AX296" s="37"/>
      <c r="AY296" s="38"/>
      <c r="AZ296" s="34" t="str">
        <f aca="false">IF($E296="","",COUNTA($E296,$F296,$G296,$J296,$L296,$Q296,$U296,$X296,$AM296,$AN296,$AP296,$AR296)/12)</f>
        <v/>
      </c>
      <c r="BA296" s="32" t="str">
        <f aca="false">IF($E296="","",IF(COUNTIF($E$3:$E$402,$E296)&gt;1,"DUPLICATE",""))</f>
        <v/>
      </c>
      <c r="BB296" s="17"/>
      <c r="BC296" s="35" t="str">
        <f aca="false">IF($E296="","",IFERROR(INDEX(SCORING!$C$6:$C$15,MATCH($J296,SCORING!$B$6:$B$15,0)),0)+IFERROR(INDEX(SCORING!$C$18:$C$20,MATCH($U296,SCORING!$B$18:$B$20,0)),0)+IFERROR(INDEX(SCORING!$C$23:$C$26,MATCH($X296,SCORING!$B$23:$B$26,0)),0)+IFERROR(INDEX(SCORING!$C$29:$C$32,MATCH($Q296,SCORING!$B$29:$B$32,0)),0)+IFERROR(INDEX(SCORING!$C$35:$C$37,MATCH($L296,SCORING!$B$35:$B$37,0)),0)+IF($AP296="",0,IF(AND($AQ296="Valid",$AO296="Decision maker"),SCORING!$C$40,IF($AQ296="Valid",SCORING!$C$41,SCORING!$C$42))))</f>
        <v/>
      </c>
      <c r="BD296" s="36" t="str">
        <f aca="false">IF($BC296="","",IF($BC296&gt;=SCORING!$C$46,"A",IF($BC296&gt;=SCORING!$C$47,"B",IF($BC296&gt;=SCORING!$C$48,"C","D"))))</f>
        <v/>
      </c>
      <c r="BE296" s="37"/>
    </row>
    <row r="297" customFormat="false" ht="15" hidden="false" customHeight="false" outlineLevel="0" collapsed="false">
      <c r="A297" s="37"/>
      <c r="B297" s="38"/>
      <c r="C297" s="37"/>
      <c r="D297" s="37"/>
      <c r="E297" s="17"/>
      <c r="F297" s="17"/>
      <c r="G297" s="37"/>
      <c r="H297" s="32" t="str">
        <f aca="false">IF($G297="","",IFERROR(INDEX(LISTS!$P$3:$P$145,MATCH($G297,LISTS!$O$3:$O$145,0)),"Other"))</f>
        <v/>
      </c>
      <c r="I297" s="37"/>
      <c r="J297" s="17"/>
      <c r="K297" s="17"/>
      <c r="L297" s="37"/>
      <c r="M297" s="37"/>
      <c r="N297" s="39"/>
      <c r="O297" s="37"/>
      <c r="P297" s="39"/>
      <c r="Q297" s="37"/>
      <c r="R297" s="39"/>
      <c r="S297" s="17"/>
      <c r="T297" s="17"/>
      <c r="U297" s="37"/>
      <c r="V297" s="37"/>
      <c r="W297" s="17"/>
      <c r="X297" s="37"/>
      <c r="Y297" s="17"/>
      <c r="Z297" s="39"/>
      <c r="AA297" s="39"/>
      <c r="AB297" s="37"/>
      <c r="AC297" s="37"/>
      <c r="AD297" s="38"/>
      <c r="AE297" s="37"/>
      <c r="AF297" s="37"/>
      <c r="AG297" s="37"/>
      <c r="AH297" s="37"/>
      <c r="AI297" s="17"/>
      <c r="AJ297" s="37"/>
      <c r="AK297" s="17"/>
      <c r="AL297" s="39"/>
      <c r="AM297" s="17"/>
      <c r="AN297" s="17"/>
      <c r="AO297" s="37"/>
      <c r="AP297" s="17"/>
      <c r="AQ297" s="37"/>
      <c r="AR297" s="37"/>
      <c r="AS297" s="37"/>
      <c r="AT297" s="17"/>
      <c r="AU297" s="37"/>
      <c r="AV297" s="37"/>
      <c r="AW297" s="38"/>
      <c r="AX297" s="37"/>
      <c r="AY297" s="38"/>
      <c r="AZ297" s="34" t="str">
        <f aca="false">IF($E297="","",COUNTA($E297,$F297,$G297,$J297,$L297,$Q297,$U297,$X297,$AM297,$AN297,$AP297,$AR297)/12)</f>
        <v/>
      </c>
      <c r="BA297" s="32" t="str">
        <f aca="false">IF($E297="","",IF(COUNTIF($E$3:$E$402,$E297)&gt;1,"DUPLICATE",""))</f>
        <v/>
      </c>
      <c r="BB297" s="17"/>
      <c r="BC297" s="35" t="str">
        <f aca="false">IF($E297="","",IFERROR(INDEX(SCORING!$C$6:$C$15,MATCH($J297,SCORING!$B$6:$B$15,0)),0)+IFERROR(INDEX(SCORING!$C$18:$C$20,MATCH($U297,SCORING!$B$18:$B$20,0)),0)+IFERROR(INDEX(SCORING!$C$23:$C$26,MATCH($X297,SCORING!$B$23:$B$26,0)),0)+IFERROR(INDEX(SCORING!$C$29:$C$32,MATCH($Q297,SCORING!$B$29:$B$32,0)),0)+IFERROR(INDEX(SCORING!$C$35:$C$37,MATCH($L297,SCORING!$B$35:$B$37,0)),0)+IF($AP297="",0,IF(AND($AQ297="Valid",$AO297="Decision maker"),SCORING!$C$40,IF($AQ297="Valid",SCORING!$C$41,SCORING!$C$42))))</f>
        <v/>
      </c>
      <c r="BD297" s="36" t="str">
        <f aca="false">IF($BC297="","",IF($BC297&gt;=SCORING!$C$46,"A",IF($BC297&gt;=SCORING!$C$47,"B",IF($BC297&gt;=SCORING!$C$48,"C","D"))))</f>
        <v/>
      </c>
      <c r="BE297" s="37"/>
    </row>
    <row r="298" customFormat="false" ht="15" hidden="false" customHeight="false" outlineLevel="0" collapsed="false">
      <c r="A298" s="37"/>
      <c r="B298" s="38"/>
      <c r="C298" s="37"/>
      <c r="D298" s="37"/>
      <c r="E298" s="17"/>
      <c r="F298" s="17"/>
      <c r="G298" s="37"/>
      <c r="H298" s="32" t="str">
        <f aca="false">IF($G298="","",IFERROR(INDEX(LISTS!$P$3:$P$145,MATCH($G298,LISTS!$O$3:$O$145,0)),"Other"))</f>
        <v/>
      </c>
      <c r="I298" s="37"/>
      <c r="J298" s="17"/>
      <c r="K298" s="17"/>
      <c r="L298" s="37"/>
      <c r="M298" s="37"/>
      <c r="N298" s="39"/>
      <c r="O298" s="37"/>
      <c r="P298" s="39"/>
      <c r="Q298" s="37"/>
      <c r="R298" s="39"/>
      <c r="S298" s="17"/>
      <c r="T298" s="17"/>
      <c r="U298" s="37"/>
      <c r="V298" s="37"/>
      <c r="W298" s="17"/>
      <c r="X298" s="37"/>
      <c r="Y298" s="17"/>
      <c r="Z298" s="39"/>
      <c r="AA298" s="39"/>
      <c r="AB298" s="37"/>
      <c r="AC298" s="37"/>
      <c r="AD298" s="38"/>
      <c r="AE298" s="37"/>
      <c r="AF298" s="37"/>
      <c r="AG298" s="37"/>
      <c r="AH298" s="37"/>
      <c r="AI298" s="17"/>
      <c r="AJ298" s="37"/>
      <c r="AK298" s="17"/>
      <c r="AL298" s="39"/>
      <c r="AM298" s="17"/>
      <c r="AN298" s="17"/>
      <c r="AO298" s="37"/>
      <c r="AP298" s="17"/>
      <c r="AQ298" s="37"/>
      <c r="AR298" s="37"/>
      <c r="AS298" s="37"/>
      <c r="AT298" s="17"/>
      <c r="AU298" s="37"/>
      <c r="AV298" s="37"/>
      <c r="AW298" s="38"/>
      <c r="AX298" s="37"/>
      <c r="AY298" s="38"/>
      <c r="AZ298" s="34" t="str">
        <f aca="false">IF($E298="","",COUNTA($E298,$F298,$G298,$J298,$L298,$Q298,$U298,$X298,$AM298,$AN298,$AP298,$AR298)/12)</f>
        <v/>
      </c>
      <c r="BA298" s="32" t="str">
        <f aca="false">IF($E298="","",IF(COUNTIF($E$3:$E$402,$E298)&gt;1,"DUPLICATE",""))</f>
        <v/>
      </c>
      <c r="BB298" s="17"/>
      <c r="BC298" s="35" t="str">
        <f aca="false">IF($E298="","",IFERROR(INDEX(SCORING!$C$6:$C$15,MATCH($J298,SCORING!$B$6:$B$15,0)),0)+IFERROR(INDEX(SCORING!$C$18:$C$20,MATCH($U298,SCORING!$B$18:$B$20,0)),0)+IFERROR(INDEX(SCORING!$C$23:$C$26,MATCH($X298,SCORING!$B$23:$B$26,0)),0)+IFERROR(INDEX(SCORING!$C$29:$C$32,MATCH($Q298,SCORING!$B$29:$B$32,0)),0)+IFERROR(INDEX(SCORING!$C$35:$C$37,MATCH($L298,SCORING!$B$35:$B$37,0)),0)+IF($AP298="",0,IF(AND($AQ298="Valid",$AO298="Decision maker"),SCORING!$C$40,IF($AQ298="Valid",SCORING!$C$41,SCORING!$C$42))))</f>
        <v/>
      </c>
      <c r="BD298" s="36" t="str">
        <f aca="false">IF($BC298="","",IF($BC298&gt;=SCORING!$C$46,"A",IF($BC298&gt;=SCORING!$C$47,"B",IF($BC298&gt;=SCORING!$C$48,"C","D"))))</f>
        <v/>
      </c>
      <c r="BE298" s="37"/>
    </row>
    <row r="299" customFormat="false" ht="15" hidden="false" customHeight="false" outlineLevel="0" collapsed="false">
      <c r="A299" s="37"/>
      <c r="B299" s="38"/>
      <c r="C299" s="37"/>
      <c r="D299" s="37"/>
      <c r="E299" s="17"/>
      <c r="F299" s="17"/>
      <c r="G299" s="37"/>
      <c r="H299" s="32" t="str">
        <f aca="false">IF($G299="","",IFERROR(INDEX(LISTS!$P$3:$P$145,MATCH($G299,LISTS!$O$3:$O$145,0)),"Other"))</f>
        <v/>
      </c>
      <c r="I299" s="37"/>
      <c r="J299" s="17"/>
      <c r="K299" s="17"/>
      <c r="L299" s="37"/>
      <c r="M299" s="37"/>
      <c r="N299" s="39"/>
      <c r="O299" s="37"/>
      <c r="P299" s="39"/>
      <c r="Q299" s="37"/>
      <c r="R299" s="39"/>
      <c r="S299" s="17"/>
      <c r="T299" s="17"/>
      <c r="U299" s="37"/>
      <c r="V299" s="37"/>
      <c r="W299" s="17"/>
      <c r="X299" s="37"/>
      <c r="Y299" s="17"/>
      <c r="Z299" s="39"/>
      <c r="AA299" s="39"/>
      <c r="AB299" s="37"/>
      <c r="AC299" s="37"/>
      <c r="AD299" s="38"/>
      <c r="AE299" s="37"/>
      <c r="AF299" s="37"/>
      <c r="AG299" s="37"/>
      <c r="AH299" s="37"/>
      <c r="AI299" s="17"/>
      <c r="AJ299" s="37"/>
      <c r="AK299" s="17"/>
      <c r="AL299" s="39"/>
      <c r="AM299" s="17"/>
      <c r="AN299" s="17"/>
      <c r="AO299" s="37"/>
      <c r="AP299" s="17"/>
      <c r="AQ299" s="37"/>
      <c r="AR299" s="37"/>
      <c r="AS299" s="37"/>
      <c r="AT299" s="17"/>
      <c r="AU299" s="37"/>
      <c r="AV299" s="37"/>
      <c r="AW299" s="38"/>
      <c r="AX299" s="37"/>
      <c r="AY299" s="38"/>
      <c r="AZ299" s="34" t="str">
        <f aca="false">IF($E299="","",COUNTA($E299,$F299,$G299,$J299,$L299,$Q299,$U299,$X299,$AM299,$AN299,$AP299,$AR299)/12)</f>
        <v/>
      </c>
      <c r="BA299" s="32" t="str">
        <f aca="false">IF($E299="","",IF(COUNTIF($E$3:$E$402,$E299)&gt;1,"DUPLICATE",""))</f>
        <v/>
      </c>
      <c r="BB299" s="17"/>
      <c r="BC299" s="35" t="str">
        <f aca="false">IF($E299="","",IFERROR(INDEX(SCORING!$C$6:$C$15,MATCH($J299,SCORING!$B$6:$B$15,0)),0)+IFERROR(INDEX(SCORING!$C$18:$C$20,MATCH($U299,SCORING!$B$18:$B$20,0)),0)+IFERROR(INDEX(SCORING!$C$23:$C$26,MATCH($X299,SCORING!$B$23:$B$26,0)),0)+IFERROR(INDEX(SCORING!$C$29:$C$32,MATCH($Q299,SCORING!$B$29:$B$32,0)),0)+IFERROR(INDEX(SCORING!$C$35:$C$37,MATCH($L299,SCORING!$B$35:$B$37,0)),0)+IF($AP299="",0,IF(AND($AQ299="Valid",$AO299="Decision maker"),SCORING!$C$40,IF($AQ299="Valid",SCORING!$C$41,SCORING!$C$42))))</f>
        <v/>
      </c>
      <c r="BD299" s="36" t="str">
        <f aca="false">IF($BC299="","",IF($BC299&gt;=SCORING!$C$46,"A",IF($BC299&gt;=SCORING!$C$47,"B",IF($BC299&gt;=SCORING!$C$48,"C","D"))))</f>
        <v/>
      </c>
      <c r="BE299" s="37"/>
    </row>
    <row r="300" customFormat="false" ht="15" hidden="false" customHeight="false" outlineLevel="0" collapsed="false">
      <c r="A300" s="37"/>
      <c r="B300" s="38"/>
      <c r="C300" s="37"/>
      <c r="D300" s="37"/>
      <c r="E300" s="17"/>
      <c r="F300" s="17"/>
      <c r="G300" s="37"/>
      <c r="H300" s="32" t="str">
        <f aca="false">IF($G300="","",IFERROR(INDEX(LISTS!$P$3:$P$145,MATCH($G300,LISTS!$O$3:$O$145,0)),"Other"))</f>
        <v/>
      </c>
      <c r="I300" s="37"/>
      <c r="J300" s="17"/>
      <c r="K300" s="17"/>
      <c r="L300" s="37"/>
      <c r="M300" s="37"/>
      <c r="N300" s="39"/>
      <c r="O300" s="37"/>
      <c r="P300" s="39"/>
      <c r="Q300" s="37"/>
      <c r="R300" s="39"/>
      <c r="S300" s="17"/>
      <c r="T300" s="17"/>
      <c r="U300" s="37"/>
      <c r="V300" s="37"/>
      <c r="W300" s="17"/>
      <c r="X300" s="37"/>
      <c r="Y300" s="17"/>
      <c r="Z300" s="39"/>
      <c r="AA300" s="39"/>
      <c r="AB300" s="37"/>
      <c r="AC300" s="37"/>
      <c r="AD300" s="38"/>
      <c r="AE300" s="37"/>
      <c r="AF300" s="37"/>
      <c r="AG300" s="37"/>
      <c r="AH300" s="37"/>
      <c r="AI300" s="17"/>
      <c r="AJ300" s="37"/>
      <c r="AK300" s="17"/>
      <c r="AL300" s="39"/>
      <c r="AM300" s="17"/>
      <c r="AN300" s="17"/>
      <c r="AO300" s="37"/>
      <c r="AP300" s="17"/>
      <c r="AQ300" s="37"/>
      <c r="AR300" s="37"/>
      <c r="AS300" s="37"/>
      <c r="AT300" s="17"/>
      <c r="AU300" s="37"/>
      <c r="AV300" s="37"/>
      <c r="AW300" s="38"/>
      <c r="AX300" s="37"/>
      <c r="AY300" s="38"/>
      <c r="AZ300" s="34" t="str">
        <f aca="false">IF($E300="","",COUNTA($E300,$F300,$G300,$J300,$L300,$Q300,$U300,$X300,$AM300,$AN300,$AP300,$AR300)/12)</f>
        <v/>
      </c>
      <c r="BA300" s="32" t="str">
        <f aca="false">IF($E300="","",IF(COUNTIF($E$3:$E$402,$E300)&gt;1,"DUPLICATE",""))</f>
        <v/>
      </c>
      <c r="BB300" s="17"/>
      <c r="BC300" s="35" t="str">
        <f aca="false">IF($E300="","",IFERROR(INDEX(SCORING!$C$6:$C$15,MATCH($J300,SCORING!$B$6:$B$15,0)),0)+IFERROR(INDEX(SCORING!$C$18:$C$20,MATCH($U300,SCORING!$B$18:$B$20,0)),0)+IFERROR(INDEX(SCORING!$C$23:$C$26,MATCH($X300,SCORING!$B$23:$B$26,0)),0)+IFERROR(INDEX(SCORING!$C$29:$C$32,MATCH($Q300,SCORING!$B$29:$B$32,0)),0)+IFERROR(INDEX(SCORING!$C$35:$C$37,MATCH($L300,SCORING!$B$35:$B$37,0)),0)+IF($AP300="",0,IF(AND($AQ300="Valid",$AO300="Decision maker"),SCORING!$C$40,IF($AQ300="Valid",SCORING!$C$41,SCORING!$C$42))))</f>
        <v/>
      </c>
      <c r="BD300" s="36" t="str">
        <f aca="false">IF($BC300="","",IF($BC300&gt;=SCORING!$C$46,"A",IF($BC300&gt;=SCORING!$C$47,"B",IF($BC300&gt;=SCORING!$C$48,"C","D"))))</f>
        <v/>
      </c>
      <c r="BE300" s="37"/>
    </row>
    <row r="301" customFormat="false" ht="15" hidden="false" customHeight="false" outlineLevel="0" collapsed="false">
      <c r="A301" s="37"/>
      <c r="B301" s="38"/>
      <c r="C301" s="37"/>
      <c r="D301" s="37"/>
      <c r="E301" s="17"/>
      <c r="F301" s="17"/>
      <c r="G301" s="37"/>
      <c r="H301" s="32" t="str">
        <f aca="false">IF($G301="","",IFERROR(INDEX(LISTS!$P$3:$P$145,MATCH($G301,LISTS!$O$3:$O$145,0)),"Other"))</f>
        <v/>
      </c>
      <c r="I301" s="37"/>
      <c r="J301" s="17"/>
      <c r="K301" s="17"/>
      <c r="L301" s="37"/>
      <c r="M301" s="37"/>
      <c r="N301" s="39"/>
      <c r="O301" s="37"/>
      <c r="P301" s="39"/>
      <c r="Q301" s="37"/>
      <c r="R301" s="39"/>
      <c r="S301" s="17"/>
      <c r="T301" s="17"/>
      <c r="U301" s="37"/>
      <c r="V301" s="37"/>
      <c r="W301" s="17"/>
      <c r="X301" s="37"/>
      <c r="Y301" s="17"/>
      <c r="Z301" s="39"/>
      <c r="AA301" s="39"/>
      <c r="AB301" s="37"/>
      <c r="AC301" s="37"/>
      <c r="AD301" s="38"/>
      <c r="AE301" s="37"/>
      <c r="AF301" s="37"/>
      <c r="AG301" s="37"/>
      <c r="AH301" s="37"/>
      <c r="AI301" s="17"/>
      <c r="AJ301" s="37"/>
      <c r="AK301" s="17"/>
      <c r="AL301" s="39"/>
      <c r="AM301" s="17"/>
      <c r="AN301" s="17"/>
      <c r="AO301" s="37"/>
      <c r="AP301" s="17"/>
      <c r="AQ301" s="37"/>
      <c r="AR301" s="37"/>
      <c r="AS301" s="37"/>
      <c r="AT301" s="17"/>
      <c r="AU301" s="37"/>
      <c r="AV301" s="37"/>
      <c r="AW301" s="38"/>
      <c r="AX301" s="37"/>
      <c r="AY301" s="38"/>
      <c r="AZ301" s="34" t="str">
        <f aca="false">IF($E301="","",COUNTA($E301,$F301,$G301,$J301,$L301,$Q301,$U301,$X301,$AM301,$AN301,$AP301,$AR301)/12)</f>
        <v/>
      </c>
      <c r="BA301" s="32" t="str">
        <f aca="false">IF($E301="","",IF(COUNTIF($E$3:$E$402,$E301)&gt;1,"DUPLICATE",""))</f>
        <v/>
      </c>
      <c r="BB301" s="17"/>
      <c r="BC301" s="35" t="str">
        <f aca="false">IF($E301="","",IFERROR(INDEX(SCORING!$C$6:$C$15,MATCH($J301,SCORING!$B$6:$B$15,0)),0)+IFERROR(INDEX(SCORING!$C$18:$C$20,MATCH($U301,SCORING!$B$18:$B$20,0)),0)+IFERROR(INDEX(SCORING!$C$23:$C$26,MATCH($X301,SCORING!$B$23:$B$26,0)),0)+IFERROR(INDEX(SCORING!$C$29:$C$32,MATCH($Q301,SCORING!$B$29:$B$32,0)),0)+IFERROR(INDEX(SCORING!$C$35:$C$37,MATCH($L301,SCORING!$B$35:$B$37,0)),0)+IF($AP301="",0,IF(AND($AQ301="Valid",$AO301="Decision maker"),SCORING!$C$40,IF($AQ301="Valid",SCORING!$C$41,SCORING!$C$42))))</f>
        <v/>
      </c>
      <c r="BD301" s="36" t="str">
        <f aca="false">IF($BC301="","",IF($BC301&gt;=SCORING!$C$46,"A",IF($BC301&gt;=SCORING!$C$47,"B",IF($BC301&gt;=SCORING!$C$48,"C","D"))))</f>
        <v/>
      </c>
      <c r="BE301" s="37"/>
    </row>
    <row r="302" customFormat="false" ht="15" hidden="false" customHeight="false" outlineLevel="0" collapsed="false">
      <c r="A302" s="37"/>
      <c r="B302" s="38"/>
      <c r="C302" s="37"/>
      <c r="D302" s="37"/>
      <c r="E302" s="17"/>
      <c r="F302" s="17"/>
      <c r="G302" s="37"/>
      <c r="H302" s="32" t="str">
        <f aca="false">IF($G302="","",IFERROR(INDEX(LISTS!$P$3:$P$145,MATCH($G302,LISTS!$O$3:$O$145,0)),"Other"))</f>
        <v/>
      </c>
      <c r="I302" s="37"/>
      <c r="J302" s="17"/>
      <c r="K302" s="17"/>
      <c r="L302" s="37"/>
      <c r="M302" s="37"/>
      <c r="N302" s="39"/>
      <c r="O302" s="37"/>
      <c r="P302" s="39"/>
      <c r="Q302" s="37"/>
      <c r="R302" s="39"/>
      <c r="S302" s="17"/>
      <c r="T302" s="17"/>
      <c r="U302" s="37"/>
      <c r="V302" s="37"/>
      <c r="W302" s="17"/>
      <c r="X302" s="37"/>
      <c r="Y302" s="17"/>
      <c r="Z302" s="39"/>
      <c r="AA302" s="39"/>
      <c r="AB302" s="37"/>
      <c r="AC302" s="37"/>
      <c r="AD302" s="38"/>
      <c r="AE302" s="37"/>
      <c r="AF302" s="37"/>
      <c r="AG302" s="37"/>
      <c r="AH302" s="37"/>
      <c r="AI302" s="17"/>
      <c r="AJ302" s="37"/>
      <c r="AK302" s="17"/>
      <c r="AL302" s="39"/>
      <c r="AM302" s="17"/>
      <c r="AN302" s="17"/>
      <c r="AO302" s="37"/>
      <c r="AP302" s="17"/>
      <c r="AQ302" s="37"/>
      <c r="AR302" s="37"/>
      <c r="AS302" s="37"/>
      <c r="AT302" s="17"/>
      <c r="AU302" s="37"/>
      <c r="AV302" s="37"/>
      <c r="AW302" s="38"/>
      <c r="AX302" s="37"/>
      <c r="AY302" s="38"/>
      <c r="AZ302" s="34" t="str">
        <f aca="false">IF($E302="","",COUNTA($E302,$F302,$G302,$J302,$L302,$Q302,$U302,$X302,$AM302,$AN302,$AP302,$AR302)/12)</f>
        <v/>
      </c>
      <c r="BA302" s="32" t="str">
        <f aca="false">IF($E302="","",IF(COUNTIF($E$3:$E$402,$E302)&gt;1,"DUPLICATE",""))</f>
        <v/>
      </c>
      <c r="BB302" s="17"/>
      <c r="BC302" s="35" t="str">
        <f aca="false">IF($E302="","",IFERROR(INDEX(SCORING!$C$6:$C$15,MATCH($J302,SCORING!$B$6:$B$15,0)),0)+IFERROR(INDEX(SCORING!$C$18:$C$20,MATCH($U302,SCORING!$B$18:$B$20,0)),0)+IFERROR(INDEX(SCORING!$C$23:$C$26,MATCH($X302,SCORING!$B$23:$B$26,0)),0)+IFERROR(INDEX(SCORING!$C$29:$C$32,MATCH($Q302,SCORING!$B$29:$B$32,0)),0)+IFERROR(INDEX(SCORING!$C$35:$C$37,MATCH($L302,SCORING!$B$35:$B$37,0)),0)+IF($AP302="",0,IF(AND($AQ302="Valid",$AO302="Decision maker"),SCORING!$C$40,IF($AQ302="Valid",SCORING!$C$41,SCORING!$C$42))))</f>
        <v/>
      </c>
      <c r="BD302" s="36" t="str">
        <f aca="false">IF($BC302="","",IF($BC302&gt;=SCORING!$C$46,"A",IF($BC302&gt;=SCORING!$C$47,"B",IF($BC302&gt;=SCORING!$C$48,"C","D"))))</f>
        <v/>
      </c>
      <c r="BE302" s="37"/>
    </row>
    <row r="303" customFormat="false" ht="15" hidden="false" customHeight="false" outlineLevel="0" collapsed="false">
      <c r="A303" s="37"/>
      <c r="B303" s="38"/>
      <c r="C303" s="37"/>
      <c r="D303" s="37"/>
      <c r="E303" s="17"/>
      <c r="F303" s="17"/>
      <c r="G303" s="37"/>
      <c r="H303" s="32" t="str">
        <f aca="false">IF($G303="","",IFERROR(INDEX(LISTS!$P$3:$P$145,MATCH($G303,LISTS!$O$3:$O$145,0)),"Other"))</f>
        <v/>
      </c>
      <c r="I303" s="37"/>
      <c r="J303" s="17"/>
      <c r="K303" s="17"/>
      <c r="L303" s="37"/>
      <c r="M303" s="37"/>
      <c r="N303" s="39"/>
      <c r="O303" s="37"/>
      <c r="P303" s="39"/>
      <c r="Q303" s="37"/>
      <c r="R303" s="39"/>
      <c r="S303" s="17"/>
      <c r="T303" s="17"/>
      <c r="U303" s="37"/>
      <c r="V303" s="37"/>
      <c r="W303" s="17"/>
      <c r="X303" s="37"/>
      <c r="Y303" s="17"/>
      <c r="Z303" s="39"/>
      <c r="AA303" s="39"/>
      <c r="AB303" s="37"/>
      <c r="AC303" s="37"/>
      <c r="AD303" s="38"/>
      <c r="AE303" s="37"/>
      <c r="AF303" s="37"/>
      <c r="AG303" s="37"/>
      <c r="AH303" s="37"/>
      <c r="AI303" s="17"/>
      <c r="AJ303" s="37"/>
      <c r="AK303" s="17"/>
      <c r="AL303" s="39"/>
      <c r="AM303" s="17"/>
      <c r="AN303" s="17"/>
      <c r="AO303" s="37"/>
      <c r="AP303" s="17"/>
      <c r="AQ303" s="37"/>
      <c r="AR303" s="37"/>
      <c r="AS303" s="37"/>
      <c r="AT303" s="17"/>
      <c r="AU303" s="37"/>
      <c r="AV303" s="37"/>
      <c r="AW303" s="38"/>
      <c r="AX303" s="37"/>
      <c r="AY303" s="38"/>
      <c r="AZ303" s="34" t="str">
        <f aca="false">IF($E303="","",COUNTA($E303,$F303,$G303,$J303,$L303,$Q303,$U303,$X303,$AM303,$AN303,$AP303,$AR303)/12)</f>
        <v/>
      </c>
      <c r="BA303" s="32" t="str">
        <f aca="false">IF($E303="","",IF(COUNTIF($E$3:$E$402,$E303)&gt;1,"DUPLICATE",""))</f>
        <v/>
      </c>
      <c r="BB303" s="17"/>
      <c r="BC303" s="35" t="str">
        <f aca="false">IF($E303="","",IFERROR(INDEX(SCORING!$C$6:$C$15,MATCH($J303,SCORING!$B$6:$B$15,0)),0)+IFERROR(INDEX(SCORING!$C$18:$C$20,MATCH($U303,SCORING!$B$18:$B$20,0)),0)+IFERROR(INDEX(SCORING!$C$23:$C$26,MATCH($X303,SCORING!$B$23:$B$26,0)),0)+IFERROR(INDEX(SCORING!$C$29:$C$32,MATCH($Q303,SCORING!$B$29:$B$32,0)),0)+IFERROR(INDEX(SCORING!$C$35:$C$37,MATCH($L303,SCORING!$B$35:$B$37,0)),0)+IF($AP303="",0,IF(AND($AQ303="Valid",$AO303="Decision maker"),SCORING!$C$40,IF($AQ303="Valid",SCORING!$C$41,SCORING!$C$42))))</f>
        <v/>
      </c>
      <c r="BD303" s="36" t="str">
        <f aca="false">IF($BC303="","",IF($BC303&gt;=SCORING!$C$46,"A",IF($BC303&gt;=SCORING!$C$47,"B",IF($BC303&gt;=SCORING!$C$48,"C","D"))))</f>
        <v/>
      </c>
      <c r="BE303" s="37"/>
    </row>
    <row r="304" customFormat="false" ht="15" hidden="false" customHeight="false" outlineLevel="0" collapsed="false">
      <c r="A304" s="37"/>
      <c r="B304" s="38"/>
      <c r="C304" s="37"/>
      <c r="D304" s="37"/>
      <c r="E304" s="17"/>
      <c r="F304" s="17"/>
      <c r="G304" s="37"/>
      <c r="H304" s="32" t="str">
        <f aca="false">IF($G304="","",IFERROR(INDEX(LISTS!$P$3:$P$145,MATCH($G304,LISTS!$O$3:$O$145,0)),"Other"))</f>
        <v/>
      </c>
      <c r="I304" s="37"/>
      <c r="J304" s="17"/>
      <c r="K304" s="17"/>
      <c r="L304" s="37"/>
      <c r="M304" s="37"/>
      <c r="N304" s="39"/>
      <c r="O304" s="37"/>
      <c r="P304" s="39"/>
      <c r="Q304" s="37"/>
      <c r="R304" s="39"/>
      <c r="S304" s="17"/>
      <c r="T304" s="17"/>
      <c r="U304" s="37"/>
      <c r="V304" s="37"/>
      <c r="W304" s="17"/>
      <c r="X304" s="37"/>
      <c r="Y304" s="17"/>
      <c r="Z304" s="39"/>
      <c r="AA304" s="39"/>
      <c r="AB304" s="37"/>
      <c r="AC304" s="37"/>
      <c r="AD304" s="38"/>
      <c r="AE304" s="37"/>
      <c r="AF304" s="37"/>
      <c r="AG304" s="37"/>
      <c r="AH304" s="37"/>
      <c r="AI304" s="17"/>
      <c r="AJ304" s="37"/>
      <c r="AK304" s="17"/>
      <c r="AL304" s="39"/>
      <c r="AM304" s="17"/>
      <c r="AN304" s="17"/>
      <c r="AO304" s="37"/>
      <c r="AP304" s="17"/>
      <c r="AQ304" s="37"/>
      <c r="AR304" s="37"/>
      <c r="AS304" s="37"/>
      <c r="AT304" s="17"/>
      <c r="AU304" s="37"/>
      <c r="AV304" s="37"/>
      <c r="AW304" s="38"/>
      <c r="AX304" s="37"/>
      <c r="AY304" s="38"/>
      <c r="AZ304" s="34" t="str">
        <f aca="false">IF($E304="","",COUNTA($E304,$F304,$G304,$J304,$L304,$Q304,$U304,$X304,$AM304,$AN304,$AP304,$AR304)/12)</f>
        <v/>
      </c>
      <c r="BA304" s="32" t="str">
        <f aca="false">IF($E304="","",IF(COUNTIF($E$3:$E$402,$E304)&gt;1,"DUPLICATE",""))</f>
        <v/>
      </c>
      <c r="BB304" s="17"/>
      <c r="BC304" s="35" t="str">
        <f aca="false">IF($E304="","",IFERROR(INDEX(SCORING!$C$6:$C$15,MATCH($J304,SCORING!$B$6:$B$15,0)),0)+IFERROR(INDEX(SCORING!$C$18:$C$20,MATCH($U304,SCORING!$B$18:$B$20,0)),0)+IFERROR(INDEX(SCORING!$C$23:$C$26,MATCH($X304,SCORING!$B$23:$B$26,0)),0)+IFERROR(INDEX(SCORING!$C$29:$C$32,MATCH($Q304,SCORING!$B$29:$B$32,0)),0)+IFERROR(INDEX(SCORING!$C$35:$C$37,MATCH($L304,SCORING!$B$35:$B$37,0)),0)+IF($AP304="",0,IF(AND($AQ304="Valid",$AO304="Decision maker"),SCORING!$C$40,IF($AQ304="Valid",SCORING!$C$41,SCORING!$C$42))))</f>
        <v/>
      </c>
      <c r="BD304" s="36" t="str">
        <f aca="false">IF($BC304="","",IF($BC304&gt;=SCORING!$C$46,"A",IF($BC304&gt;=SCORING!$C$47,"B",IF($BC304&gt;=SCORING!$C$48,"C","D"))))</f>
        <v/>
      </c>
      <c r="BE304" s="37"/>
    </row>
    <row r="305" customFormat="false" ht="15" hidden="false" customHeight="false" outlineLevel="0" collapsed="false">
      <c r="A305" s="37"/>
      <c r="B305" s="38"/>
      <c r="C305" s="37"/>
      <c r="D305" s="37"/>
      <c r="E305" s="17"/>
      <c r="F305" s="17"/>
      <c r="G305" s="37"/>
      <c r="H305" s="32" t="str">
        <f aca="false">IF($G305="","",IFERROR(INDEX(LISTS!$P$3:$P$145,MATCH($G305,LISTS!$O$3:$O$145,0)),"Other"))</f>
        <v/>
      </c>
      <c r="I305" s="37"/>
      <c r="J305" s="17"/>
      <c r="K305" s="17"/>
      <c r="L305" s="37"/>
      <c r="M305" s="37"/>
      <c r="N305" s="39"/>
      <c r="O305" s="37"/>
      <c r="P305" s="39"/>
      <c r="Q305" s="37"/>
      <c r="R305" s="39"/>
      <c r="S305" s="17"/>
      <c r="T305" s="17"/>
      <c r="U305" s="37"/>
      <c r="V305" s="37"/>
      <c r="W305" s="17"/>
      <c r="X305" s="37"/>
      <c r="Y305" s="17"/>
      <c r="Z305" s="39"/>
      <c r="AA305" s="39"/>
      <c r="AB305" s="37"/>
      <c r="AC305" s="37"/>
      <c r="AD305" s="38"/>
      <c r="AE305" s="37"/>
      <c r="AF305" s="37"/>
      <c r="AG305" s="37"/>
      <c r="AH305" s="37"/>
      <c r="AI305" s="17"/>
      <c r="AJ305" s="37"/>
      <c r="AK305" s="17"/>
      <c r="AL305" s="39"/>
      <c r="AM305" s="17"/>
      <c r="AN305" s="17"/>
      <c r="AO305" s="37"/>
      <c r="AP305" s="17"/>
      <c r="AQ305" s="37"/>
      <c r="AR305" s="37"/>
      <c r="AS305" s="37"/>
      <c r="AT305" s="17"/>
      <c r="AU305" s="37"/>
      <c r="AV305" s="37"/>
      <c r="AW305" s="38"/>
      <c r="AX305" s="37"/>
      <c r="AY305" s="38"/>
      <c r="AZ305" s="34" t="str">
        <f aca="false">IF($E305="","",COUNTA($E305,$F305,$G305,$J305,$L305,$Q305,$U305,$X305,$AM305,$AN305,$AP305,$AR305)/12)</f>
        <v/>
      </c>
      <c r="BA305" s="32" t="str">
        <f aca="false">IF($E305="","",IF(COUNTIF($E$3:$E$402,$E305)&gt;1,"DUPLICATE",""))</f>
        <v/>
      </c>
      <c r="BB305" s="17"/>
      <c r="BC305" s="35" t="str">
        <f aca="false">IF($E305="","",IFERROR(INDEX(SCORING!$C$6:$C$15,MATCH($J305,SCORING!$B$6:$B$15,0)),0)+IFERROR(INDEX(SCORING!$C$18:$C$20,MATCH($U305,SCORING!$B$18:$B$20,0)),0)+IFERROR(INDEX(SCORING!$C$23:$C$26,MATCH($X305,SCORING!$B$23:$B$26,0)),0)+IFERROR(INDEX(SCORING!$C$29:$C$32,MATCH($Q305,SCORING!$B$29:$B$32,0)),0)+IFERROR(INDEX(SCORING!$C$35:$C$37,MATCH($L305,SCORING!$B$35:$B$37,0)),0)+IF($AP305="",0,IF(AND($AQ305="Valid",$AO305="Decision maker"),SCORING!$C$40,IF($AQ305="Valid",SCORING!$C$41,SCORING!$C$42))))</f>
        <v/>
      </c>
      <c r="BD305" s="36" t="str">
        <f aca="false">IF($BC305="","",IF($BC305&gt;=SCORING!$C$46,"A",IF($BC305&gt;=SCORING!$C$47,"B",IF($BC305&gt;=SCORING!$C$48,"C","D"))))</f>
        <v/>
      </c>
      <c r="BE305" s="37"/>
    </row>
    <row r="306" customFormat="false" ht="15" hidden="false" customHeight="false" outlineLevel="0" collapsed="false">
      <c r="A306" s="37"/>
      <c r="B306" s="38"/>
      <c r="C306" s="37"/>
      <c r="D306" s="37"/>
      <c r="E306" s="17"/>
      <c r="F306" s="17"/>
      <c r="G306" s="37"/>
      <c r="H306" s="32" t="str">
        <f aca="false">IF($G306="","",IFERROR(INDEX(LISTS!$P$3:$P$145,MATCH($G306,LISTS!$O$3:$O$145,0)),"Other"))</f>
        <v/>
      </c>
      <c r="I306" s="37"/>
      <c r="J306" s="17"/>
      <c r="K306" s="17"/>
      <c r="L306" s="37"/>
      <c r="M306" s="37"/>
      <c r="N306" s="39"/>
      <c r="O306" s="37"/>
      <c r="P306" s="39"/>
      <c r="Q306" s="37"/>
      <c r="R306" s="39"/>
      <c r="S306" s="17"/>
      <c r="T306" s="17"/>
      <c r="U306" s="37"/>
      <c r="V306" s="37"/>
      <c r="W306" s="17"/>
      <c r="X306" s="37"/>
      <c r="Y306" s="17"/>
      <c r="Z306" s="39"/>
      <c r="AA306" s="39"/>
      <c r="AB306" s="37"/>
      <c r="AC306" s="37"/>
      <c r="AD306" s="38"/>
      <c r="AE306" s="37"/>
      <c r="AF306" s="37"/>
      <c r="AG306" s="37"/>
      <c r="AH306" s="37"/>
      <c r="AI306" s="17"/>
      <c r="AJ306" s="37"/>
      <c r="AK306" s="17"/>
      <c r="AL306" s="39"/>
      <c r="AM306" s="17"/>
      <c r="AN306" s="17"/>
      <c r="AO306" s="37"/>
      <c r="AP306" s="17"/>
      <c r="AQ306" s="37"/>
      <c r="AR306" s="37"/>
      <c r="AS306" s="37"/>
      <c r="AT306" s="17"/>
      <c r="AU306" s="37"/>
      <c r="AV306" s="37"/>
      <c r="AW306" s="38"/>
      <c r="AX306" s="37"/>
      <c r="AY306" s="38"/>
      <c r="AZ306" s="34" t="str">
        <f aca="false">IF($E306="","",COUNTA($E306,$F306,$G306,$J306,$L306,$Q306,$U306,$X306,$AM306,$AN306,$AP306,$AR306)/12)</f>
        <v/>
      </c>
      <c r="BA306" s="32" t="str">
        <f aca="false">IF($E306="","",IF(COUNTIF($E$3:$E$402,$E306)&gt;1,"DUPLICATE",""))</f>
        <v/>
      </c>
      <c r="BB306" s="17"/>
      <c r="BC306" s="35" t="str">
        <f aca="false">IF($E306="","",IFERROR(INDEX(SCORING!$C$6:$C$15,MATCH($J306,SCORING!$B$6:$B$15,0)),0)+IFERROR(INDEX(SCORING!$C$18:$C$20,MATCH($U306,SCORING!$B$18:$B$20,0)),0)+IFERROR(INDEX(SCORING!$C$23:$C$26,MATCH($X306,SCORING!$B$23:$B$26,0)),0)+IFERROR(INDEX(SCORING!$C$29:$C$32,MATCH($Q306,SCORING!$B$29:$B$32,0)),0)+IFERROR(INDEX(SCORING!$C$35:$C$37,MATCH($L306,SCORING!$B$35:$B$37,0)),0)+IF($AP306="",0,IF(AND($AQ306="Valid",$AO306="Decision maker"),SCORING!$C$40,IF($AQ306="Valid",SCORING!$C$41,SCORING!$C$42))))</f>
        <v/>
      </c>
      <c r="BD306" s="36" t="str">
        <f aca="false">IF($BC306="","",IF($BC306&gt;=SCORING!$C$46,"A",IF($BC306&gt;=SCORING!$C$47,"B",IF($BC306&gt;=SCORING!$C$48,"C","D"))))</f>
        <v/>
      </c>
      <c r="BE306" s="37"/>
    </row>
    <row r="307" customFormat="false" ht="15" hidden="false" customHeight="false" outlineLevel="0" collapsed="false">
      <c r="A307" s="37"/>
      <c r="B307" s="38"/>
      <c r="C307" s="37"/>
      <c r="D307" s="37"/>
      <c r="E307" s="17"/>
      <c r="F307" s="17"/>
      <c r="G307" s="37"/>
      <c r="H307" s="32" t="str">
        <f aca="false">IF($G307="","",IFERROR(INDEX(LISTS!$P$3:$P$145,MATCH($G307,LISTS!$O$3:$O$145,0)),"Other"))</f>
        <v/>
      </c>
      <c r="I307" s="37"/>
      <c r="J307" s="17"/>
      <c r="K307" s="17"/>
      <c r="L307" s="37"/>
      <c r="M307" s="37"/>
      <c r="N307" s="39"/>
      <c r="O307" s="37"/>
      <c r="P307" s="39"/>
      <c r="Q307" s="37"/>
      <c r="R307" s="39"/>
      <c r="S307" s="17"/>
      <c r="T307" s="17"/>
      <c r="U307" s="37"/>
      <c r="V307" s="37"/>
      <c r="W307" s="17"/>
      <c r="X307" s="37"/>
      <c r="Y307" s="17"/>
      <c r="Z307" s="39"/>
      <c r="AA307" s="39"/>
      <c r="AB307" s="37"/>
      <c r="AC307" s="37"/>
      <c r="AD307" s="38"/>
      <c r="AE307" s="37"/>
      <c r="AF307" s="37"/>
      <c r="AG307" s="37"/>
      <c r="AH307" s="37"/>
      <c r="AI307" s="17"/>
      <c r="AJ307" s="37"/>
      <c r="AK307" s="17"/>
      <c r="AL307" s="39"/>
      <c r="AM307" s="17"/>
      <c r="AN307" s="17"/>
      <c r="AO307" s="37"/>
      <c r="AP307" s="17"/>
      <c r="AQ307" s="37"/>
      <c r="AR307" s="37"/>
      <c r="AS307" s="37"/>
      <c r="AT307" s="17"/>
      <c r="AU307" s="37"/>
      <c r="AV307" s="37"/>
      <c r="AW307" s="38"/>
      <c r="AX307" s="37"/>
      <c r="AY307" s="38"/>
      <c r="AZ307" s="34" t="str">
        <f aca="false">IF($E307="","",COUNTA($E307,$F307,$G307,$J307,$L307,$Q307,$U307,$X307,$AM307,$AN307,$AP307,$AR307)/12)</f>
        <v/>
      </c>
      <c r="BA307" s="32" t="str">
        <f aca="false">IF($E307="","",IF(COUNTIF($E$3:$E$402,$E307)&gt;1,"DUPLICATE",""))</f>
        <v/>
      </c>
      <c r="BB307" s="17"/>
      <c r="BC307" s="35" t="str">
        <f aca="false">IF($E307="","",IFERROR(INDEX(SCORING!$C$6:$C$15,MATCH($J307,SCORING!$B$6:$B$15,0)),0)+IFERROR(INDEX(SCORING!$C$18:$C$20,MATCH($U307,SCORING!$B$18:$B$20,0)),0)+IFERROR(INDEX(SCORING!$C$23:$C$26,MATCH($X307,SCORING!$B$23:$B$26,0)),0)+IFERROR(INDEX(SCORING!$C$29:$C$32,MATCH($Q307,SCORING!$B$29:$B$32,0)),0)+IFERROR(INDEX(SCORING!$C$35:$C$37,MATCH($L307,SCORING!$B$35:$B$37,0)),0)+IF($AP307="",0,IF(AND($AQ307="Valid",$AO307="Decision maker"),SCORING!$C$40,IF($AQ307="Valid",SCORING!$C$41,SCORING!$C$42))))</f>
        <v/>
      </c>
      <c r="BD307" s="36" t="str">
        <f aca="false">IF($BC307="","",IF($BC307&gt;=SCORING!$C$46,"A",IF($BC307&gt;=SCORING!$C$47,"B",IF($BC307&gt;=SCORING!$C$48,"C","D"))))</f>
        <v/>
      </c>
      <c r="BE307" s="37"/>
    </row>
    <row r="308" customFormat="false" ht="15" hidden="false" customHeight="false" outlineLevel="0" collapsed="false">
      <c r="A308" s="37"/>
      <c r="B308" s="38"/>
      <c r="C308" s="37"/>
      <c r="D308" s="37"/>
      <c r="E308" s="17"/>
      <c r="F308" s="17"/>
      <c r="G308" s="37"/>
      <c r="H308" s="32" t="str">
        <f aca="false">IF($G308="","",IFERROR(INDEX(LISTS!$P$3:$P$145,MATCH($G308,LISTS!$O$3:$O$145,0)),"Other"))</f>
        <v/>
      </c>
      <c r="I308" s="37"/>
      <c r="J308" s="17"/>
      <c r="K308" s="17"/>
      <c r="L308" s="37"/>
      <c r="M308" s="37"/>
      <c r="N308" s="39"/>
      <c r="O308" s="37"/>
      <c r="P308" s="39"/>
      <c r="Q308" s="37"/>
      <c r="R308" s="39"/>
      <c r="S308" s="17"/>
      <c r="T308" s="17"/>
      <c r="U308" s="37"/>
      <c r="V308" s="37"/>
      <c r="W308" s="17"/>
      <c r="X308" s="37"/>
      <c r="Y308" s="17"/>
      <c r="Z308" s="39"/>
      <c r="AA308" s="39"/>
      <c r="AB308" s="37"/>
      <c r="AC308" s="37"/>
      <c r="AD308" s="38"/>
      <c r="AE308" s="37"/>
      <c r="AF308" s="37"/>
      <c r="AG308" s="37"/>
      <c r="AH308" s="37"/>
      <c r="AI308" s="17"/>
      <c r="AJ308" s="37"/>
      <c r="AK308" s="17"/>
      <c r="AL308" s="39"/>
      <c r="AM308" s="17"/>
      <c r="AN308" s="17"/>
      <c r="AO308" s="37"/>
      <c r="AP308" s="17"/>
      <c r="AQ308" s="37"/>
      <c r="AR308" s="37"/>
      <c r="AS308" s="37"/>
      <c r="AT308" s="17"/>
      <c r="AU308" s="37"/>
      <c r="AV308" s="37"/>
      <c r="AW308" s="38"/>
      <c r="AX308" s="37"/>
      <c r="AY308" s="38"/>
      <c r="AZ308" s="34" t="str">
        <f aca="false">IF($E308="","",COUNTA($E308,$F308,$G308,$J308,$L308,$Q308,$U308,$X308,$AM308,$AN308,$AP308,$AR308)/12)</f>
        <v/>
      </c>
      <c r="BA308" s="32" t="str">
        <f aca="false">IF($E308="","",IF(COUNTIF($E$3:$E$402,$E308)&gt;1,"DUPLICATE",""))</f>
        <v/>
      </c>
      <c r="BB308" s="17"/>
      <c r="BC308" s="35" t="str">
        <f aca="false">IF($E308="","",IFERROR(INDEX(SCORING!$C$6:$C$15,MATCH($J308,SCORING!$B$6:$B$15,0)),0)+IFERROR(INDEX(SCORING!$C$18:$C$20,MATCH($U308,SCORING!$B$18:$B$20,0)),0)+IFERROR(INDEX(SCORING!$C$23:$C$26,MATCH($X308,SCORING!$B$23:$B$26,0)),0)+IFERROR(INDEX(SCORING!$C$29:$C$32,MATCH($Q308,SCORING!$B$29:$B$32,0)),0)+IFERROR(INDEX(SCORING!$C$35:$C$37,MATCH($L308,SCORING!$B$35:$B$37,0)),0)+IF($AP308="",0,IF(AND($AQ308="Valid",$AO308="Decision maker"),SCORING!$C$40,IF($AQ308="Valid",SCORING!$C$41,SCORING!$C$42))))</f>
        <v/>
      </c>
      <c r="BD308" s="36" t="str">
        <f aca="false">IF($BC308="","",IF($BC308&gt;=SCORING!$C$46,"A",IF($BC308&gt;=SCORING!$C$47,"B",IF($BC308&gt;=SCORING!$C$48,"C","D"))))</f>
        <v/>
      </c>
      <c r="BE308" s="37"/>
    </row>
    <row r="309" customFormat="false" ht="15" hidden="false" customHeight="false" outlineLevel="0" collapsed="false">
      <c r="A309" s="37"/>
      <c r="B309" s="38"/>
      <c r="C309" s="37"/>
      <c r="D309" s="37"/>
      <c r="E309" s="17"/>
      <c r="F309" s="17"/>
      <c r="G309" s="37"/>
      <c r="H309" s="32" t="str">
        <f aca="false">IF($G309="","",IFERROR(INDEX(LISTS!$P$3:$P$145,MATCH($G309,LISTS!$O$3:$O$145,0)),"Other"))</f>
        <v/>
      </c>
      <c r="I309" s="37"/>
      <c r="J309" s="17"/>
      <c r="K309" s="17"/>
      <c r="L309" s="37"/>
      <c r="M309" s="37"/>
      <c r="N309" s="39"/>
      <c r="O309" s="37"/>
      <c r="P309" s="39"/>
      <c r="Q309" s="37"/>
      <c r="R309" s="39"/>
      <c r="S309" s="17"/>
      <c r="T309" s="17"/>
      <c r="U309" s="37"/>
      <c r="V309" s="37"/>
      <c r="W309" s="17"/>
      <c r="X309" s="37"/>
      <c r="Y309" s="17"/>
      <c r="Z309" s="39"/>
      <c r="AA309" s="39"/>
      <c r="AB309" s="37"/>
      <c r="AC309" s="37"/>
      <c r="AD309" s="38"/>
      <c r="AE309" s="37"/>
      <c r="AF309" s="37"/>
      <c r="AG309" s="37"/>
      <c r="AH309" s="37"/>
      <c r="AI309" s="17"/>
      <c r="AJ309" s="37"/>
      <c r="AK309" s="17"/>
      <c r="AL309" s="39"/>
      <c r="AM309" s="17"/>
      <c r="AN309" s="17"/>
      <c r="AO309" s="37"/>
      <c r="AP309" s="17"/>
      <c r="AQ309" s="37"/>
      <c r="AR309" s="37"/>
      <c r="AS309" s="37"/>
      <c r="AT309" s="17"/>
      <c r="AU309" s="37"/>
      <c r="AV309" s="37"/>
      <c r="AW309" s="38"/>
      <c r="AX309" s="37"/>
      <c r="AY309" s="38"/>
      <c r="AZ309" s="34" t="str">
        <f aca="false">IF($E309="","",COUNTA($E309,$F309,$G309,$J309,$L309,$Q309,$U309,$X309,$AM309,$AN309,$AP309,$AR309)/12)</f>
        <v/>
      </c>
      <c r="BA309" s="32" t="str">
        <f aca="false">IF($E309="","",IF(COUNTIF($E$3:$E$402,$E309)&gt;1,"DUPLICATE",""))</f>
        <v/>
      </c>
      <c r="BB309" s="17"/>
      <c r="BC309" s="35" t="str">
        <f aca="false">IF($E309="","",IFERROR(INDEX(SCORING!$C$6:$C$15,MATCH($J309,SCORING!$B$6:$B$15,0)),0)+IFERROR(INDEX(SCORING!$C$18:$C$20,MATCH($U309,SCORING!$B$18:$B$20,0)),0)+IFERROR(INDEX(SCORING!$C$23:$C$26,MATCH($X309,SCORING!$B$23:$B$26,0)),0)+IFERROR(INDEX(SCORING!$C$29:$C$32,MATCH($Q309,SCORING!$B$29:$B$32,0)),0)+IFERROR(INDEX(SCORING!$C$35:$C$37,MATCH($L309,SCORING!$B$35:$B$37,0)),0)+IF($AP309="",0,IF(AND($AQ309="Valid",$AO309="Decision maker"),SCORING!$C$40,IF($AQ309="Valid",SCORING!$C$41,SCORING!$C$42))))</f>
        <v/>
      </c>
      <c r="BD309" s="36" t="str">
        <f aca="false">IF($BC309="","",IF($BC309&gt;=SCORING!$C$46,"A",IF($BC309&gt;=SCORING!$C$47,"B",IF($BC309&gt;=SCORING!$C$48,"C","D"))))</f>
        <v/>
      </c>
      <c r="BE309" s="37"/>
    </row>
    <row r="310" customFormat="false" ht="15" hidden="false" customHeight="false" outlineLevel="0" collapsed="false">
      <c r="A310" s="37"/>
      <c r="B310" s="38"/>
      <c r="C310" s="37"/>
      <c r="D310" s="37"/>
      <c r="E310" s="17"/>
      <c r="F310" s="17"/>
      <c r="G310" s="37"/>
      <c r="H310" s="32" t="str">
        <f aca="false">IF($G310="","",IFERROR(INDEX(LISTS!$P$3:$P$145,MATCH($G310,LISTS!$O$3:$O$145,0)),"Other"))</f>
        <v/>
      </c>
      <c r="I310" s="37"/>
      <c r="J310" s="17"/>
      <c r="K310" s="17"/>
      <c r="L310" s="37"/>
      <c r="M310" s="37"/>
      <c r="N310" s="39"/>
      <c r="O310" s="37"/>
      <c r="P310" s="39"/>
      <c r="Q310" s="37"/>
      <c r="R310" s="39"/>
      <c r="S310" s="17"/>
      <c r="T310" s="17"/>
      <c r="U310" s="37"/>
      <c r="V310" s="37"/>
      <c r="W310" s="17"/>
      <c r="X310" s="37"/>
      <c r="Y310" s="17"/>
      <c r="Z310" s="39"/>
      <c r="AA310" s="39"/>
      <c r="AB310" s="37"/>
      <c r="AC310" s="37"/>
      <c r="AD310" s="38"/>
      <c r="AE310" s="37"/>
      <c r="AF310" s="37"/>
      <c r="AG310" s="37"/>
      <c r="AH310" s="37"/>
      <c r="AI310" s="17"/>
      <c r="AJ310" s="37"/>
      <c r="AK310" s="17"/>
      <c r="AL310" s="39"/>
      <c r="AM310" s="17"/>
      <c r="AN310" s="17"/>
      <c r="AO310" s="37"/>
      <c r="AP310" s="17"/>
      <c r="AQ310" s="37"/>
      <c r="AR310" s="37"/>
      <c r="AS310" s="37"/>
      <c r="AT310" s="17"/>
      <c r="AU310" s="37"/>
      <c r="AV310" s="37"/>
      <c r="AW310" s="38"/>
      <c r="AX310" s="37"/>
      <c r="AY310" s="38"/>
      <c r="AZ310" s="34" t="str">
        <f aca="false">IF($E310="","",COUNTA($E310,$F310,$G310,$J310,$L310,$Q310,$U310,$X310,$AM310,$AN310,$AP310,$AR310)/12)</f>
        <v/>
      </c>
      <c r="BA310" s="32" t="str">
        <f aca="false">IF($E310="","",IF(COUNTIF($E$3:$E$402,$E310)&gt;1,"DUPLICATE",""))</f>
        <v/>
      </c>
      <c r="BB310" s="17"/>
      <c r="BC310" s="35" t="str">
        <f aca="false">IF($E310="","",IFERROR(INDEX(SCORING!$C$6:$C$15,MATCH($J310,SCORING!$B$6:$B$15,0)),0)+IFERROR(INDEX(SCORING!$C$18:$C$20,MATCH($U310,SCORING!$B$18:$B$20,0)),0)+IFERROR(INDEX(SCORING!$C$23:$C$26,MATCH($X310,SCORING!$B$23:$B$26,0)),0)+IFERROR(INDEX(SCORING!$C$29:$C$32,MATCH($Q310,SCORING!$B$29:$B$32,0)),0)+IFERROR(INDEX(SCORING!$C$35:$C$37,MATCH($L310,SCORING!$B$35:$B$37,0)),0)+IF($AP310="",0,IF(AND($AQ310="Valid",$AO310="Decision maker"),SCORING!$C$40,IF($AQ310="Valid",SCORING!$C$41,SCORING!$C$42))))</f>
        <v/>
      </c>
      <c r="BD310" s="36" t="str">
        <f aca="false">IF($BC310="","",IF($BC310&gt;=SCORING!$C$46,"A",IF($BC310&gt;=SCORING!$C$47,"B",IF($BC310&gt;=SCORING!$C$48,"C","D"))))</f>
        <v/>
      </c>
      <c r="BE310" s="37"/>
    </row>
    <row r="311" customFormat="false" ht="15" hidden="false" customHeight="false" outlineLevel="0" collapsed="false">
      <c r="A311" s="37"/>
      <c r="B311" s="38"/>
      <c r="C311" s="37"/>
      <c r="D311" s="37"/>
      <c r="E311" s="17"/>
      <c r="F311" s="17"/>
      <c r="G311" s="37"/>
      <c r="H311" s="32" t="str">
        <f aca="false">IF($G311="","",IFERROR(INDEX(LISTS!$P$3:$P$145,MATCH($G311,LISTS!$O$3:$O$145,0)),"Other"))</f>
        <v/>
      </c>
      <c r="I311" s="37"/>
      <c r="J311" s="17"/>
      <c r="K311" s="17"/>
      <c r="L311" s="37"/>
      <c r="M311" s="37"/>
      <c r="N311" s="39"/>
      <c r="O311" s="37"/>
      <c r="P311" s="39"/>
      <c r="Q311" s="37"/>
      <c r="R311" s="39"/>
      <c r="S311" s="17"/>
      <c r="T311" s="17"/>
      <c r="U311" s="37"/>
      <c r="V311" s="37"/>
      <c r="W311" s="17"/>
      <c r="X311" s="37"/>
      <c r="Y311" s="17"/>
      <c r="Z311" s="39"/>
      <c r="AA311" s="39"/>
      <c r="AB311" s="37"/>
      <c r="AC311" s="37"/>
      <c r="AD311" s="38"/>
      <c r="AE311" s="37"/>
      <c r="AF311" s="37"/>
      <c r="AG311" s="37"/>
      <c r="AH311" s="37"/>
      <c r="AI311" s="17"/>
      <c r="AJ311" s="37"/>
      <c r="AK311" s="17"/>
      <c r="AL311" s="39"/>
      <c r="AM311" s="17"/>
      <c r="AN311" s="17"/>
      <c r="AO311" s="37"/>
      <c r="AP311" s="17"/>
      <c r="AQ311" s="37"/>
      <c r="AR311" s="37"/>
      <c r="AS311" s="37"/>
      <c r="AT311" s="17"/>
      <c r="AU311" s="37"/>
      <c r="AV311" s="37"/>
      <c r="AW311" s="38"/>
      <c r="AX311" s="37"/>
      <c r="AY311" s="38"/>
      <c r="AZ311" s="34" t="str">
        <f aca="false">IF($E311="","",COUNTA($E311,$F311,$G311,$J311,$L311,$Q311,$U311,$X311,$AM311,$AN311,$AP311,$AR311)/12)</f>
        <v/>
      </c>
      <c r="BA311" s="32" t="str">
        <f aca="false">IF($E311="","",IF(COUNTIF($E$3:$E$402,$E311)&gt;1,"DUPLICATE",""))</f>
        <v/>
      </c>
      <c r="BB311" s="17"/>
      <c r="BC311" s="35" t="str">
        <f aca="false">IF($E311="","",IFERROR(INDEX(SCORING!$C$6:$C$15,MATCH($J311,SCORING!$B$6:$B$15,0)),0)+IFERROR(INDEX(SCORING!$C$18:$C$20,MATCH($U311,SCORING!$B$18:$B$20,0)),0)+IFERROR(INDEX(SCORING!$C$23:$C$26,MATCH($X311,SCORING!$B$23:$B$26,0)),0)+IFERROR(INDEX(SCORING!$C$29:$C$32,MATCH($Q311,SCORING!$B$29:$B$32,0)),0)+IFERROR(INDEX(SCORING!$C$35:$C$37,MATCH($L311,SCORING!$B$35:$B$37,0)),0)+IF($AP311="",0,IF(AND($AQ311="Valid",$AO311="Decision maker"),SCORING!$C$40,IF($AQ311="Valid",SCORING!$C$41,SCORING!$C$42))))</f>
        <v/>
      </c>
      <c r="BD311" s="36" t="str">
        <f aca="false">IF($BC311="","",IF($BC311&gt;=SCORING!$C$46,"A",IF($BC311&gt;=SCORING!$C$47,"B",IF($BC311&gt;=SCORING!$C$48,"C","D"))))</f>
        <v/>
      </c>
      <c r="BE311" s="37"/>
    </row>
    <row r="312" customFormat="false" ht="15" hidden="false" customHeight="false" outlineLevel="0" collapsed="false">
      <c r="A312" s="37"/>
      <c r="B312" s="38"/>
      <c r="C312" s="37"/>
      <c r="D312" s="37"/>
      <c r="E312" s="17"/>
      <c r="F312" s="17"/>
      <c r="G312" s="37"/>
      <c r="H312" s="32" t="str">
        <f aca="false">IF($G312="","",IFERROR(INDEX(LISTS!$P$3:$P$145,MATCH($G312,LISTS!$O$3:$O$145,0)),"Other"))</f>
        <v/>
      </c>
      <c r="I312" s="37"/>
      <c r="J312" s="17"/>
      <c r="K312" s="17"/>
      <c r="L312" s="37"/>
      <c r="M312" s="37"/>
      <c r="N312" s="39"/>
      <c r="O312" s="37"/>
      <c r="P312" s="39"/>
      <c r="Q312" s="37"/>
      <c r="R312" s="39"/>
      <c r="S312" s="17"/>
      <c r="T312" s="17"/>
      <c r="U312" s="37"/>
      <c r="V312" s="37"/>
      <c r="W312" s="17"/>
      <c r="X312" s="37"/>
      <c r="Y312" s="17"/>
      <c r="Z312" s="39"/>
      <c r="AA312" s="39"/>
      <c r="AB312" s="37"/>
      <c r="AC312" s="37"/>
      <c r="AD312" s="38"/>
      <c r="AE312" s="37"/>
      <c r="AF312" s="37"/>
      <c r="AG312" s="37"/>
      <c r="AH312" s="37"/>
      <c r="AI312" s="17"/>
      <c r="AJ312" s="37"/>
      <c r="AK312" s="17"/>
      <c r="AL312" s="39"/>
      <c r="AM312" s="17"/>
      <c r="AN312" s="17"/>
      <c r="AO312" s="37"/>
      <c r="AP312" s="17"/>
      <c r="AQ312" s="37"/>
      <c r="AR312" s="37"/>
      <c r="AS312" s="37"/>
      <c r="AT312" s="17"/>
      <c r="AU312" s="37"/>
      <c r="AV312" s="37"/>
      <c r="AW312" s="38"/>
      <c r="AX312" s="37"/>
      <c r="AY312" s="38"/>
      <c r="AZ312" s="34" t="str">
        <f aca="false">IF($E312="","",COUNTA($E312,$F312,$G312,$J312,$L312,$Q312,$U312,$X312,$AM312,$AN312,$AP312,$AR312)/12)</f>
        <v/>
      </c>
      <c r="BA312" s="32" t="str">
        <f aca="false">IF($E312="","",IF(COUNTIF($E$3:$E$402,$E312)&gt;1,"DUPLICATE",""))</f>
        <v/>
      </c>
      <c r="BB312" s="17"/>
      <c r="BC312" s="35" t="str">
        <f aca="false">IF($E312="","",IFERROR(INDEX(SCORING!$C$6:$C$15,MATCH($J312,SCORING!$B$6:$B$15,0)),0)+IFERROR(INDEX(SCORING!$C$18:$C$20,MATCH($U312,SCORING!$B$18:$B$20,0)),0)+IFERROR(INDEX(SCORING!$C$23:$C$26,MATCH($X312,SCORING!$B$23:$B$26,0)),0)+IFERROR(INDEX(SCORING!$C$29:$C$32,MATCH($Q312,SCORING!$B$29:$B$32,0)),0)+IFERROR(INDEX(SCORING!$C$35:$C$37,MATCH($L312,SCORING!$B$35:$B$37,0)),0)+IF($AP312="",0,IF(AND($AQ312="Valid",$AO312="Decision maker"),SCORING!$C$40,IF($AQ312="Valid",SCORING!$C$41,SCORING!$C$42))))</f>
        <v/>
      </c>
      <c r="BD312" s="36" t="str">
        <f aca="false">IF($BC312="","",IF($BC312&gt;=SCORING!$C$46,"A",IF($BC312&gt;=SCORING!$C$47,"B",IF($BC312&gt;=SCORING!$C$48,"C","D"))))</f>
        <v/>
      </c>
      <c r="BE312" s="37"/>
    </row>
    <row r="313" customFormat="false" ht="15" hidden="false" customHeight="false" outlineLevel="0" collapsed="false">
      <c r="A313" s="37"/>
      <c r="B313" s="38"/>
      <c r="C313" s="37"/>
      <c r="D313" s="37"/>
      <c r="E313" s="17"/>
      <c r="F313" s="17"/>
      <c r="G313" s="37"/>
      <c r="H313" s="32" t="str">
        <f aca="false">IF($G313="","",IFERROR(INDEX(LISTS!$P$3:$P$145,MATCH($G313,LISTS!$O$3:$O$145,0)),"Other"))</f>
        <v/>
      </c>
      <c r="I313" s="37"/>
      <c r="J313" s="17"/>
      <c r="K313" s="17"/>
      <c r="L313" s="37"/>
      <c r="M313" s="37"/>
      <c r="N313" s="39"/>
      <c r="O313" s="37"/>
      <c r="P313" s="39"/>
      <c r="Q313" s="37"/>
      <c r="R313" s="39"/>
      <c r="S313" s="17"/>
      <c r="T313" s="17"/>
      <c r="U313" s="37"/>
      <c r="V313" s="37"/>
      <c r="W313" s="17"/>
      <c r="X313" s="37"/>
      <c r="Y313" s="17"/>
      <c r="Z313" s="39"/>
      <c r="AA313" s="39"/>
      <c r="AB313" s="37"/>
      <c r="AC313" s="37"/>
      <c r="AD313" s="38"/>
      <c r="AE313" s="37"/>
      <c r="AF313" s="37"/>
      <c r="AG313" s="37"/>
      <c r="AH313" s="37"/>
      <c r="AI313" s="17"/>
      <c r="AJ313" s="37"/>
      <c r="AK313" s="17"/>
      <c r="AL313" s="39"/>
      <c r="AM313" s="17"/>
      <c r="AN313" s="17"/>
      <c r="AO313" s="37"/>
      <c r="AP313" s="17"/>
      <c r="AQ313" s="37"/>
      <c r="AR313" s="37"/>
      <c r="AS313" s="37"/>
      <c r="AT313" s="17"/>
      <c r="AU313" s="37"/>
      <c r="AV313" s="37"/>
      <c r="AW313" s="38"/>
      <c r="AX313" s="37"/>
      <c r="AY313" s="38"/>
      <c r="AZ313" s="34" t="str">
        <f aca="false">IF($E313="","",COUNTA($E313,$F313,$G313,$J313,$L313,$Q313,$U313,$X313,$AM313,$AN313,$AP313,$AR313)/12)</f>
        <v/>
      </c>
      <c r="BA313" s="32" t="str">
        <f aca="false">IF($E313="","",IF(COUNTIF($E$3:$E$402,$E313)&gt;1,"DUPLICATE",""))</f>
        <v/>
      </c>
      <c r="BB313" s="17"/>
      <c r="BC313" s="35" t="str">
        <f aca="false">IF($E313="","",IFERROR(INDEX(SCORING!$C$6:$C$15,MATCH($J313,SCORING!$B$6:$B$15,0)),0)+IFERROR(INDEX(SCORING!$C$18:$C$20,MATCH($U313,SCORING!$B$18:$B$20,0)),0)+IFERROR(INDEX(SCORING!$C$23:$C$26,MATCH($X313,SCORING!$B$23:$B$26,0)),0)+IFERROR(INDEX(SCORING!$C$29:$C$32,MATCH($Q313,SCORING!$B$29:$B$32,0)),0)+IFERROR(INDEX(SCORING!$C$35:$C$37,MATCH($L313,SCORING!$B$35:$B$37,0)),0)+IF($AP313="",0,IF(AND($AQ313="Valid",$AO313="Decision maker"),SCORING!$C$40,IF($AQ313="Valid",SCORING!$C$41,SCORING!$C$42))))</f>
        <v/>
      </c>
      <c r="BD313" s="36" t="str">
        <f aca="false">IF($BC313="","",IF($BC313&gt;=SCORING!$C$46,"A",IF($BC313&gt;=SCORING!$C$47,"B",IF($BC313&gt;=SCORING!$C$48,"C","D"))))</f>
        <v/>
      </c>
      <c r="BE313" s="37"/>
    </row>
    <row r="314" customFormat="false" ht="15" hidden="false" customHeight="false" outlineLevel="0" collapsed="false">
      <c r="A314" s="37"/>
      <c r="B314" s="38"/>
      <c r="C314" s="37"/>
      <c r="D314" s="37"/>
      <c r="E314" s="17"/>
      <c r="F314" s="17"/>
      <c r="G314" s="37"/>
      <c r="H314" s="32" t="str">
        <f aca="false">IF($G314="","",IFERROR(INDEX(LISTS!$P$3:$P$145,MATCH($G314,LISTS!$O$3:$O$145,0)),"Other"))</f>
        <v/>
      </c>
      <c r="I314" s="37"/>
      <c r="J314" s="17"/>
      <c r="K314" s="17"/>
      <c r="L314" s="37"/>
      <c r="M314" s="37"/>
      <c r="N314" s="39"/>
      <c r="O314" s="37"/>
      <c r="P314" s="39"/>
      <c r="Q314" s="37"/>
      <c r="R314" s="39"/>
      <c r="S314" s="17"/>
      <c r="T314" s="17"/>
      <c r="U314" s="37"/>
      <c r="V314" s="37"/>
      <c r="W314" s="17"/>
      <c r="X314" s="37"/>
      <c r="Y314" s="17"/>
      <c r="Z314" s="39"/>
      <c r="AA314" s="39"/>
      <c r="AB314" s="37"/>
      <c r="AC314" s="37"/>
      <c r="AD314" s="38"/>
      <c r="AE314" s="37"/>
      <c r="AF314" s="37"/>
      <c r="AG314" s="37"/>
      <c r="AH314" s="37"/>
      <c r="AI314" s="17"/>
      <c r="AJ314" s="37"/>
      <c r="AK314" s="17"/>
      <c r="AL314" s="39"/>
      <c r="AM314" s="17"/>
      <c r="AN314" s="17"/>
      <c r="AO314" s="37"/>
      <c r="AP314" s="17"/>
      <c r="AQ314" s="37"/>
      <c r="AR314" s="37"/>
      <c r="AS314" s="37"/>
      <c r="AT314" s="17"/>
      <c r="AU314" s="37"/>
      <c r="AV314" s="37"/>
      <c r="AW314" s="38"/>
      <c r="AX314" s="37"/>
      <c r="AY314" s="38"/>
      <c r="AZ314" s="34" t="str">
        <f aca="false">IF($E314="","",COUNTA($E314,$F314,$G314,$J314,$L314,$Q314,$U314,$X314,$AM314,$AN314,$AP314,$AR314)/12)</f>
        <v/>
      </c>
      <c r="BA314" s="32" t="str">
        <f aca="false">IF($E314="","",IF(COUNTIF($E$3:$E$402,$E314)&gt;1,"DUPLICATE",""))</f>
        <v/>
      </c>
      <c r="BB314" s="17"/>
      <c r="BC314" s="35" t="str">
        <f aca="false">IF($E314="","",IFERROR(INDEX(SCORING!$C$6:$C$15,MATCH($J314,SCORING!$B$6:$B$15,0)),0)+IFERROR(INDEX(SCORING!$C$18:$C$20,MATCH($U314,SCORING!$B$18:$B$20,0)),0)+IFERROR(INDEX(SCORING!$C$23:$C$26,MATCH($X314,SCORING!$B$23:$B$26,0)),0)+IFERROR(INDEX(SCORING!$C$29:$C$32,MATCH($Q314,SCORING!$B$29:$B$32,0)),0)+IFERROR(INDEX(SCORING!$C$35:$C$37,MATCH($L314,SCORING!$B$35:$B$37,0)),0)+IF($AP314="",0,IF(AND($AQ314="Valid",$AO314="Decision maker"),SCORING!$C$40,IF($AQ314="Valid",SCORING!$C$41,SCORING!$C$42))))</f>
        <v/>
      </c>
      <c r="BD314" s="36" t="str">
        <f aca="false">IF($BC314="","",IF($BC314&gt;=SCORING!$C$46,"A",IF($BC314&gt;=SCORING!$C$47,"B",IF($BC314&gt;=SCORING!$C$48,"C","D"))))</f>
        <v/>
      </c>
      <c r="BE314" s="37"/>
    </row>
    <row r="315" customFormat="false" ht="15" hidden="false" customHeight="false" outlineLevel="0" collapsed="false">
      <c r="A315" s="37"/>
      <c r="B315" s="38"/>
      <c r="C315" s="37"/>
      <c r="D315" s="37"/>
      <c r="E315" s="17"/>
      <c r="F315" s="17"/>
      <c r="G315" s="37"/>
      <c r="H315" s="32" t="str">
        <f aca="false">IF($G315="","",IFERROR(INDEX(LISTS!$P$3:$P$145,MATCH($G315,LISTS!$O$3:$O$145,0)),"Other"))</f>
        <v/>
      </c>
      <c r="I315" s="37"/>
      <c r="J315" s="17"/>
      <c r="K315" s="17"/>
      <c r="L315" s="37"/>
      <c r="M315" s="37"/>
      <c r="N315" s="39"/>
      <c r="O315" s="37"/>
      <c r="P315" s="39"/>
      <c r="Q315" s="37"/>
      <c r="R315" s="39"/>
      <c r="S315" s="17"/>
      <c r="T315" s="17"/>
      <c r="U315" s="37"/>
      <c r="V315" s="37"/>
      <c r="W315" s="17"/>
      <c r="X315" s="37"/>
      <c r="Y315" s="17"/>
      <c r="Z315" s="39"/>
      <c r="AA315" s="39"/>
      <c r="AB315" s="37"/>
      <c r="AC315" s="37"/>
      <c r="AD315" s="38"/>
      <c r="AE315" s="37"/>
      <c r="AF315" s="37"/>
      <c r="AG315" s="37"/>
      <c r="AH315" s="37"/>
      <c r="AI315" s="17"/>
      <c r="AJ315" s="37"/>
      <c r="AK315" s="17"/>
      <c r="AL315" s="39"/>
      <c r="AM315" s="17"/>
      <c r="AN315" s="17"/>
      <c r="AO315" s="37"/>
      <c r="AP315" s="17"/>
      <c r="AQ315" s="37"/>
      <c r="AR315" s="37"/>
      <c r="AS315" s="37"/>
      <c r="AT315" s="17"/>
      <c r="AU315" s="37"/>
      <c r="AV315" s="37"/>
      <c r="AW315" s="38"/>
      <c r="AX315" s="37"/>
      <c r="AY315" s="38"/>
      <c r="AZ315" s="34" t="str">
        <f aca="false">IF($E315="","",COUNTA($E315,$F315,$G315,$J315,$L315,$Q315,$U315,$X315,$AM315,$AN315,$AP315,$AR315)/12)</f>
        <v/>
      </c>
      <c r="BA315" s="32" t="str">
        <f aca="false">IF($E315="","",IF(COUNTIF($E$3:$E$402,$E315)&gt;1,"DUPLICATE",""))</f>
        <v/>
      </c>
      <c r="BB315" s="17"/>
      <c r="BC315" s="35" t="str">
        <f aca="false">IF($E315="","",IFERROR(INDEX(SCORING!$C$6:$C$15,MATCH($J315,SCORING!$B$6:$B$15,0)),0)+IFERROR(INDEX(SCORING!$C$18:$C$20,MATCH($U315,SCORING!$B$18:$B$20,0)),0)+IFERROR(INDEX(SCORING!$C$23:$C$26,MATCH($X315,SCORING!$B$23:$B$26,0)),0)+IFERROR(INDEX(SCORING!$C$29:$C$32,MATCH($Q315,SCORING!$B$29:$B$32,0)),0)+IFERROR(INDEX(SCORING!$C$35:$C$37,MATCH($L315,SCORING!$B$35:$B$37,0)),0)+IF($AP315="",0,IF(AND($AQ315="Valid",$AO315="Decision maker"),SCORING!$C$40,IF($AQ315="Valid",SCORING!$C$41,SCORING!$C$42))))</f>
        <v/>
      </c>
      <c r="BD315" s="36" t="str">
        <f aca="false">IF($BC315="","",IF($BC315&gt;=SCORING!$C$46,"A",IF($BC315&gt;=SCORING!$C$47,"B",IF($BC315&gt;=SCORING!$C$48,"C","D"))))</f>
        <v/>
      </c>
      <c r="BE315" s="37"/>
    </row>
    <row r="316" customFormat="false" ht="15" hidden="false" customHeight="false" outlineLevel="0" collapsed="false">
      <c r="A316" s="37"/>
      <c r="B316" s="38"/>
      <c r="C316" s="37"/>
      <c r="D316" s="37"/>
      <c r="E316" s="17"/>
      <c r="F316" s="17"/>
      <c r="G316" s="37"/>
      <c r="H316" s="32" t="str">
        <f aca="false">IF($G316="","",IFERROR(INDEX(LISTS!$P$3:$P$145,MATCH($G316,LISTS!$O$3:$O$145,0)),"Other"))</f>
        <v/>
      </c>
      <c r="I316" s="37"/>
      <c r="J316" s="17"/>
      <c r="K316" s="17"/>
      <c r="L316" s="37"/>
      <c r="M316" s="37"/>
      <c r="N316" s="39"/>
      <c r="O316" s="37"/>
      <c r="P316" s="39"/>
      <c r="Q316" s="37"/>
      <c r="R316" s="39"/>
      <c r="S316" s="17"/>
      <c r="T316" s="17"/>
      <c r="U316" s="37"/>
      <c r="V316" s="37"/>
      <c r="W316" s="17"/>
      <c r="X316" s="37"/>
      <c r="Y316" s="17"/>
      <c r="Z316" s="39"/>
      <c r="AA316" s="39"/>
      <c r="AB316" s="37"/>
      <c r="AC316" s="37"/>
      <c r="AD316" s="38"/>
      <c r="AE316" s="37"/>
      <c r="AF316" s="37"/>
      <c r="AG316" s="37"/>
      <c r="AH316" s="37"/>
      <c r="AI316" s="17"/>
      <c r="AJ316" s="37"/>
      <c r="AK316" s="17"/>
      <c r="AL316" s="39"/>
      <c r="AM316" s="17"/>
      <c r="AN316" s="17"/>
      <c r="AO316" s="37"/>
      <c r="AP316" s="17"/>
      <c r="AQ316" s="37"/>
      <c r="AR316" s="37"/>
      <c r="AS316" s="37"/>
      <c r="AT316" s="17"/>
      <c r="AU316" s="37"/>
      <c r="AV316" s="37"/>
      <c r="AW316" s="38"/>
      <c r="AX316" s="37"/>
      <c r="AY316" s="38"/>
      <c r="AZ316" s="34" t="str">
        <f aca="false">IF($E316="","",COUNTA($E316,$F316,$G316,$J316,$L316,$Q316,$U316,$X316,$AM316,$AN316,$AP316,$AR316)/12)</f>
        <v/>
      </c>
      <c r="BA316" s="32" t="str">
        <f aca="false">IF($E316="","",IF(COUNTIF($E$3:$E$402,$E316)&gt;1,"DUPLICATE",""))</f>
        <v/>
      </c>
      <c r="BB316" s="17"/>
      <c r="BC316" s="35" t="str">
        <f aca="false">IF($E316="","",IFERROR(INDEX(SCORING!$C$6:$C$15,MATCH($J316,SCORING!$B$6:$B$15,0)),0)+IFERROR(INDEX(SCORING!$C$18:$C$20,MATCH($U316,SCORING!$B$18:$B$20,0)),0)+IFERROR(INDEX(SCORING!$C$23:$C$26,MATCH($X316,SCORING!$B$23:$B$26,0)),0)+IFERROR(INDEX(SCORING!$C$29:$C$32,MATCH($Q316,SCORING!$B$29:$B$32,0)),0)+IFERROR(INDEX(SCORING!$C$35:$C$37,MATCH($L316,SCORING!$B$35:$B$37,0)),0)+IF($AP316="",0,IF(AND($AQ316="Valid",$AO316="Decision maker"),SCORING!$C$40,IF($AQ316="Valid",SCORING!$C$41,SCORING!$C$42))))</f>
        <v/>
      </c>
      <c r="BD316" s="36" t="str">
        <f aca="false">IF($BC316="","",IF($BC316&gt;=SCORING!$C$46,"A",IF($BC316&gt;=SCORING!$C$47,"B",IF($BC316&gt;=SCORING!$C$48,"C","D"))))</f>
        <v/>
      </c>
      <c r="BE316" s="37"/>
    </row>
    <row r="317" customFormat="false" ht="15" hidden="false" customHeight="false" outlineLevel="0" collapsed="false">
      <c r="A317" s="37"/>
      <c r="B317" s="38"/>
      <c r="C317" s="37"/>
      <c r="D317" s="37"/>
      <c r="E317" s="17"/>
      <c r="F317" s="17"/>
      <c r="G317" s="37"/>
      <c r="H317" s="32" t="str">
        <f aca="false">IF($G317="","",IFERROR(INDEX(LISTS!$P$3:$P$145,MATCH($G317,LISTS!$O$3:$O$145,0)),"Other"))</f>
        <v/>
      </c>
      <c r="I317" s="37"/>
      <c r="J317" s="17"/>
      <c r="K317" s="17"/>
      <c r="L317" s="37"/>
      <c r="M317" s="37"/>
      <c r="N317" s="39"/>
      <c r="O317" s="37"/>
      <c r="P317" s="39"/>
      <c r="Q317" s="37"/>
      <c r="R317" s="39"/>
      <c r="S317" s="17"/>
      <c r="T317" s="17"/>
      <c r="U317" s="37"/>
      <c r="V317" s="37"/>
      <c r="W317" s="17"/>
      <c r="X317" s="37"/>
      <c r="Y317" s="17"/>
      <c r="Z317" s="39"/>
      <c r="AA317" s="39"/>
      <c r="AB317" s="37"/>
      <c r="AC317" s="37"/>
      <c r="AD317" s="38"/>
      <c r="AE317" s="37"/>
      <c r="AF317" s="37"/>
      <c r="AG317" s="37"/>
      <c r="AH317" s="37"/>
      <c r="AI317" s="17"/>
      <c r="AJ317" s="37"/>
      <c r="AK317" s="17"/>
      <c r="AL317" s="39"/>
      <c r="AM317" s="17"/>
      <c r="AN317" s="17"/>
      <c r="AO317" s="37"/>
      <c r="AP317" s="17"/>
      <c r="AQ317" s="37"/>
      <c r="AR317" s="37"/>
      <c r="AS317" s="37"/>
      <c r="AT317" s="17"/>
      <c r="AU317" s="37"/>
      <c r="AV317" s="37"/>
      <c r="AW317" s="38"/>
      <c r="AX317" s="37"/>
      <c r="AY317" s="38"/>
      <c r="AZ317" s="34" t="str">
        <f aca="false">IF($E317="","",COUNTA($E317,$F317,$G317,$J317,$L317,$Q317,$U317,$X317,$AM317,$AN317,$AP317,$AR317)/12)</f>
        <v/>
      </c>
      <c r="BA317" s="32" t="str">
        <f aca="false">IF($E317="","",IF(COUNTIF($E$3:$E$402,$E317)&gt;1,"DUPLICATE",""))</f>
        <v/>
      </c>
      <c r="BB317" s="17"/>
      <c r="BC317" s="35" t="str">
        <f aca="false">IF($E317="","",IFERROR(INDEX(SCORING!$C$6:$C$15,MATCH($J317,SCORING!$B$6:$B$15,0)),0)+IFERROR(INDEX(SCORING!$C$18:$C$20,MATCH($U317,SCORING!$B$18:$B$20,0)),0)+IFERROR(INDEX(SCORING!$C$23:$C$26,MATCH($X317,SCORING!$B$23:$B$26,0)),0)+IFERROR(INDEX(SCORING!$C$29:$C$32,MATCH($Q317,SCORING!$B$29:$B$32,0)),0)+IFERROR(INDEX(SCORING!$C$35:$C$37,MATCH($L317,SCORING!$B$35:$B$37,0)),0)+IF($AP317="",0,IF(AND($AQ317="Valid",$AO317="Decision maker"),SCORING!$C$40,IF($AQ317="Valid",SCORING!$C$41,SCORING!$C$42))))</f>
        <v/>
      </c>
      <c r="BD317" s="36" t="str">
        <f aca="false">IF($BC317="","",IF($BC317&gt;=SCORING!$C$46,"A",IF($BC317&gt;=SCORING!$C$47,"B",IF($BC317&gt;=SCORING!$C$48,"C","D"))))</f>
        <v/>
      </c>
      <c r="BE317" s="37"/>
    </row>
    <row r="318" customFormat="false" ht="15" hidden="false" customHeight="false" outlineLevel="0" collapsed="false">
      <c r="A318" s="37"/>
      <c r="B318" s="38"/>
      <c r="C318" s="37"/>
      <c r="D318" s="37"/>
      <c r="E318" s="17"/>
      <c r="F318" s="17"/>
      <c r="G318" s="37"/>
      <c r="H318" s="32" t="str">
        <f aca="false">IF($G318="","",IFERROR(INDEX(LISTS!$P$3:$P$145,MATCH($G318,LISTS!$O$3:$O$145,0)),"Other"))</f>
        <v/>
      </c>
      <c r="I318" s="37"/>
      <c r="J318" s="17"/>
      <c r="K318" s="17"/>
      <c r="L318" s="37"/>
      <c r="M318" s="37"/>
      <c r="N318" s="39"/>
      <c r="O318" s="37"/>
      <c r="P318" s="39"/>
      <c r="Q318" s="37"/>
      <c r="R318" s="39"/>
      <c r="S318" s="17"/>
      <c r="T318" s="17"/>
      <c r="U318" s="37"/>
      <c r="V318" s="37"/>
      <c r="W318" s="17"/>
      <c r="X318" s="37"/>
      <c r="Y318" s="17"/>
      <c r="Z318" s="39"/>
      <c r="AA318" s="39"/>
      <c r="AB318" s="37"/>
      <c r="AC318" s="37"/>
      <c r="AD318" s="38"/>
      <c r="AE318" s="37"/>
      <c r="AF318" s="37"/>
      <c r="AG318" s="37"/>
      <c r="AH318" s="37"/>
      <c r="AI318" s="17"/>
      <c r="AJ318" s="37"/>
      <c r="AK318" s="17"/>
      <c r="AL318" s="39"/>
      <c r="AM318" s="17"/>
      <c r="AN318" s="17"/>
      <c r="AO318" s="37"/>
      <c r="AP318" s="17"/>
      <c r="AQ318" s="37"/>
      <c r="AR318" s="37"/>
      <c r="AS318" s="37"/>
      <c r="AT318" s="17"/>
      <c r="AU318" s="37"/>
      <c r="AV318" s="37"/>
      <c r="AW318" s="38"/>
      <c r="AX318" s="37"/>
      <c r="AY318" s="38"/>
      <c r="AZ318" s="34" t="str">
        <f aca="false">IF($E318="","",COUNTA($E318,$F318,$G318,$J318,$L318,$Q318,$U318,$X318,$AM318,$AN318,$AP318,$AR318)/12)</f>
        <v/>
      </c>
      <c r="BA318" s="32" t="str">
        <f aca="false">IF($E318="","",IF(COUNTIF($E$3:$E$402,$E318)&gt;1,"DUPLICATE",""))</f>
        <v/>
      </c>
      <c r="BB318" s="17"/>
      <c r="BC318" s="35" t="str">
        <f aca="false">IF($E318="","",IFERROR(INDEX(SCORING!$C$6:$C$15,MATCH($J318,SCORING!$B$6:$B$15,0)),0)+IFERROR(INDEX(SCORING!$C$18:$C$20,MATCH($U318,SCORING!$B$18:$B$20,0)),0)+IFERROR(INDEX(SCORING!$C$23:$C$26,MATCH($X318,SCORING!$B$23:$B$26,0)),0)+IFERROR(INDEX(SCORING!$C$29:$C$32,MATCH($Q318,SCORING!$B$29:$B$32,0)),0)+IFERROR(INDEX(SCORING!$C$35:$C$37,MATCH($L318,SCORING!$B$35:$B$37,0)),0)+IF($AP318="",0,IF(AND($AQ318="Valid",$AO318="Decision maker"),SCORING!$C$40,IF($AQ318="Valid",SCORING!$C$41,SCORING!$C$42))))</f>
        <v/>
      </c>
      <c r="BD318" s="36" t="str">
        <f aca="false">IF($BC318="","",IF($BC318&gt;=SCORING!$C$46,"A",IF($BC318&gt;=SCORING!$C$47,"B",IF($BC318&gt;=SCORING!$C$48,"C","D"))))</f>
        <v/>
      </c>
      <c r="BE318" s="37"/>
    </row>
    <row r="319" customFormat="false" ht="15" hidden="false" customHeight="false" outlineLevel="0" collapsed="false">
      <c r="A319" s="37"/>
      <c r="B319" s="38"/>
      <c r="C319" s="37"/>
      <c r="D319" s="37"/>
      <c r="E319" s="17"/>
      <c r="F319" s="17"/>
      <c r="G319" s="37"/>
      <c r="H319" s="32" t="str">
        <f aca="false">IF($G319="","",IFERROR(INDEX(LISTS!$P$3:$P$145,MATCH($G319,LISTS!$O$3:$O$145,0)),"Other"))</f>
        <v/>
      </c>
      <c r="I319" s="37"/>
      <c r="J319" s="17"/>
      <c r="K319" s="17"/>
      <c r="L319" s="37"/>
      <c r="M319" s="37"/>
      <c r="N319" s="39"/>
      <c r="O319" s="37"/>
      <c r="P319" s="39"/>
      <c r="Q319" s="37"/>
      <c r="R319" s="39"/>
      <c r="S319" s="17"/>
      <c r="T319" s="17"/>
      <c r="U319" s="37"/>
      <c r="V319" s="37"/>
      <c r="W319" s="17"/>
      <c r="X319" s="37"/>
      <c r="Y319" s="17"/>
      <c r="Z319" s="39"/>
      <c r="AA319" s="39"/>
      <c r="AB319" s="37"/>
      <c r="AC319" s="37"/>
      <c r="AD319" s="38"/>
      <c r="AE319" s="37"/>
      <c r="AF319" s="37"/>
      <c r="AG319" s="37"/>
      <c r="AH319" s="37"/>
      <c r="AI319" s="17"/>
      <c r="AJ319" s="37"/>
      <c r="AK319" s="17"/>
      <c r="AL319" s="39"/>
      <c r="AM319" s="17"/>
      <c r="AN319" s="17"/>
      <c r="AO319" s="37"/>
      <c r="AP319" s="17"/>
      <c r="AQ319" s="37"/>
      <c r="AR319" s="37"/>
      <c r="AS319" s="37"/>
      <c r="AT319" s="17"/>
      <c r="AU319" s="37"/>
      <c r="AV319" s="37"/>
      <c r="AW319" s="38"/>
      <c r="AX319" s="37"/>
      <c r="AY319" s="38"/>
      <c r="AZ319" s="34" t="str">
        <f aca="false">IF($E319="","",COUNTA($E319,$F319,$G319,$J319,$L319,$Q319,$U319,$X319,$AM319,$AN319,$AP319,$AR319)/12)</f>
        <v/>
      </c>
      <c r="BA319" s="32" t="str">
        <f aca="false">IF($E319="","",IF(COUNTIF($E$3:$E$402,$E319)&gt;1,"DUPLICATE",""))</f>
        <v/>
      </c>
      <c r="BB319" s="17"/>
      <c r="BC319" s="35" t="str">
        <f aca="false">IF($E319="","",IFERROR(INDEX(SCORING!$C$6:$C$15,MATCH($J319,SCORING!$B$6:$B$15,0)),0)+IFERROR(INDEX(SCORING!$C$18:$C$20,MATCH($U319,SCORING!$B$18:$B$20,0)),0)+IFERROR(INDEX(SCORING!$C$23:$C$26,MATCH($X319,SCORING!$B$23:$B$26,0)),0)+IFERROR(INDEX(SCORING!$C$29:$C$32,MATCH($Q319,SCORING!$B$29:$B$32,0)),0)+IFERROR(INDEX(SCORING!$C$35:$C$37,MATCH($L319,SCORING!$B$35:$B$37,0)),0)+IF($AP319="",0,IF(AND($AQ319="Valid",$AO319="Decision maker"),SCORING!$C$40,IF($AQ319="Valid",SCORING!$C$41,SCORING!$C$42))))</f>
        <v/>
      </c>
      <c r="BD319" s="36" t="str">
        <f aca="false">IF($BC319="","",IF($BC319&gt;=SCORING!$C$46,"A",IF($BC319&gt;=SCORING!$C$47,"B",IF($BC319&gt;=SCORING!$C$48,"C","D"))))</f>
        <v/>
      </c>
      <c r="BE319" s="37"/>
    </row>
    <row r="320" customFormat="false" ht="15" hidden="false" customHeight="false" outlineLevel="0" collapsed="false">
      <c r="A320" s="37"/>
      <c r="B320" s="38"/>
      <c r="C320" s="37"/>
      <c r="D320" s="37"/>
      <c r="E320" s="17"/>
      <c r="F320" s="17"/>
      <c r="G320" s="37"/>
      <c r="H320" s="32" t="str">
        <f aca="false">IF($G320="","",IFERROR(INDEX(LISTS!$P$3:$P$145,MATCH($G320,LISTS!$O$3:$O$145,0)),"Other"))</f>
        <v/>
      </c>
      <c r="I320" s="37"/>
      <c r="J320" s="17"/>
      <c r="K320" s="17"/>
      <c r="L320" s="37"/>
      <c r="M320" s="37"/>
      <c r="N320" s="39"/>
      <c r="O320" s="37"/>
      <c r="P320" s="39"/>
      <c r="Q320" s="37"/>
      <c r="R320" s="39"/>
      <c r="S320" s="17"/>
      <c r="T320" s="17"/>
      <c r="U320" s="37"/>
      <c r="V320" s="37"/>
      <c r="W320" s="17"/>
      <c r="X320" s="37"/>
      <c r="Y320" s="17"/>
      <c r="Z320" s="39"/>
      <c r="AA320" s="39"/>
      <c r="AB320" s="37"/>
      <c r="AC320" s="37"/>
      <c r="AD320" s="38"/>
      <c r="AE320" s="37"/>
      <c r="AF320" s="37"/>
      <c r="AG320" s="37"/>
      <c r="AH320" s="37"/>
      <c r="AI320" s="17"/>
      <c r="AJ320" s="37"/>
      <c r="AK320" s="17"/>
      <c r="AL320" s="39"/>
      <c r="AM320" s="17"/>
      <c r="AN320" s="17"/>
      <c r="AO320" s="37"/>
      <c r="AP320" s="17"/>
      <c r="AQ320" s="37"/>
      <c r="AR320" s="37"/>
      <c r="AS320" s="37"/>
      <c r="AT320" s="17"/>
      <c r="AU320" s="37"/>
      <c r="AV320" s="37"/>
      <c r="AW320" s="38"/>
      <c r="AX320" s="37"/>
      <c r="AY320" s="38"/>
      <c r="AZ320" s="34" t="str">
        <f aca="false">IF($E320="","",COUNTA($E320,$F320,$G320,$J320,$L320,$Q320,$U320,$X320,$AM320,$AN320,$AP320,$AR320)/12)</f>
        <v/>
      </c>
      <c r="BA320" s="32" t="str">
        <f aca="false">IF($E320="","",IF(COUNTIF($E$3:$E$402,$E320)&gt;1,"DUPLICATE",""))</f>
        <v/>
      </c>
      <c r="BB320" s="17"/>
      <c r="BC320" s="35" t="str">
        <f aca="false">IF($E320="","",IFERROR(INDEX(SCORING!$C$6:$C$15,MATCH($J320,SCORING!$B$6:$B$15,0)),0)+IFERROR(INDEX(SCORING!$C$18:$C$20,MATCH($U320,SCORING!$B$18:$B$20,0)),0)+IFERROR(INDEX(SCORING!$C$23:$C$26,MATCH($X320,SCORING!$B$23:$B$26,0)),0)+IFERROR(INDEX(SCORING!$C$29:$C$32,MATCH($Q320,SCORING!$B$29:$B$32,0)),0)+IFERROR(INDEX(SCORING!$C$35:$C$37,MATCH($L320,SCORING!$B$35:$B$37,0)),0)+IF($AP320="",0,IF(AND($AQ320="Valid",$AO320="Decision maker"),SCORING!$C$40,IF($AQ320="Valid",SCORING!$C$41,SCORING!$C$42))))</f>
        <v/>
      </c>
      <c r="BD320" s="36" t="str">
        <f aca="false">IF($BC320="","",IF($BC320&gt;=SCORING!$C$46,"A",IF($BC320&gt;=SCORING!$C$47,"B",IF($BC320&gt;=SCORING!$C$48,"C","D"))))</f>
        <v/>
      </c>
      <c r="BE320" s="37"/>
    </row>
    <row r="321" customFormat="false" ht="15" hidden="false" customHeight="false" outlineLevel="0" collapsed="false">
      <c r="A321" s="37"/>
      <c r="B321" s="38"/>
      <c r="C321" s="37"/>
      <c r="D321" s="37"/>
      <c r="E321" s="17"/>
      <c r="F321" s="17"/>
      <c r="G321" s="37"/>
      <c r="H321" s="32" t="str">
        <f aca="false">IF($G321="","",IFERROR(INDEX(LISTS!$P$3:$P$145,MATCH($G321,LISTS!$O$3:$O$145,0)),"Other"))</f>
        <v/>
      </c>
      <c r="I321" s="37"/>
      <c r="J321" s="17"/>
      <c r="K321" s="17"/>
      <c r="L321" s="37"/>
      <c r="M321" s="37"/>
      <c r="N321" s="39"/>
      <c r="O321" s="37"/>
      <c r="P321" s="39"/>
      <c r="Q321" s="37"/>
      <c r="R321" s="39"/>
      <c r="S321" s="17"/>
      <c r="T321" s="17"/>
      <c r="U321" s="37"/>
      <c r="V321" s="37"/>
      <c r="W321" s="17"/>
      <c r="X321" s="37"/>
      <c r="Y321" s="17"/>
      <c r="Z321" s="39"/>
      <c r="AA321" s="39"/>
      <c r="AB321" s="37"/>
      <c r="AC321" s="37"/>
      <c r="AD321" s="38"/>
      <c r="AE321" s="37"/>
      <c r="AF321" s="37"/>
      <c r="AG321" s="37"/>
      <c r="AH321" s="37"/>
      <c r="AI321" s="17"/>
      <c r="AJ321" s="37"/>
      <c r="AK321" s="17"/>
      <c r="AL321" s="39"/>
      <c r="AM321" s="17"/>
      <c r="AN321" s="17"/>
      <c r="AO321" s="37"/>
      <c r="AP321" s="17"/>
      <c r="AQ321" s="37"/>
      <c r="AR321" s="37"/>
      <c r="AS321" s="37"/>
      <c r="AT321" s="17"/>
      <c r="AU321" s="37"/>
      <c r="AV321" s="37"/>
      <c r="AW321" s="38"/>
      <c r="AX321" s="37"/>
      <c r="AY321" s="38"/>
      <c r="AZ321" s="34" t="str">
        <f aca="false">IF($E321="","",COUNTA($E321,$F321,$G321,$J321,$L321,$Q321,$U321,$X321,$AM321,$AN321,$AP321,$AR321)/12)</f>
        <v/>
      </c>
      <c r="BA321" s="32" t="str">
        <f aca="false">IF($E321="","",IF(COUNTIF($E$3:$E$402,$E321)&gt;1,"DUPLICATE",""))</f>
        <v/>
      </c>
      <c r="BB321" s="17"/>
      <c r="BC321" s="35" t="str">
        <f aca="false">IF($E321="","",IFERROR(INDEX(SCORING!$C$6:$C$15,MATCH($J321,SCORING!$B$6:$B$15,0)),0)+IFERROR(INDEX(SCORING!$C$18:$C$20,MATCH($U321,SCORING!$B$18:$B$20,0)),0)+IFERROR(INDEX(SCORING!$C$23:$C$26,MATCH($X321,SCORING!$B$23:$B$26,0)),0)+IFERROR(INDEX(SCORING!$C$29:$C$32,MATCH($Q321,SCORING!$B$29:$B$32,0)),0)+IFERROR(INDEX(SCORING!$C$35:$C$37,MATCH($L321,SCORING!$B$35:$B$37,0)),0)+IF($AP321="",0,IF(AND($AQ321="Valid",$AO321="Decision maker"),SCORING!$C$40,IF($AQ321="Valid",SCORING!$C$41,SCORING!$C$42))))</f>
        <v/>
      </c>
      <c r="BD321" s="36" t="str">
        <f aca="false">IF($BC321="","",IF($BC321&gt;=SCORING!$C$46,"A",IF($BC321&gt;=SCORING!$C$47,"B",IF($BC321&gt;=SCORING!$C$48,"C","D"))))</f>
        <v/>
      </c>
      <c r="BE321" s="37"/>
    </row>
    <row r="322" customFormat="false" ht="15" hidden="false" customHeight="false" outlineLevel="0" collapsed="false">
      <c r="A322" s="37"/>
      <c r="B322" s="38"/>
      <c r="C322" s="37"/>
      <c r="D322" s="37"/>
      <c r="E322" s="17"/>
      <c r="F322" s="17"/>
      <c r="G322" s="37"/>
      <c r="H322" s="32" t="str">
        <f aca="false">IF($G322="","",IFERROR(INDEX(LISTS!$P$3:$P$145,MATCH($G322,LISTS!$O$3:$O$145,0)),"Other"))</f>
        <v/>
      </c>
      <c r="I322" s="37"/>
      <c r="J322" s="17"/>
      <c r="K322" s="17"/>
      <c r="L322" s="37"/>
      <c r="M322" s="37"/>
      <c r="N322" s="39"/>
      <c r="O322" s="37"/>
      <c r="P322" s="39"/>
      <c r="Q322" s="37"/>
      <c r="R322" s="39"/>
      <c r="S322" s="17"/>
      <c r="T322" s="17"/>
      <c r="U322" s="37"/>
      <c r="V322" s="37"/>
      <c r="W322" s="17"/>
      <c r="X322" s="37"/>
      <c r="Y322" s="17"/>
      <c r="Z322" s="39"/>
      <c r="AA322" s="39"/>
      <c r="AB322" s="37"/>
      <c r="AC322" s="37"/>
      <c r="AD322" s="38"/>
      <c r="AE322" s="37"/>
      <c r="AF322" s="37"/>
      <c r="AG322" s="37"/>
      <c r="AH322" s="37"/>
      <c r="AI322" s="17"/>
      <c r="AJ322" s="37"/>
      <c r="AK322" s="17"/>
      <c r="AL322" s="39"/>
      <c r="AM322" s="17"/>
      <c r="AN322" s="17"/>
      <c r="AO322" s="37"/>
      <c r="AP322" s="17"/>
      <c r="AQ322" s="37"/>
      <c r="AR322" s="37"/>
      <c r="AS322" s="37"/>
      <c r="AT322" s="17"/>
      <c r="AU322" s="37"/>
      <c r="AV322" s="37"/>
      <c r="AW322" s="38"/>
      <c r="AX322" s="37"/>
      <c r="AY322" s="38"/>
      <c r="AZ322" s="34" t="str">
        <f aca="false">IF($E322="","",COUNTA($E322,$F322,$G322,$J322,$L322,$Q322,$U322,$X322,$AM322,$AN322,$AP322,$AR322)/12)</f>
        <v/>
      </c>
      <c r="BA322" s="32" t="str">
        <f aca="false">IF($E322="","",IF(COUNTIF($E$3:$E$402,$E322)&gt;1,"DUPLICATE",""))</f>
        <v/>
      </c>
      <c r="BB322" s="17"/>
      <c r="BC322" s="35" t="str">
        <f aca="false">IF($E322="","",IFERROR(INDEX(SCORING!$C$6:$C$15,MATCH($J322,SCORING!$B$6:$B$15,0)),0)+IFERROR(INDEX(SCORING!$C$18:$C$20,MATCH($U322,SCORING!$B$18:$B$20,0)),0)+IFERROR(INDEX(SCORING!$C$23:$C$26,MATCH($X322,SCORING!$B$23:$B$26,0)),0)+IFERROR(INDEX(SCORING!$C$29:$C$32,MATCH($Q322,SCORING!$B$29:$B$32,0)),0)+IFERROR(INDEX(SCORING!$C$35:$C$37,MATCH($L322,SCORING!$B$35:$B$37,0)),0)+IF($AP322="",0,IF(AND($AQ322="Valid",$AO322="Decision maker"),SCORING!$C$40,IF($AQ322="Valid",SCORING!$C$41,SCORING!$C$42))))</f>
        <v/>
      </c>
      <c r="BD322" s="36" t="str">
        <f aca="false">IF($BC322="","",IF($BC322&gt;=SCORING!$C$46,"A",IF($BC322&gt;=SCORING!$C$47,"B",IF($BC322&gt;=SCORING!$C$48,"C","D"))))</f>
        <v/>
      </c>
      <c r="BE322" s="37"/>
    </row>
    <row r="323" customFormat="false" ht="15" hidden="false" customHeight="false" outlineLevel="0" collapsed="false">
      <c r="A323" s="37"/>
      <c r="B323" s="38"/>
      <c r="C323" s="37"/>
      <c r="D323" s="37"/>
      <c r="E323" s="17"/>
      <c r="F323" s="17"/>
      <c r="G323" s="37"/>
      <c r="H323" s="32" t="str">
        <f aca="false">IF($G323="","",IFERROR(INDEX(LISTS!$P$3:$P$145,MATCH($G323,LISTS!$O$3:$O$145,0)),"Other"))</f>
        <v/>
      </c>
      <c r="I323" s="37"/>
      <c r="J323" s="17"/>
      <c r="K323" s="17"/>
      <c r="L323" s="37"/>
      <c r="M323" s="37"/>
      <c r="N323" s="39"/>
      <c r="O323" s="37"/>
      <c r="P323" s="39"/>
      <c r="Q323" s="37"/>
      <c r="R323" s="39"/>
      <c r="S323" s="17"/>
      <c r="T323" s="17"/>
      <c r="U323" s="37"/>
      <c r="V323" s="37"/>
      <c r="W323" s="17"/>
      <c r="X323" s="37"/>
      <c r="Y323" s="17"/>
      <c r="Z323" s="39"/>
      <c r="AA323" s="39"/>
      <c r="AB323" s="37"/>
      <c r="AC323" s="37"/>
      <c r="AD323" s="38"/>
      <c r="AE323" s="37"/>
      <c r="AF323" s="37"/>
      <c r="AG323" s="37"/>
      <c r="AH323" s="37"/>
      <c r="AI323" s="17"/>
      <c r="AJ323" s="37"/>
      <c r="AK323" s="17"/>
      <c r="AL323" s="39"/>
      <c r="AM323" s="17"/>
      <c r="AN323" s="17"/>
      <c r="AO323" s="37"/>
      <c r="AP323" s="17"/>
      <c r="AQ323" s="37"/>
      <c r="AR323" s="37"/>
      <c r="AS323" s="37"/>
      <c r="AT323" s="17"/>
      <c r="AU323" s="37"/>
      <c r="AV323" s="37"/>
      <c r="AW323" s="38"/>
      <c r="AX323" s="37"/>
      <c r="AY323" s="38"/>
      <c r="AZ323" s="34" t="str">
        <f aca="false">IF($E323="","",COUNTA($E323,$F323,$G323,$J323,$L323,$Q323,$U323,$X323,$AM323,$AN323,$AP323,$AR323)/12)</f>
        <v/>
      </c>
      <c r="BA323" s="32" t="str">
        <f aca="false">IF($E323="","",IF(COUNTIF($E$3:$E$402,$E323)&gt;1,"DUPLICATE",""))</f>
        <v/>
      </c>
      <c r="BB323" s="17"/>
      <c r="BC323" s="35" t="str">
        <f aca="false">IF($E323="","",IFERROR(INDEX(SCORING!$C$6:$C$15,MATCH($J323,SCORING!$B$6:$B$15,0)),0)+IFERROR(INDEX(SCORING!$C$18:$C$20,MATCH($U323,SCORING!$B$18:$B$20,0)),0)+IFERROR(INDEX(SCORING!$C$23:$C$26,MATCH($X323,SCORING!$B$23:$B$26,0)),0)+IFERROR(INDEX(SCORING!$C$29:$C$32,MATCH($Q323,SCORING!$B$29:$B$32,0)),0)+IFERROR(INDEX(SCORING!$C$35:$C$37,MATCH($L323,SCORING!$B$35:$B$37,0)),0)+IF($AP323="",0,IF(AND($AQ323="Valid",$AO323="Decision maker"),SCORING!$C$40,IF($AQ323="Valid",SCORING!$C$41,SCORING!$C$42))))</f>
        <v/>
      </c>
      <c r="BD323" s="36" t="str">
        <f aca="false">IF($BC323="","",IF($BC323&gt;=SCORING!$C$46,"A",IF($BC323&gt;=SCORING!$C$47,"B",IF($BC323&gt;=SCORING!$C$48,"C","D"))))</f>
        <v/>
      </c>
      <c r="BE323" s="37"/>
    </row>
    <row r="324" customFormat="false" ht="15" hidden="false" customHeight="false" outlineLevel="0" collapsed="false">
      <c r="A324" s="37"/>
      <c r="B324" s="38"/>
      <c r="C324" s="37"/>
      <c r="D324" s="37"/>
      <c r="E324" s="17"/>
      <c r="F324" s="17"/>
      <c r="G324" s="37"/>
      <c r="H324" s="32" t="str">
        <f aca="false">IF($G324="","",IFERROR(INDEX(LISTS!$P$3:$P$145,MATCH($G324,LISTS!$O$3:$O$145,0)),"Other"))</f>
        <v/>
      </c>
      <c r="I324" s="37"/>
      <c r="J324" s="17"/>
      <c r="K324" s="17"/>
      <c r="L324" s="37"/>
      <c r="M324" s="37"/>
      <c r="N324" s="39"/>
      <c r="O324" s="37"/>
      <c r="P324" s="39"/>
      <c r="Q324" s="37"/>
      <c r="R324" s="39"/>
      <c r="S324" s="17"/>
      <c r="T324" s="17"/>
      <c r="U324" s="37"/>
      <c r="V324" s="37"/>
      <c r="W324" s="17"/>
      <c r="X324" s="37"/>
      <c r="Y324" s="17"/>
      <c r="Z324" s="39"/>
      <c r="AA324" s="39"/>
      <c r="AB324" s="37"/>
      <c r="AC324" s="37"/>
      <c r="AD324" s="38"/>
      <c r="AE324" s="37"/>
      <c r="AF324" s="37"/>
      <c r="AG324" s="37"/>
      <c r="AH324" s="37"/>
      <c r="AI324" s="17"/>
      <c r="AJ324" s="37"/>
      <c r="AK324" s="17"/>
      <c r="AL324" s="39"/>
      <c r="AM324" s="17"/>
      <c r="AN324" s="17"/>
      <c r="AO324" s="37"/>
      <c r="AP324" s="17"/>
      <c r="AQ324" s="37"/>
      <c r="AR324" s="37"/>
      <c r="AS324" s="37"/>
      <c r="AT324" s="17"/>
      <c r="AU324" s="37"/>
      <c r="AV324" s="37"/>
      <c r="AW324" s="38"/>
      <c r="AX324" s="37"/>
      <c r="AY324" s="38"/>
      <c r="AZ324" s="34" t="str">
        <f aca="false">IF($E324="","",COUNTA($E324,$F324,$G324,$J324,$L324,$Q324,$U324,$X324,$AM324,$AN324,$AP324,$AR324)/12)</f>
        <v/>
      </c>
      <c r="BA324" s="32" t="str">
        <f aca="false">IF($E324="","",IF(COUNTIF($E$3:$E$402,$E324)&gt;1,"DUPLICATE",""))</f>
        <v/>
      </c>
      <c r="BB324" s="17"/>
      <c r="BC324" s="35" t="str">
        <f aca="false">IF($E324="","",IFERROR(INDEX(SCORING!$C$6:$C$15,MATCH($J324,SCORING!$B$6:$B$15,0)),0)+IFERROR(INDEX(SCORING!$C$18:$C$20,MATCH($U324,SCORING!$B$18:$B$20,0)),0)+IFERROR(INDEX(SCORING!$C$23:$C$26,MATCH($X324,SCORING!$B$23:$B$26,0)),0)+IFERROR(INDEX(SCORING!$C$29:$C$32,MATCH($Q324,SCORING!$B$29:$B$32,0)),0)+IFERROR(INDEX(SCORING!$C$35:$C$37,MATCH($L324,SCORING!$B$35:$B$37,0)),0)+IF($AP324="",0,IF(AND($AQ324="Valid",$AO324="Decision maker"),SCORING!$C$40,IF($AQ324="Valid",SCORING!$C$41,SCORING!$C$42))))</f>
        <v/>
      </c>
      <c r="BD324" s="36" t="str">
        <f aca="false">IF($BC324="","",IF($BC324&gt;=SCORING!$C$46,"A",IF($BC324&gt;=SCORING!$C$47,"B",IF($BC324&gt;=SCORING!$C$48,"C","D"))))</f>
        <v/>
      </c>
      <c r="BE324" s="37"/>
    </row>
    <row r="325" customFormat="false" ht="15" hidden="false" customHeight="false" outlineLevel="0" collapsed="false">
      <c r="A325" s="37"/>
      <c r="B325" s="38"/>
      <c r="C325" s="37"/>
      <c r="D325" s="37"/>
      <c r="E325" s="17"/>
      <c r="F325" s="17"/>
      <c r="G325" s="37"/>
      <c r="H325" s="32" t="str">
        <f aca="false">IF($G325="","",IFERROR(INDEX(LISTS!$P$3:$P$145,MATCH($G325,LISTS!$O$3:$O$145,0)),"Other"))</f>
        <v/>
      </c>
      <c r="I325" s="37"/>
      <c r="J325" s="17"/>
      <c r="K325" s="17"/>
      <c r="L325" s="37"/>
      <c r="M325" s="37"/>
      <c r="N325" s="39"/>
      <c r="O325" s="37"/>
      <c r="P325" s="39"/>
      <c r="Q325" s="37"/>
      <c r="R325" s="39"/>
      <c r="S325" s="17"/>
      <c r="T325" s="17"/>
      <c r="U325" s="37"/>
      <c r="V325" s="37"/>
      <c r="W325" s="17"/>
      <c r="X325" s="37"/>
      <c r="Y325" s="17"/>
      <c r="Z325" s="39"/>
      <c r="AA325" s="39"/>
      <c r="AB325" s="37"/>
      <c r="AC325" s="37"/>
      <c r="AD325" s="38"/>
      <c r="AE325" s="37"/>
      <c r="AF325" s="37"/>
      <c r="AG325" s="37"/>
      <c r="AH325" s="37"/>
      <c r="AI325" s="17"/>
      <c r="AJ325" s="37"/>
      <c r="AK325" s="17"/>
      <c r="AL325" s="39"/>
      <c r="AM325" s="17"/>
      <c r="AN325" s="17"/>
      <c r="AO325" s="37"/>
      <c r="AP325" s="17"/>
      <c r="AQ325" s="37"/>
      <c r="AR325" s="37"/>
      <c r="AS325" s="37"/>
      <c r="AT325" s="17"/>
      <c r="AU325" s="37"/>
      <c r="AV325" s="37"/>
      <c r="AW325" s="38"/>
      <c r="AX325" s="37"/>
      <c r="AY325" s="38"/>
      <c r="AZ325" s="34" t="str">
        <f aca="false">IF($E325="","",COUNTA($E325,$F325,$G325,$J325,$L325,$Q325,$U325,$X325,$AM325,$AN325,$AP325,$AR325)/12)</f>
        <v/>
      </c>
      <c r="BA325" s="32" t="str">
        <f aca="false">IF($E325="","",IF(COUNTIF($E$3:$E$402,$E325)&gt;1,"DUPLICATE",""))</f>
        <v/>
      </c>
      <c r="BB325" s="17"/>
      <c r="BC325" s="35" t="str">
        <f aca="false">IF($E325="","",IFERROR(INDEX(SCORING!$C$6:$C$15,MATCH($J325,SCORING!$B$6:$B$15,0)),0)+IFERROR(INDEX(SCORING!$C$18:$C$20,MATCH($U325,SCORING!$B$18:$B$20,0)),0)+IFERROR(INDEX(SCORING!$C$23:$C$26,MATCH($X325,SCORING!$B$23:$B$26,0)),0)+IFERROR(INDEX(SCORING!$C$29:$C$32,MATCH($Q325,SCORING!$B$29:$B$32,0)),0)+IFERROR(INDEX(SCORING!$C$35:$C$37,MATCH($L325,SCORING!$B$35:$B$37,0)),0)+IF($AP325="",0,IF(AND($AQ325="Valid",$AO325="Decision maker"),SCORING!$C$40,IF($AQ325="Valid",SCORING!$C$41,SCORING!$C$42))))</f>
        <v/>
      </c>
      <c r="BD325" s="36" t="str">
        <f aca="false">IF($BC325="","",IF($BC325&gt;=SCORING!$C$46,"A",IF($BC325&gt;=SCORING!$C$47,"B",IF($BC325&gt;=SCORING!$C$48,"C","D"))))</f>
        <v/>
      </c>
      <c r="BE325" s="37"/>
    </row>
    <row r="326" customFormat="false" ht="15" hidden="false" customHeight="false" outlineLevel="0" collapsed="false">
      <c r="A326" s="37"/>
      <c r="B326" s="38"/>
      <c r="C326" s="37"/>
      <c r="D326" s="37"/>
      <c r="E326" s="17"/>
      <c r="F326" s="17"/>
      <c r="G326" s="37"/>
      <c r="H326" s="32" t="str">
        <f aca="false">IF($G326="","",IFERROR(INDEX(LISTS!$P$3:$P$145,MATCH($G326,LISTS!$O$3:$O$145,0)),"Other"))</f>
        <v/>
      </c>
      <c r="I326" s="37"/>
      <c r="J326" s="17"/>
      <c r="K326" s="17"/>
      <c r="L326" s="37"/>
      <c r="M326" s="37"/>
      <c r="N326" s="39"/>
      <c r="O326" s="37"/>
      <c r="P326" s="39"/>
      <c r="Q326" s="37"/>
      <c r="R326" s="39"/>
      <c r="S326" s="17"/>
      <c r="T326" s="17"/>
      <c r="U326" s="37"/>
      <c r="V326" s="37"/>
      <c r="W326" s="17"/>
      <c r="X326" s="37"/>
      <c r="Y326" s="17"/>
      <c r="Z326" s="39"/>
      <c r="AA326" s="39"/>
      <c r="AB326" s="37"/>
      <c r="AC326" s="37"/>
      <c r="AD326" s="38"/>
      <c r="AE326" s="37"/>
      <c r="AF326" s="37"/>
      <c r="AG326" s="37"/>
      <c r="AH326" s="37"/>
      <c r="AI326" s="17"/>
      <c r="AJ326" s="37"/>
      <c r="AK326" s="17"/>
      <c r="AL326" s="39"/>
      <c r="AM326" s="17"/>
      <c r="AN326" s="17"/>
      <c r="AO326" s="37"/>
      <c r="AP326" s="17"/>
      <c r="AQ326" s="37"/>
      <c r="AR326" s="37"/>
      <c r="AS326" s="37"/>
      <c r="AT326" s="17"/>
      <c r="AU326" s="37"/>
      <c r="AV326" s="37"/>
      <c r="AW326" s="38"/>
      <c r="AX326" s="37"/>
      <c r="AY326" s="38"/>
      <c r="AZ326" s="34" t="str">
        <f aca="false">IF($E326="","",COUNTA($E326,$F326,$G326,$J326,$L326,$Q326,$U326,$X326,$AM326,$AN326,$AP326,$AR326)/12)</f>
        <v/>
      </c>
      <c r="BA326" s="32" t="str">
        <f aca="false">IF($E326="","",IF(COUNTIF($E$3:$E$402,$E326)&gt;1,"DUPLICATE",""))</f>
        <v/>
      </c>
      <c r="BB326" s="17"/>
      <c r="BC326" s="35" t="str">
        <f aca="false">IF($E326="","",IFERROR(INDEX(SCORING!$C$6:$C$15,MATCH($J326,SCORING!$B$6:$B$15,0)),0)+IFERROR(INDEX(SCORING!$C$18:$C$20,MATCH($U326,SCORING!$B$18:$B$20,0)),0)+IFERROR(INDEX(SCORING!$C$23:$C$26,MATCH($X326,SCORING!$B$23:$B$26,0)),0)+IFERROR(INDEX(SCORING!$C$29:$C$32,MATCH($Q326,SCORING!$B$29:$B$32,0)),0)+IFERROR(INDEX(SCORING!$C$35:$C$37,MATCH($L326,SCORING!$B$35:$B$37,0)),0)+IF($AP326="",0,IF(AND($AQ326="Valid",$AO326="Decision maker"),SCORING!$C$40,IF($AQ326="Valid",SCORING!$C$41,SCORING!$C$42))))</f>
        <v/>
      </c>
      <c r="BD326" s="36" t="str">
        <f aca="false">IF($BC326="","",IF($BC326&gt;=SCORING!$C$46,"A",IF($BC326&gt;=SCORING!$C$47,"B",IF($BC326&gt;=SCORING!$C$48,"C","D"))))</f>
        <v/>
      </c>
      <c r="BE326" s="37"/>
    </row>
    <row r="327" customFormat="false" ht="15" hidden="false" customHeight="false" outlineLevel="0" collapsed="false">
      <c r="A327" s="37"/>
      <c r="B327" s="38"/>
      <c r="C327" s="37"/>
      <c r="D327" s="37"/>
      <c r="E327" s="17"/>
      <c r="F327" s="17"/>
      <c r="G327" s="37"/>
      <c r="H327" s="32" t="str">
        <f aca="false">IF($G327="","",IFERROR(INDEX(LISTS!$P$3:$P$145,MATCH($G327,LISTS!$O$3:$O$145,0)),"Other"))</f>
        <v/>
      </c>
      <c r="I327" s="37"/>
      <c r="J327" s="17"/>
      <c r="K327" s="17"/>
      <c r="L327" s="37"/>
      <c r="M327" s="37"/>
      <c r="N327" s="39"/>
      <c r="O327" s="37"/>
      <c r="P327" s="39"/>
      <c r="Q327" s="37"/>
      <c r="R327" s="39"/>
      <c r="S327" s="17"/>
      <c r="T327" s="17"/>
      <c r="U327" s="37"/>
      <c r="V327" s="37"/>
      <c r="W327" s="17"/>
      <c r="X327" s="37"/>
      <c r="Y327" s="17"/>
      <c r="Z327" s="39"/>
      <c r="AA327" s="39"/>
      <c r="AB327" s="37"/>
      <c r="AC327" s="37"/>
      <c r="AD327" s="38"/>
      <c r="AE327" s="37"/>
      <c r="AF327" s="37"/>
      <c r="AG327" s="37"/>
      <c r="AH327" s="37"/>
      <c r="AI327" s="17"/>
      <c r="AJ327" s="37"/>
      <c r="AK327" s="17"/>
      <c r="AL327" s="39"/>
      <c r="AM327" s="17"/>
      <c r="AN327" s="17"/>
      <c r="AO327" s="37"/>
      <c r="AP327" s="17"/>
      <c r="AQ327" s="37"/>
      <c r="AR327" s="37"/>
      <c r="AS327" s="37"/>
      <c r="AT327" s="17"/>
      <c r="AU327" s="37"/>
      <c r="AV327" s="37"/>
      <c r="AW327" s="38"/>
      <c r="AX327" s="37"/>
      <c r="AY327" s="38"/>
      <c r="AZ327" s="34" t="str">
        <f aca="false">IF($E327="","",COUNTA($E327,$F327,$G327,$J327,$L327,$Q327,$U327,$X327,$AM327,$AN327,$AP327,$AR327)/12)</f>
        <v/>
      </c>
      <c r="BA327" s="32" t="str">
        <f aca="false">IF($E327="","",IF(COUNTIF($E$3:$E$402,$E327)&gt;1,"DUPLICATE",""))</f>
        <v/>
      </c>
      <c r="BB327" s="17"/>
      <c r="BC327" s="35" t="str">
        <f aca="false">IF($E327="","",IFERROR(INDEX(SCORING!$C$6:$C$15,MATCH($J327,SCORING!$B$6:$B$15,0)),0)+IFERROR(INDEX(SCORING!$C$18:$C$20,MATCH($U327,SCORING!$B$18:$B$20,0)),0)+IFERROR(INDEX(SCORING!$C$23:$C$26,MATCH($X327,SCORING!$B$23:$B$26,0)),0)+IFERROR(INDEX(SCORING!$C$29:$C$32,MATCH($Q327,SCORING!$B$29:$B$32,0)),0)+IFERROR(INDEX(SCORING!$C$35:$C$37,MATCH($L327,SCORING!$B$35:$B$37,0)),0)+IF($AP327="",0,IF(AND($AQ327="Valid",$AO327="Decision maker"),SCORING!$C$40,IF($AQ327="Valid",SCORING!$C$41,SCORING!$C$42))))</f>
        <v/>
      </c>
      <c r="BD327" s="36" t="str">
        <f aca="false">IF($BC327="","",IF($BC327&gt;=SCORING!$C$46,"A",IF($BC327&gt;=SCORING!$C$47,"B",IF($BC327&gt;=SCORING!$C$48,"C","D"))))</f>
        <v/>
      </c>
      <c r="BE327" s="37"/>
    </row>
    <row r="328" customFormat="false" ht="15" hidden="false" customHeight="false" outlineLevel="0" collapsed="false">
      <c r="A328" s="37"/>
      <c r="B328" s="38"/>
      <c r="C328" s="37"/>
      <c r="D328" s="37"/>
      <c r="E328" s="17"/>
      <c r="F328" s="17"/>
      <c r="G328" s="37"/>
      <c r="H328" s="32" t="str">
        <f aca="false">IF($G328="","",IFERROR(INDEX(LISTS!$P$3:$P$145,MATCH($G328,LISTS!$O$3:$O$145,0)),"Other"))</f>
        <v/>
      </c>
      <c r="I328" s="37"/>
      <c r="J328" s="17"/>
      <c r="K328" s="17"/>
      <c r="L328" s="37"/>
      <c r="M328" s="37"/>
      <c r="N328" s="39"/>
      <c r="O328" s="37"/>
      <c r="P328" s="39"/>
      <c r="Q328" s="37"/>
      <c r="R328" s="39"/>
      <c r="S328" s="17"/>
      <c r="T328" s="17"/>
      <c r="U328" s="37"/>
      <c r="V328" s="37"/>
      <c r="W328" s="17"/>
      <c r="X328" s="37"/>
      <c r="Y328" s="17"/>
      <c r="Z328" s="39"/>
      <c r="AA328" s="39"/>
      <c r="AB328" s="37"/>
      <c r="AC328" s="37"/>
      <c r="AD328" s="38"/>
      <c r="AE328" s="37"/>
      <c r="AF328" s="37"/>
      <c r="AG328" s="37"/>
      <c r="AH328" s="37"/>
      <c r="AI328" s="17"/>
      <c r="AJ328" s="37"/>
      <c r="AK328" s="17"/>
      <c r="AL328" s="39"/>
      <c r="AM328" s="17"/>
      <c r="AN328" s="17"/>
      <c r="AO328" s="37"/>
      <c r="AP328" s="17"/>
      <c r="AQ328" s="37"/>
      <c r="AR328" s="37"/>
      <c r="AS328" s="37"/>
      <c r="AT328" s="17"/>
      <c r="AU328" s="37"/>
      <c r="AV328" s="37"/>
      <c r="AW328" s="38"/>
      <c r="AX328" s="37"/>
      <c r="AY328" s="38"/>
      <c r="AZ328" s="34" t="str">
        <f aca="false">IF($E328="","",COUNTA($E328,$F328,$G328,$J328,$L328,$Q328,$U328,$X328,$AM328,$AN328,$AP328,$AR328)/12)</f>
        <v/>
      </c>
      <c r="BA328" s="32" t="str">
        <f aca="false">IF($E328="","",IF(COUNTIF($E$3:$E$402,$E328)&gt;1,"DUPLICATE",""))</f>
        <v/>
      </c>
      <c r="BB328" s="17"/>
      <c r="BC328" s="35" t="str">
        <f aca="false">IF($E328="","",IFERROR(INDEX(SCORING!$C$6:$C$15,MATCH($J328,SCORING!$B$6:$B$15,0)),0)+IFERROR(INDEX(SCORING!$C$18:$C$20,MATCH($U328,SCORING!$B$18:$B$20,0)),0)+IFERROR(INDEX(SCORING!$C$23:$C$26,MATCH($X328,SCORING!$B$23:$B$26,0)),0)+IFERROR(INDEX(SCORING!$C$29:$C$32,MATCH($Q328,SCORING!$B$29:$B$32,0)),0)+IFERROR(INDEX(SCORING!$C$35:$C$37,MATCH($L328,SCORING!$B$35:$B$37,0)),0)+IF($AP328="",0,IF(AND($AQ328="Valid",$AO328="Decision maker"),SCORING!$C$40,IF($AQ328="Valid",SCORING!$C$41,SCORING!$C$42))))</f>
        <v/>
      </c>
      <c r="BD328" s="36" t="str">
        <f aca="false">IF($BC328="","",IF($BC328&gt;=SCORING!$C$46,"A",IF($BC328&gt;=SCORING!$C$47,"B",IF($BC328&gt;=SCORING!$C$48,"C","D"))))</f>
        <v/>
      </c>
      <c r="BE328" s="37"/>
    </row>
    <row r="329" customFormat="false" ht="15" hidden="false" customHeight="false" outlineLevel="0" collapsed="false">
      <c r="A329" s="37"/>
      <c r="B329" s="38"/>
      <c r="C329" s="37"/>
      <c r="D329" s="37"/>
      <c r="E329" s="17"/>
      <c r="F329" s="17"/>
      <c r="G329" s="37"/>
      <c r="H329" s="32" t="str">
        <f aca="false">IF($G329="","",IFERROR(INDEX(LISTS!$P$3:$P$145,MATCH($G329,LISTS!$O$3:$O$145,0)),"Other"))</f>
        <v/>
      </c>
      <c r="I329" s="37"/>
      <c r="J329" s="17"/>
      <c r="K329" s="17"/>
      <c r="L329" s="37"/>
      <c r="M329" s="37"/>
      <c r="N329" s="39"/>
      <c r="O329" s="37"/>
      <c r="P329" s="39"/>
      <c r="Q329" s="37"/>
      <c r="R329" s="39"/>
      <c r="S329" s="17"/>
      <c r="T329" s="17"/>
      <c r="U329" s="37"/>
      <c r="V329" s="37"/>
      <c r="W329" s="17"/>
      <c r="X329" s="37"/>
      <c r="Y329" s="17"/>
      <c r="Z329" s="39"/>
      <c r="AA329" s="39"/>
      <c r="AB329" s="37"/>
      <c r="AC329" s="37"/>
      <c r="AD329" s="38"/>
      <c r="AE329" s="37"/>
      <c r="AF329" s="37"/>
      <c r="AG329" s="37"/>
      <c r="AH329" s="37"/>
      <c r="AI329" s="17"/>
      <c r="AJ329" s="37"/>
      <c r="AK329" s="17"/>
      <c r="AL329" s="39"/>
      <c r="AM329" s="17"/>
      <c r="AN329" s="17"/>
      <c r="AO329" s="37"/>
      <c r="AP329" s="17"/>
      <c r="AQ329" s="37"/>
      <c r="AR329" s="37"/>
      <c r="AS329" s="37"/>
      <c r="AT329" s="17"/>
      <c r="AU329" s="37"/>
      <c r="AV329" s="37"/>
      <c r="AW329" s="38"/>
      <c r="AX329" s="37"/>
      <c r="AY329" s="38"/>
      <c r="AZ329" s="34" t="str">
        <f aca="false">IF($E329="","",COUNTA($E329,$F329,$G329,$J329,$L329,$Q329,$U329,$X329,$AM329,$AN329,$AP329,$AR329)/12)</f>
        <v/>
      </c>
      <c r="BA329" s="32" t="str">
        <f aca="false">IF($E329="","",IF(COUNTIF($E$3:$E$402,$E329)&gt;1,"DUPLICATE",""))</f>
        <v/>
      </c>
      <c r="BB329" s="17"/>
      <c r="BC329" s="35" t="str">
        <f aca="false">IF($E329="","",IFERROR(INDEX(SCORING!$C$6:$C$15,MATCH($J329,SCORING!$B$6:$B$15,0)),0)+IFERROR(INDEX(SCORING!$C$18:$C$20,MATCH($U329,SCORING!$B$18:$B$20,0)),0)+IFERROR(INDEX(SCORING!$C$23:$C$26,MATCH($X329,SCORING!$B$23:$B$26,0)),0)+IFERROR(INDEX(SCORING!$C$29:$C$32,MATCH($Q329,SCORING!$B$29:$B$32,0)),0)+IFERROR(INDEX(SCORING!$C$35:$C$37,MATCH($L329,SCORING!$B$35:$B$37,0)),0)+IF($AP329="",0,IF(AND($AQ329="Valid",$AO329="Decision maker"),SCORING!$C$40,IF($AQ329="Valid",SCORING!$C$41,SCORING!$C$42))))</f>
        <v/>
      </c>
      <c r="BD329" s="36" t="str">
        <f aca="false">IF($BC329="","",IF($BC329&gt;=SCORING!$C$46,"A",IF($BC329&gt;=SCORING!$C$47,"B",IF($BC329&gt;=SCORING!$C$48,"C","D"))))</f>
        <v/>
      </c>
      <c r="BE329" s="37"/>
    </row>
    <row r="330" customFormat="false" ht="15" hidden="false" customHeight="false" outlineLevel="0" collapsed="false">
      <c r="A330" s="37"/>
      <c r="B330" s="38"/>
      <c r="C330" s="37"/>
      <c r="D330" s="37"/>
      <c r="E330" s="17"/>
      <c r="F330" s="17"/>
      <c r="G330" s="37"/>
      <c r="H330" s="32" t="str">
        <f aca="false">IF($G330="","",IFERROR(INDEX(LISTS!$P$3:$P$145,MATCH($G330,LISTS!$O$3:$O$145,0)),"Other"))</f>
        <v/>
      </c>
      <c r="I330" s="37"/>
      <c r="J330" s="17"/>
      <c r="K330" s="17"/>
      <c r="L330" s="37"/>
      <c r="M330" s="37"/>
      <c r="N330" s="39"/>
      <c r="O330" s="37"/>
      <c r="P330" s="39"/>
      <c r="Q330" s="37"/>
      <c r="R330" s="39"/>
      <c r="S330" s="17"/>
      <c r="T330" s="17"/>
      <c r="U330" s="37"/>
      <c r="V330" s="37"/>
      <c r="W330" s="17"/>
      <c r="X330" s="37"/>
      <c r="Y330" s="17"/>
      <c r="Z330" s="39"/>
      <c r="AA330" s="39"/>
      <c r="AB330" s="37"/>
      <c r="AC330" s="37"/>
      <c r="AD330" s="38"/>
      <c r="AE330" s="37"/>
      <c r="AF330" s="37"/>
      <c r="AG330" s="37"/>
      <c r="AH330" s="37"/>
      <c r="AI330" s="17"/>
      <c r="AJ330" s="37"/>
      <c r="AK330" s="17"/>
      <c r="AL330" s="39"/>
      <c r="AM330" s="17"/>
      <c r="AN330" s="17"/>
      <c r="AO330" s="37"/>
      <c r="AP330" s="17"/>
      <c r="AQ330" s="37"/>
      <c r="AR330" s="37"/>
      <c r="AS330" s="37"/>
      <c r="AT330" s="17"/>
      <c r="AU330" s="37"/>
      <c r="AV330" s="37"/>
      <c r="AW330" s="38"/>
      <c r="AX330" s="37"/>
      <c r="AY330" s="38"/>
      <c r="AZ330" s="34" t="str">
        <f aca="false">IF($E330="","",COUNTA($E330,$F330,$G330,$J330,$L330,$Q330,$U330,$X330,$AM330,$AN330,$AP330,$AR330)/12)</f>
        <v/>
      </c>
      <c r="BA330" s="32" t="str">
        <f aca="false">IF($E330="","",IF(COUNTIF($E$3:$E$402,$E330)&gt;1,"DUPLICATE",""))</f>
        <v/>
      </c>
      <c r="BB330" s="17"/>
      <c r="BC330" s="35" t="str">
        <f aca="false">IF($E330="","",IFERROR(INDEX(SCORING!$C$6:$C$15,MATCH($J330,SCORING!$B$6:$B$15,0)),0)+IFERROR(INDEX(SCORING!$C$18:$C$20,MATCH($U330,SCORING!$B$18:$B$20,0)),0)+IFERROR(INDEX(SCORING!$C$23:$C$26,MATCH($X330,SCORING!$B$23:$B$26,0)),0)+IFERROR(INDEX(SCORING!$C$29:$C$32,MATCH($Q330,SCORING!$B$29:$B$32,0)),0)+IFERROR(INDEX(SCORING!$C$35:$C$37,MATCH($L330,SCORING!$B$35:$B$37,0)),0)+IF($AP330="",0,IF(AND($AQ330="Valid",$AO330="Decision maker"),SCORING!$C$40,IF($AQ330="Valid",SCORING!$C$41,SCORING!$C$42))))</f>
        <v/>
      </c>
      <c r="BD330" s="36" t="str">
        <f aca="false">IF($BC330="","",IF($BC330&gt;=SCORING!$C$46,"A",IF($BC330&gt;=SCORING!$C$47,"B",IF($BC330&gt;=SCORING!$C$48,"C","D"))))</f>
        <v/>
      </c>
      <c r="BE330" s="37"/>
    </row>
    <row r="331" customFormat="false" ht="15" hidden="false" customHeight="false" outlineLevel="0" collapsed="false">
      <c r="A331" s="37"/>
      <c r="B331" s="38"/>
      <c r="C331" s="37"/>
      <c r="D331" s="37"/>
      <c r="E331" s="17"/>
      <c r="F331" s="17"/>
      <c r="G331" s="37"/>
      <c r="H331" s="32" t="str">
        <f aca="false">IF($G331="","",IFERROR(INDEX(LISTS!$P$3:$P$145,MATCH($G331,LISTS!$O$3:$O$145,0)),"Other"))</f>
        <v/>
      </c>
      <c r="I331" s="37"/>
      <c r="J331" s="17"/>
      <c r="K331" s="17"/>
      <c r="L331" s="37"/>
      <c r="M331" s="37"/>
      <c r="N331" s="39"/>
      <c r="O331" s="37"/>
      <c r="P331" s="39"/>
      <c r="Q331" s="37"/>
      <c r="R331" s="39"/>
      <c r="S331" s="17"/>
      <c r="T331" s="17"/>
      <c r="U331" s="37"/>
      <c r="V331" s="37"/>
      <c r="W331" s="17"/>
      <c r="X331" s="37"/>
      <c r="Y331" s="17"/>
      <c r="Z331" s="39"/>
      <c r="AA331" s="39"/>
      <c r="AB331" s="37"/>
      <c r="AC331" s="37"/>
      <c r="AD331" s="38"/>
      <c r="AE331" s="37"/>
      <c r="AF331" s="37"/>
      <c r="AG331" s="37"/>
      <c r="AH331" s="37"/>
      <c r="AI331" s="17"/>
      <c r="AJ331" s="37"/>
      <c r="AK331" s="17"/>
      <c r="AL331" s="39"/>
      <c r="AM331" s="17"/>
      <c r="AN331" s="17"/>
      <c r="AO331" s="37"/>
      <c r="AP331" s="17"/>
      <c r="AQ331" s="37"/>
      <c r="AR331" s="37"/>
      <c r="AS331" s="37"/>
      <c r="AT331" s="17"/>
      <c r="AU331" s="37"/>
      <c r="AV331" s="37"/>
      <c r="AW331" s="38"/>
      <c r="AX331" s="37"/>
      <c r="AY331" s="38"/>
      <c r="AZ331" s="34" t="str">
        <f aca="false">IF($E331="","",COUNTA($E331,$F331,$G331,$J331,$L331,$Q331,$U331,$X331,$AM331,$AN331,$AP331,$AR331)/12)</f>
        <v/>
      </c>
      <c r="BA331" s="32" t="str">
        <f aca="false">IF($E331="","",IF(COUNTIF($E$3:$E$402,$E331)&gt;1,"DUPLICATE",""))</f>
        <v/>
      </c>
      <c r="BB331" s="17"/>
      <c r="BC331" s="35" t="str">
        <f aca="false">IF($E331="","",IFERROR(INDEX(SCORING!$C$6:$C$15,MATCH($J331,SCORING!$B$6:$B$15,0)),0)+IFERROR(INDEX(SCORING!$C$18:$C$20,MATCH($U331,SCORING!$B$18:$B$20,0)),0)+IFERROR(INDEX(SCORING!$C$23:$C$26,MATCH($X331,SCORING!$B$23:$B$26,0)),0)+IFERROR(INDEX(SCORING!$C$29:$C$32,MATCH($Q331,SCORING!$B$29:$B$32,0)),0)+IFERROR(INDEX(SCORING!$C$35:$C$37,MATCH($L331,SCORING!$B$35:$B$37,0)),0)+IF($AP331="",0,IF(AND($AQ331="Valid",$AO331="Decision maker"),SCORING!$C$40,IF($AQ331="Valid",SCORING!$C$41,SCORING!$C$42))))</f>
        <v/>
      </c>
      <c r="BD331" s="36" t="str">
        <f aca="false">IF($BC331="","",IF($BC331&gt;=SCORING!$C$46,"A",IF($BC331&gt;=SCORING!$C$47,"B",IF($BC331&gt;=SCORING!$C$48,"C","D"))))</f>
        <v/>
      </c>
      <c r="BE331" s="37"/>
    </row>
    <row r="332" customFormat="false" ht="15" hidden="false" customHeight="false" outlineLevel="0" collapsed="false">
      <c r="A332" s="37"/>
      <c r="B332" s="38"/>
      <c r="C332" s="37"/>
      <c r="D332" s="37"/>
      <c r="E332" s="17"/>
      <c r="F332" s="17"/>
      <c r="G332" s="37"/>
      <c r="H332" s="32" t="str">
        <f aca="false">IF($G332="","",IFERROR(INDEX(LISTS!$P$3:$P$145,MATCH($G332,LISTS!$O$3:$O$145,0)),"Other"))</f>
        <v/>
      </c>
      <c r="I332" s="37"/>
      <c r="J332" s="17"/>
      <c r="K332" s="17"/>
      <c r="L332" s="37"/>
      <c r="M332" s="37"/>
      <c r="N332" s="39"/>
      <c r="O332" s="37"/>
      <c r="P332" s="39"/>
      <c r="Q332" s="37"/>
      <c r="R332" s="39"/>
      <c r="S332" s="17"/>
      <c r="T332" s="17"/>
      <c r="U332" s="37"/>
      <c r="V332" s="37"/>
      <c r="W332" s="17"/>
      <c r="X332" s="37"/>
      <c r="Y332" s="17"/>
      <c r="Z332" s="39"/>
      <c r="AA332" s="39"/>
      <c r="AB332" s="37"/>
      <c r="AC332" s="37"/>
      <c r="AD332" s="38"/>
      <c r="AE332" s="37"/>
      <c r="AF332" s="37"/>
      <c r="AG332" s="37"/>
      <c r="AH332" s="37"/>
      <c r="AI332" s="17"/>
      <c r="AJ332" s="37"/>
      <c r="AK332" s="17"/>
      <c r="AL332" s="39"/>
      <c r="AM332" s="17"/>
      <c r="AN332" s="17"/>
      <c r="AO332" s="37"/>
      <c r="AP332" s="17"/>
      <c r="AQ332" s="37"/>
      <c r="AR332" s="37"/>
      <c r="AS332" s="37"/>
      <c r="AT332" s="17"/>
      <c r="AU332" s="37"/>
      <c r="AV332" s="37"/>
      <c r="AW332" s="38"/>
      <c r="AX332" s="37"/>
      <c r="AY332" s="38"/>
      <c r="AZ332" s="34" t="str">
        <f aca="false">IF($E332="","",COUNTA($E332,$F332,$G332,$J332,$L332,$Q332,$U332,$X332,$AM332,$AN332,$AP332,$AR332)/12)</f>
        <v/>
      </c>
      <c r="BA332" s="32" t="str">
        <f aca="false">IF($E332="","",IF(COUNTIF($E$3:$E$402,$E332)&gt;1,"DUPLICATE",""))</f>
        <v/>
      </c>
      <c r="BB332" s="17"/>
      <c r="BC332" s="35" t="str">
        <f aca="false">IF($E332="","",IFERROR(INDEX(SCORING!$C$6:$C$15,MATCH($J332,SCORING!$B$6:$B$15,0)),0)+IFERROR(INDEX(SCORING!$C$18:$C$20,MATCH($U332,SCORING!$B$18:$B$20,0)),0)+IFERROR(INDEX(SCORING!$C$23:$C$26,MATCH($X332,SCORING!$B$23:$B$26,0)),0)+IFERROR(INDEX(SCORING!$C$29:$C$32,MATCH($Q332,SCORING!$B$29:$B$32,0)),0)+IFERROR(INDEX(SCORING!$C$35:$C$37,MATCH($L332,SCORING!$B$35:$B$37,0)),0)+IF($AP332="",0,IF(AND($AQ332="Valid",$AO332="Decision maker"),SCORING!$C$40,IF($AQ332="Valid",SCORING!$C$41,SCORING!$C$42))))</f>
        <v/>
      </c>
      <c r="BD332" s="36" t="str">
        <f aca="false">IF($BC332="","",IF($BC332&gt;=SCORING!$C$46,"A",IF($BC332&gt;=SCORING!$C$47,"B",IF($BC332&gt;=SCORING!$C$48,"C","D"))))</f>
        <v/>
      </c>
      <c r="BE332" s="37"/>
    </row>
    <row r="333" customFormat="false" ht="15" hidden="false" customHeight="false" outlineLevel="0" collapsed="false">
      <c r="A333" s="37"/>
      <c r="B333" s="38"/>
      <c r="C333" s="37"/>
      <c r="D333" s="37"/>
      <c r="E333" s="17"/>
      <c r="F333" s="17"/>
      <c r="G333" s="37"/>
      <c r="H333" s="32" t="str">
        <f aca="false">IF($G333="","",IFERROR(INDEX(LISTS!$P$3:$P$145,MATCH($G333,LISTS!$O$3:$O$145,0)),"Other"))</f>
        <v/>
      </c>
      <c r="I333" s="37"/>
      <c r="J333" s="17"/>
      <c r="K333" s="17"/>
      <c r="L333" s="37"/>
      <c r="M333" s="37"/>
      <c r="N333" s="39"/>
      <c r="O333" s="37"/>
      <c r="P333" s="39"/>
      <c r="Q333" s="37"/>
      <c r="R333" s="39"/>
      <c r="S333" s="17"/>
      <c r="T333" s="17"/>
      <c r="U333" s="37"/>
      <c r="V333" s="37"/>
      <c r="W333" s="17"/>
      <c r="X333" s="37"/>
      <c r="Y333" s="17"/>
      <c r="Z333" s="39"/>
      <c r="AA333" s="39"/>
      <c r="AB333" s="37"/>
      <c r="AC333" s="37"/>
      <c r="AD333" s="38"/>
      <c r="AE333" s="37"/>
      <c r="AF333" s="37"/>
      <c r="AG333" s="37"/>
      <c r="AH333" s="37"/>
      <c r="AI333" s="17"/>
      <c r="AJ333" s="37"/>
      <c r="AK333" s="17"/>
      <c r="AL333" s="39"/>
      <c r="AM333" s="17"/>
      <c r="AN333" s="17"/>
      <c r="AO333" s="37"/>
      <c r="AP333" s="17"/>
      <c r="AQ333" s="37"/>
      <c r="AR333" s="37"/>
      <c r="AS333" s="37"/>
      <c r="AT333" s="17"/>
      <c r="AU333" s="37"/>
      <c r="AV333" s="37"/>
      <c r="AW333" s="38"/>
      <c r="AX333" s="37"/>
      <c r="AY333" s="38"/>
      <c r="AZ333" s="34" t="str">
        <f aca="false">IF($E333="","",COUNTA($E333,$F333,$G333,$J333,$L333,$Q333,$U333,$X333,$AM333,$AN333,$AP333,$AR333)/12)</f>
        <v/>
      </c>
      <c r="BA333" s="32" t="str">
        <f aca="false">IF($E333="","",IF(COUNTIF($E$3:$E$402,$E333)&gt;1,"DUPLICATE",""))</f>
        <v/>
      </c>
      <c r="BB333" s="17"/>
      <c r="BC333" s="35" t="str">
        <f aca="false">IF($E333="","",IFERROR(INDEX(SCORING!$C$6:$C$15,MATCH($J333,SCORING!$B$6:$B$15,0)),0)+IFERROR(INDEX(SCORING!$C$18:$C$20,MATCH($U333,SCORING!$B$18:$B$20,0)),0)+IFERROR(INDEX(SCORING!$C$23:$C$26,MATCH($X333,SCORING!$B$23:$B$26,0)),0)+IFERROR(INDEX(SCORING!$C$29:$C$32,MATCH($Q333,SCORING!$B$29:$B$32,0)),0)+IFERROR(INDEX(SCORING!$C$35:$C$37,MATCH($L333,SCORING!$B$35:$B$37,0)),0)+IF($AP333="",0,IF(AND($AQ333="Valid",$AO333="Decision maker"),SCORING!$C$40,IF($AQ333="Valid",SCORING!$C$41,SCORING!$C$42))))</f>
        <v/>
      </c>
      <c r="BD333" s="36" t="str">
        <f aca="false">IF($BC333="","",IF($BC333&gt;=SCORING!$C$46,"A",IF($BC333&gt;=SCORING!$C$47,"B",IF($BC333&gt;=SCORING!$C$48,"C","D"))))</f>
        <v/>
      </c>
      <c r="BE333" s="37"/>
    </row>
    <row r="334" customFormat="false" ht="15" hidden="false" customHeight="false" outlineLevel="0" collapsed="false">
      <c r="A334" s="37"/>
      <c r="B334" s="38"/>
      <c r="C334" s="37"/>
      <c r="D334" s="37"/>
      <c r="E334" s="17"/>
      <c r="F334" s="17"/>
      <c r="G334" s="37"/>
      <c r="H334" s="32" t="str">
        <f aca="false">IF($G334="","",IFERROR(INDEX(LISTS!$P$3:$P$145,MATCH($G334,LISTS!$O$3:$O$145,0)),"Other"))</f>
        <v/>
      </c>
      <c r="I334" s="37"/>
      <c r="J334" s="17"/>
      <c r="K334" s="17"/>
      <c r="L334" s="37"/>
      <c r="M334" s="37"/>
      <c r="N334" s="39"/>
      <c r="O334" s="37"/>
      <c r="P334" s="39"/>
      <c r="Q334" s="37"/>
      <c r="R334" s="39"/>
      <c r="S334" s="17"/>
      <c r="T334" s="17"/>
      <c r="U334" s="37"/>
      <c r="V334" s="37"/>
      <c r="W334" s="17"/>
      <c r="X334" s="37"/>
      <c r="Y334" s="17"/>
      <c r="Z334" s="39"/>
      <c r="AA334" s="39"/>
      <c r="AB334" s="37"/>
      <c r="AC334" s="37"/>
      <c r="AD334" s="38"/>
      <c r="AE334" s="37"/>
      <c r="AF334" s="37"/>
      <c r="AG334" s="37"/>
      <c r="AH334" s="37"/>
      <c r="AI334" s="17"/>
      <c r="AJ334" s="37"/>
      <c r="AK334" s="17"/>
      <c r="AL334" s="39"/>
      <c r="AM334" s="17"/>
      <c r="AN334" s="17"/>
      <c r="AO334" s="37"/>
      <c r="AP334" s="17"/>
      <c r="AQ334" s="37"/>
      <c r="AR334" s="37"/>
      <c r="AS334" s="37"/>
      <c r="AT334" s="17"/>
      <c r="AU334" s="37"/>
      <c r="AV334" s="37"/>
      <c r="AW334" s="38"/>
      <c r="AX334" s="37"/>
      <c r="AY334" s="38"/>
      <c r="AZ334" s="34" t="str">
        <f aca="false">IF($E334="","",COUNTA($E334,$F334,$G334,$J334,$L334,$Q334,$U334,$X334,$AM334,$AN334,$AP334,$AR334)/12)</f>
        <v/>
      </c>
      <c r="BA334" s="32" t="str">
        <f aca="false">IF($E334="","",IF(COUNTIF($E$3:$E$402,$E334)&gt;1,"DUPLICATE",""))</f>
        <v/>
      </c>
      <c r="BB334" s="17"/>
      <c r="BC334" s="35" t="str">
        <f aca="false">IF($E334="","",IFERROR(INDEX(SCORING!$C$6:$C$15,MATCH($J334,SCORING!$B$6:$B$15,0)),0)+IFERROR(INDEX(SCORING!$C$18:$C$20,MATCH($U334,SCORING!$B$18:$B$20,0)),0)+IFERROR(INDEX(SCORING!$C$23:$C$26,MATCH($X334,SCORING!$B$23:$B$26,0)),0)+IFERROR(INDEX(SCORING!$C$29:$C$32,MATCH($Q334,SCORING!$B$29:$B$32,0)),0)+IFERROR(INDEX(SCORING!$C$35:$C$37,MATCH($L334,SCORING!$B$35:$B$37,0)),0)+IF($AP334="",0,IF(AND($AQ334="Valid",$AO334="Decision maker"),SCORING!$C$40,IF($AQ334="Valid",SCORING!$C$41,SCORING!$C$42))))</f>
        <v/>
      </c>
      <c r="BD334" s="36" t="str">
        <f aca="false">IF($BC334="","",IF($BC334&gt;=SCORING!$C$46,"A",IF($BC334&gt;=SCORING!$C$47,"B",IF($BC334&gt;=SCORING!$C$48,"C","D"))))</f>
        <v/>
      </c>
      <c r="BE334" s="37"/>
    </row>
    <row r="335" customFormat="false" ht="15" hidden="false" customHeight="false" outlineLevel="0" collapsed="false">
      <c r="A335" s="37"/>
      <c r="B335" s="38"/>
      <c r="C335" s="37"/>
      <c r="D335" s="37"/>
      <c r="E335" s="17"/>
      <c r="F335" s="17"/>
      <c r="G335" s="37"/>
      <c r="H335" s="32" t="str">
        <f aca="false">IF($G335="","",IFERROR(INDEX(LISTS!$P$3:$P$145,MATCH($G335,LISTS!$O$3:$O$145,0)),"Other"))</f>
        <v/>
      </c>
      <c r="I335" s="37"/>
      <c r="J335" s="17"/>
      <c r="K335" s="17"/>
      <c r="L335" s="37"/>
      <c r="M335" s="37"/>
      <c r="N335" s="39"/>
      <c r="O335" s="37"/>
      <c r="P335" s="39"/>
      <c r="Q335" s="37"/>
      <c r="R335" s="39"/>
      <c r="S335" s="17"/>
      <c r="T335" s="17"/>
      <c r="U335" s="37"/>
      <c r="V335" s="37"/>
      <c r="W335" s="17"/>
      <c r="X335" s="37"/>
      <c r="Y335" s="17"/>
      <c r="Z335" s="39"/>
      <c r="AA335" s="39"/>
      <c r="AB335" s="37"/>
      <c r="AC335" s="37"/>
      <c r="AD335" s="38"/>
      <c r="AE335" s="37"/>
      <c r="AF335" s="37"/>
      <c r="AG335" s="37"/>
      <c r="AH335" s="37"/>
      <c r="AI335" s="17"/>
      <c r="AJ335" s="37"/>
      <c r="AK335" s="17"/>
      <c r="AL335" s="39"/>
      <c r="AM335" s="17"/>
      <c r="AN335" s="17"/>
      <c r="AO335" s="37"/>
      <c r="AP335" s="17"/>
      <c r="AQ335" s="37"/>
      <c r="AR335" s="37"/>
      <c r="AS335" s="37"/>
      <c r="AT335" s="17"/>
      <c r="AU335" s="37"/>
      <c r="AV335" s="37"/>
      <c r="AW335" s="38"/>
      <c r="AX335" s="37"/>
      <c r="AY335" s="38"/>
      <c r="AZ335" s="34" t="str">
        <f aca="false">IF($E335="","",COUNTA($E335,$F335,$G335,$J335,$L335,$Q335,$U335,$X335,$AM335,$AN335,$AP335,$AR335)/12)</f>
        <v/>
      </c>
      <c r="BA335" s="32" t="str">
        <f aca="false">IF($E335="","",IF(COUNTIF($E$3:$E$402,$E335)&gt;1,"DUPLICATE",""))</f>
        <v/>
      </c>
      <c r="BB335" s="17"/>
      <c r="BC335" s="35" t="str">
        <f aca="false">IF($E335="","",IFERROR(INDEX(SCORING!$C$6:$C$15,MATCH($J335,SCORING!$B$6:$B$15,0)),0)+IFERROR(INDEX(SCORING!$C$18:$C$20,MATCH($U335,SCORING!$B$18:$B$20,0)),0)+IFERROR(INDEX(SCORING!$C$23:$C$26,MATCH($X335,SCORING!$B$23:$B$26,0)),0)+IFERROR(INDEX(SCORING!$C$29:$C$32,MATCH($Q335,SCORING!$B$29:$B$32,0)),0)+IFERROR(INDEX(SCORING!$C$35:$C$37,MATCH($L335,SCORING!$B$35:$B$37,0)),0)+IF($AP335="",0,IF(AND($AQ335="Valid",$AO335="Decision maker"),SCORING!$C$40,IF($AQ335="Valid",SCORING!$C$41,SCORING!$C$42))))</f>
        <v/>
      </c>
      <c r="BD335" s="36" t="str">
        <f aca="false">IF($BC335="","",IF($BC335&gt;=SCORING!$C$46,"A",IF($BC335&gt;=SCORING!$C$47,"B",IF($BC335&gt;=SCORING!$C$48,"C","D"))))</f>
        <v/>
      </c>
      <c r="BE335" s="37"/>
    </row>
    <row r="336" customFormat="false" ht="15" hidden="false" customHeight="false" outlineLevel="0" collapsed="false">
      <c r="A336" s="37"/>
      <c r="B336" s="38"/>
      <c r="C336" s="37"/>
      <c r="D336" s="37"/>
      <c r="E336" s="17"/>
      <c r="F336" s="17"/>
      <c r="G336" s="37"/>
      <c r="H336" s="32" t="str">
        <f aca="false">IF($G336="","",IFERROR(INDEX(LISTS!$P$3:$P$145,MATCH($G336,LISTS!$O$3:$O$145,0)),"Other"))</f>
        <v/>
      </c>
      <c r="I336" s="37"/>
      <c r="J336" s="17"/>
      <c r="K336" s="17"/>
      <c r="L336" s="37"/>
      <c r="M336" s="37"/>
      <c r="N336" s="39"/>
      <c r="O336" s="37"/>
      <c r="P336" s="39"/>
      <c r="Q336" s="37"/>
      <c r="R336" s="39"/>
      <c r="S336" s="17"/>
      <c r="T336" s="17"/>
      <c r="U336" s="37"/>
      <c r="V336" s="37"/>
      <c r="W336" s="17"/>
      <c r="X336" s="37"/>
      <c r="Y336" s="17"/>
      <c r="Z336" s="39"/>
      <c r="AA336" s="39"/>
      <c r="AB336" s="37"/>
      <c r="AC336" s="37"/>
      <c r="AD336" s="38"/>
      <c r="AE336" s="37"/>
      <c r="AF336" s="37"/>
      <c r="AG336" s="37"/>
      <c r="AH336" s="37"/>
      <c r="AI336" s="17"/>
      <c r="AJ336" s="37"/>
      <c r="AK336" s="17"/>
      <c r="AL336" s="39"/>
      <c r="AM336" s="17"/>
      <c r="AN336" s="17"/>
      <c r="AO336" s="37"/>
      <c r="AP336" s="17"/>
      <c r="AQ336" s="37"/>
      <c r="AR336" s="37"/>
      <c r="AS336" s="37"/>
      <c r="AT336" s="17"/>
      <c r="AU336" s="37"/>
      <c r="AV336" s="37"/>
      <c r="AW336" s="38"/>
      <c r="AX336" s="37"/>
      <c r="AY336" s="38"/>
      <c r="AZ336" s="34" t="str">
        <f aca="false">IF($E336="","",COUNTA($E336,$F336,$G336,$J336,$L336,$Q336,$U336,$X336,$AM336,$AN336,$AP336,$AR336)/12)</f>
        <v/>
      </c>
      <c r="BA336" s="32" t="str">
        <f aca="false">IF($E336="","",IF(COUNTIF($E$3:$E$402,$E336)&gt;1,"DUPLICATE",""))</f>
        <v/>
      </c>
      <c r="BB336" s="17"/>
      <c r="BC336" s="35" t="str">
        <f aca="false">IF($E336="","",IFERROR(INDEX(SCORING!$C$6:$C$15,MATCH($J336,SCORING!$B$6:$B$15,0)),0)+IFERROR(INDEX(SCORING!$C$18:$C$20,MATCH($U336,SCORING!$B$18:$B$20,0)),0)+IFERROR(INDEX(SCORING!$C$23:$C$26,MATCH($X336,SCORING!$B$23:$B$26,0)),0)+IFERROR(INDEX(SCORING!$C$29:$C$32,MATCH($Q336,SCORING!$B$29:$B$32,0)),0)+IFERROR(INDEX(SCORING!$C$35:$C$37,MATCH($L336,SCORING!$B$35:$B$37,0)),0)+IF($AP336="",0,IF(AND($AQ336="Valid",$AO336="Decision maker"),SCORING!$C$40,IF($AQ336="Valid",SCORING!$C$41,SCORING!$C$42))))</f>
        <v/>
      </c>
      <c r="BD336" s="36" t="str">
        <f aca="false">IF($BC336="","",IF($BC336&gt;=SCORING!$C$46,"A",IF($BC336&gt;=SCORING!$C$47,"B",IF($BC336&gt;=SCORING!$C$48,"C","D"))))</f>
        <v/>
      </c>
      <c r="BE336" s="37"/>
    </row>
    <row r="337" customFormat="false" ht="15" hidden="false" customHeight="false" outlineLevel="0" collapsed="false">
      <c r="A337" s="37"/>
      <c r="B337" s="38"/>
      <c r="C337" s="37"/>
      <c r="D337" s="37"/>
      <c r="E337" s="17"/>
      <c r="F337" s="17"/>
      <c r="G337" s="37"/>
      <c r="H337" s="32" t="str">
        <f aca="false">IF($G337="","",IFERROR(INDEX(LISTS!$P$3:$P$145,MATCH($G337,LISTS!$O$3:$O$145,0)),"Other"))</f>
        <v/>
      </c>
      <c r="I337" s="37"/>
      <c r="J337" s="17"/>
      <c r="K337" s="17"/>
      <c r="L337" s="37"/>
      <c r="M337" s="37"/>
      <c r="N337" s="39"/>
      <c r="O337" s="37"/>
      <c r="P337" s="39"/>
      <c r="Q337" s="37"/>
      <c r="R337" s="39"/>
      <c r="S337" s="17"/>
      <c r="T337" s="17"/>
      <c r="U337" s="37"/>
      <c r="V337" s="37"/>
      <c r="W337" s="17"/>
      <c r="X337" s="37"/>
      <c r="Y337" s="17"/>
      <c r="Z337" s="39"/>
      <c r="AA337" s="39"/>
      <c r="AB337" s="37"/>
      <c r="AC337" s="37"/>
      <c r="AD337" s="38"/>
      <c r="AE337" s="37"/>
      <c r="AF337" s="37"/>
      <c r="AG337" s="37"/>
      <c r="AH337" s="37"/>
      <c r="AI337" s="17"/>
      <c r="AJ337" s="37"/>
      <c r="AK337" s="17"/>
      <c r="AL337" s="39"/>
      <c r="AM337" s="17"/>
      <c r="AN337" s="17"/>
      <c r="AO337" s="37"/>
      <c r="AP337" s="17"/>
      <c r="AQ337" s="37"/>
      <c r="AR337" s="37"/>
      <c r="AS337" s="37"/>
      <c r="AT337" s="17"/>
      <c r="AU337" s="37"/>
      <c r="AV337" s="37"/>
      <c r="AW337" s="38"/>
      <c r="AX337" s="37"/>
      <c r="AY337" s="38"/>
      <c r="AZ337" s="34" t="str">
        <f aca="false">IF($E337="","",COUNTA($E337,$F337,$G337,$J337,$L337,$Q337,$U337,$X337,$AM337,$AN337,$AP337,$AR337)/12)</f>
        <v/>
      </c>
      <c r="BA337" s="32" t="str">
        <f aca="false">IF($E337="","",IF(COUNTIF($E$3:$E$402,$E337)&gt;1,"DUPLICATE",""))</f>
        <v/>
      </c>
      <c r="BB337" s="17"/>
      <c r="BC337" s="35" t="str">
        <f aca="false">IF($E337="","",IFERROR(INDEX(SCORING!$C$6:$C$15,MATCH($J337,SCORING!$B$6:$B$15,0)),0)+IFERROR(INDEX(SCORING!$C$18:$C$20,MATCH($U337,SCORING!$B$18:$B$20,0)),0)+IFERROR(INDEX(SCORING!$C$23:$C$26,MATCH($X337,SCORING!$B$23:$B$26,0)),0)+IFERROR(INDEX(SCORING!$C$29:$C$32,MATCH($Q337,SCORING!$B$29:$B$32,0)),0)+IFERROR(INDEX(SCORING!$C$35:$C$37,MATCH($L337,SCORING!$B$35:$B$37,0)),0)+IF($AP337="",0,IF(AND($AQ337="Valid",$AO337="Decision maker"),SCORING!$C$40,IF($AQ337="Valid",SCORING!$C$41,SCORING!$C$42))))</f>
        <v/>
      </c>
      <c r="BD337" s="36" t="str">
        <f aca="false">IF($BC337="","",IF($BC337&gt;=SCORING!$C$46,"A",IF($BC337&gt;=SCORING!$C$47,"B",IF($BC337&gt;=SCORING!$C$48,"C","D"))))</f>
        <v/>
      </c>
      <c r="BE337" s="37"/>
    </row>
    <row r="338" customFormat="false" ht="15" hidden="false" customHeight="false" outlineLevel="0" collapsed="false">
      <c r="A338" s="37"/>
      <c r="B338" s="38"/>
      <c r="C338" s="37"/>
      <c r="D338" s="37"/>
      <c r="E338" s="17"/>
      <c r="F338" s="17"/>
      <c r="G338" s="37"/>
      <c r="H338" s="32" t="str">
        <f aca="false">IF($G338="","",IFERROR(INDEX(LISTS!$P$3:$P$145,MATCH($G338,LISTS!$O$3:$O$145,0)),"Other"))</f>
        <v/>
      </c>
      <c r="I338" s="37"/>
      <c r="J338" s="17"/>
      <c r="K338" s="17"/>
      <c r="L338" s="37"/>
      <c r="M338" s="37"/>
      <c r="N338" s="39"/>
      <c r="O338" s="37"/>
      <c r="P338" s="39"/>
      <c r="Q338" s="37"/>
      <c r="R338" s="39"/>
      <c r="S338" s="17"/>
      <c r="T338" s="17"/>
      <c r="U338" s="37"/>
      <c r="V338" s="37"/>
      <c r="W338" s="17"/>
      <c r="X338" s="37"/>
      <c r="Y338" s="17"/>
      <c r="Z338" s="39"/>
      <c r="AA338" s="39"/>
      <c r="AB338" s="37"/>
      <c r="AC338" s="37"/>
      <c r="AD338" s="38"/>
      <c r="AE338" s="37"/>
      <c r="AF338" s="37"/>
      <c r="AG338" s="37"/>
      <c r="AH338" s="37"/>
      <c r="AI338" s="17"/>
      <c r="AJ338" s="37"/>
      <c r="AK338" s="17"/>
      <c r="AL338" s="39"/>
      <c r="AM338" s="17"/>
      <c r="AN338" s="17"/>
      <c r="AO338" s="37"/>
      <c r="AP338" s="17"/>
      <c r="AQ338" s="37"/>
      <c r="AR338" s="37"/>
      <c r="AS338" s="37"/>
      <c r="AT338" s="17"/>
      <c r="AU338" s="37"/>
      <c r="AV338" s="37"/>
      <c r="AW338" s="38"/>
      <c r="AX338" s="37"/>
      <c r="AY338" s="38"/>
      <c r="AZ338" s="34" t="str">
        <f aca="false">IF($E338="","",COUNTA($E338,$F338,$G338,$J338,$L338,$Q338,$U338,$X338,$AM338,$AN338,$AP338,$AR338)/12)</f>
        <v/>
      </c>
      <c r="BA338" s="32" t="str">
        <f aca="false">IF($E338="","",IF(COUNTIF($E$3:$E$402,$E338)&gt;1,"DUPLICATE",""))</f>
        <v/>
      </c>
      <c r="BB338" s="17"/>
      <c r="BC338" s="35" t="str">
        <f aca="false">IF($E338="","",IFERROR(INDEX(SCORING!$C$6:$C$15,MATCH($J338,SCORING!$B$6:$B$15,0)),0)+IFERROR(INDEX(SCORING!$C$18:$C$20,MATCH($U338,SCORING!$B$18:$B$20,0)),0)+IFERROR(INDEX(SCORING!$C$23:$C$26,MATCH($X338,SCORING!$B$23:$B$26,0)),0)+IFERROR(INDEX(SCORING!$C$29:$C$32,MATCH($Q338,SCORING!$B$29:$B$32,0)),0)+IFERROR(INDEX(SCORING!$C$35:$C$37,MATCH($L338,SCORING!$B$35:$B$37,0)),0)+IF($AP338="",0,IF(AND($AQ338="Valid",$AO338="Decision maker"),SCORING!$C$40,IF($AQ338="Valid",SCORING!$C$41,SCORING!$C$42))))</f>
        <v/>
      </c>
      <c r="BD338" s="36" t="str">
        <f aca="false">IF($BC338="","",IF($BC338&gt;=SCORING!$C$46,"A",IF($BC338&gt;=SCORING!$C$47,"B",IF($BC338&gt;=SCORING!$C$48,"C","D"))))</f>
        <v/>
      </c>
      <c r="BE338" s="37"/>
    </row>
    <row r="339" customFormat="false" ht="15" hidden="false" customHeight="false" outlineLevel="0" collapsed="false">
      <c r="A339" s="37"/>
      <c r="B339" s="38"/>
      <c r="C339" s="37"/>
      <c r="D339" s="37"/>
      <c r="E339" s="17"/>
      <c r="F339" s="17"/>
      <c r="G339" s="37"/>
      <c r="H339" s="32" t="str">
        <f aca="false">IF($G339="","",IFERROR(INDEX(LISTS!$P$3:$P$145,MATCH($G339,LISTS!$O$3:$O$145,0)),"Other"))</f>
        <v/>
      </c>
      <c r="I339" s="37"/>
      <c r="J339" s="17"/>
      <c r="K339" s="17"/>
      <c r="L339" s="37"/>
      <c r="M339" s="37"/>
      <c r="N339" s="39"/>
      <c r="O339" s="37"/>
      <c r="P339" s="39"/>
      <c r="Q339" s="37"/>
      <c r="R339" s="39"/>
      <c r="S339" s="17"/>
      <c r="T339" s="17"/>
      <c r="U339" s="37"/>
      <c r="V339" s="37"/>
      <c r="W339" s="17"/>
      <c r="X339" s="37"/>
      <c r="Y339" s="17"/>
      <c r="Z339" s="39"/>
      <c r="AA339" s="39"/>
      <c r="AB339" s="37"/>
      <c r="AC339" s="37"/>
      <c r="AD339" s="38"/>
      <c r="AE339" s="37"/>
      <c r="AF339" s="37"/>
      <c r="AG339" s="37"/>
      <c r="AH339" s="37"/>
      <c r="AI339" s="17"/>
      <c r="AJ339" s="37"/>
      <c r="AK339" s="17"/>
      <c r="AL339" s="39"/>
      <c r="AM339" s="17"/>
      <c r="AN339" s="17"/>
      <c r="AO339" s="37"/>
      <c r="AP339" s="17"/>
      <c r="AQ339" s="37"/>
      <c r="AR339" s="37"/>
      <c r="AS339" s="37"/>
      <c r="AT339" s="17"/>
      <c r="AU339" s="37"/>
      <c r="AV339" s="37"/>
      <c r="AW339" s="38"/>
      <c r="AX339" s="37"/>
      <c r="AY339" s="38"/>
      <c r="AZ339" s="34" t="str">
        <f aca="false">IF($E339="","",COUNTA($E339,$F339,$G339,$J339,$L339,$Q339,$U339,$X339,$AM339,$AN339,$AP339,$AR339)/12)</f>
        <v/>
      </c>
      <c r="BA339" s="32" t="str">
        <f aca="false">IF($E339="","",IF(COUNTIF($E$3:$E$402,$E339)&gt;1,"DUPLICATE",""))</f>
        <v/>
      </c>
      <c r="BB339" s="17"/>
      <c r="BC339" s="35" t="str">
        <f aca="false">IF($E339="","",IFERROR(INDEX(SCORING!$C$6:$C$15,MATCH($J339,SCORING!$B$6:$B$15,0)),0)+IFERROR(INDEX(SCORING!$C$18:$C$20,MATCH($U339,SCORING!$B$18:$B$20,0)),0)+IFERROR(INDEX(SCORING!$C$23:$C$26,MATCH($X339,SCORING!$B$23:$B$26,0)),0)+IFERROR(INDEX(SCORING!$C$29:$C$32,MATCH($Q339,SCORING!$B$29:$B$32,0)),0)+IFERROR(INDEX(SCORING!$C$35:$C$37,MATCH($L339,SCORING!$B$35:$B$37,0)),0)+IF($AP339="",0,IF(AND($AQ339="Valid",$AO339="Decision maker"),SCORING!$C$40,IF($AQ339="Valid",SCORING!$C$41,SCORING!$C$42))))</f>
        <v/>
      </c>
      <c r="BD339" s="36" t="str">
        <f aca="false">IF($BC339="","",IF($BC339&gt;=SCORING!$C$46,"A",IF($BC339&gt;=SCORING!$C$47,"B",IF($BC339&gt;=SCORING!$C$48,"C","D"))))</f>
        <v/>
      </c>
      <c r="BE339" s="37"/>
    </row>
    <row r="340" customFormat="false" ht="15" hidden="false" customHeight="false" outlineLevel="0" collapsed="false">
      <c r="A340" s="37"/>
      <c r="B340" s="38"/>
      <c r="C340" s="37"/>
      <c r="D340" s="37"/>
      <c r="E340" s="17"/>
      <c r="F340" s="17"/>
      <c r="G340" s="37"/>
      <c r="H340" s="32" t="str">
        <f aca="false">IF($G340="","",IFERROR(INDEX(LISTS!$P$3:$P$145,MATCH($G340,LISTS!$O$3:$O$145,0)),"Other"))</f>
        <v/>
      </c>
      <c r="I340" s="37"/>
      <c r="J340" s="17"/>
      <c r="K340" s="17"/>
      <c r="L340" s="37"/>
      <c r="M340" s="37"/>
      <c r="N340" s="39"/>
      <c r="O340" s="37"/>
      <c r="P340" s="39"/>
      <c r="Q340" s="37"/>
      <c r="R340" s="39"/>
      <c r="S340" s="17"/>
      <c r="T340" s="17"/>
      <c r="U340" s="37"/>
      <c r="V340" s="37"/>
      <c r="W340" s="17"/>
      <c r="X340" s="37"/>
      <c r="Y340" s="17"/>
      <c r="Z340" s="39"/>
      <c r="AA340" s="39"/>
      <c r="AB340" s="37"/>
      <c r="AC340" s="37"/>
      <c r="AD340" s="38"/>
      <c r="AE340" s="37"/>
      <c r="AF340" s="37"/>
      <c r="AG340" s="37"/>
      <c r="AH340" s="37"/>
      <c r="AI340" s="17"/>
      <c r="AJ340" s="37"/>
      <c r="AK340" s="17"/>
      <c r="AL340" s="39"/>
      <c r="AM340" s="17"/>
      <c r="AN340" s="17"/>
      <c r="AO340" s="37"/>
      <c r="AP340" s="17"/>
      <c r="AQ340" s="37"/>
      <c r="AR340" s="37"/>
      <c r="AS340" s="37"/>
      <c r="AT340" s="17"/>
      <c r="AU340" s="37"/>
      <c r="AV340" s="37"/>
      <c r="AW340" s="38"/>
      <c r="AX340" s="37"/>
      <c r="AY340" s="38"/>
      <c r="AZ340" s="34" t="str">
        <f aca="false">IF($E340="","",COUNTA($E340,$F340,$G340,$J340,$L340,$Q340,$U340,$X340,$AM340,$AN340,$AP340,$AR340)/12)</f>
        <v/>
      </c>
      <c r="BA340" s="32" t="str">
        <f aca="false">IF($E340="","",IF(COUNTIF($E$3:$E$402,$E340)&gt;1,"DUPLICATE",""))</f>
        <v/>
      </c>
      <c r="BB340" s="17"/>
      <c r="BC340" s="35" t="str">
        <f aca="false">IF($E340="","",IFERROR(INDEX(SCORING!$C$6:$C$15,MATCH($J340,SCORING!$B$6:$B$15,0)),0)+IFERROR(INDEX(SCORING!$C$18:$C$20,MATCH($U340,SCORING!$B$18:$B$20,0)),0)+IFERROR(INDEX(SCORING!$C$23:$C$26,MATCH($X340,SCORING!$B$23:$B$26,0)),0)+IFERROR(INDEX(SCORING!$C$29:$C$32,MATCH($Q340,SCORING!$B$29:$B$32,0)),0)+IFERROR(INDEX(SCORING!$C$35:$C$37,MATCH($L340,SCORING!$B$35:$B$37,0)),0)+IF($AP340="",0,IF(AND($AQ340="Valid",$AO340="Decision maker"),SCORING!$C$40,IF($AQ340="Valid",SCORING!$C$41,SCORING!$C$42))))</f>
        <v/>
      </c>
      <c r="BD340" s="36" t="str">
        <f aca="false">IF($BC340="","",IF($BC340&gt;=SCORING!$C$46,"A",IF($BC340&gt;=SCORING!$C$47,"B",IF($BC340&gt;=SCORING!$C$48,"C","D"))))</f>
        <v/>
      </c>
      <c r="BE340" s="37"/>
    </row>
    <row r="341" customFormat="false" ht="15" hidden="false" customHeight="false" outlineLevel="0" collapsed="false">
      <c r="A341" s="37"/>
      <c r="B341" s="38"/>
      <c r="C341" s="37"/>
      <c r="D341" s="37"/>
      <c r="E341" s="17"/>
      <c r="F341" s="17"/>
      <c r="G341" s="37"/>
      <c r="H341" s="32" t="str">
        <f aca="false">IF($G341="","",IFERROR(INDEX(LISTS!$P$3:$P$145,MATCH($G341,LISTS!$O$3:$O$145,0)),"Other"))</f>
        <v/>
      </c>
      <c r="I341" s="37"/>
      <c r="J341" s="17"/>
      <c r="K341" s="17"/>
      <c r="L341" s="37"/>
      <c r="M341" s="37"/>
      <c r="N341" s="39"/>
      <c r="O341" s="37"/>
      <c r="P341" s="39"/>
      <c r="Q341" s="37"/>
      <c r="R341" s="39"/>
      <c r="S341" s="17"/>
      <c r="T341" s="17"/>
      <c r="U341" s="37"/>
      <c r="V341" s="37"/>
      <c r="W341" s="17"/>
      <c r="X341" s="37"/>
      <c r="Y341" s="17"/>
      <c r="Z341" s="39"/>
      <c r="AA341" s="39"/>
      <c r="AB341" s="37"/>
      <c r="AC341" s="37"/>
      <c r="AD341" s="38"/>
      <c r="AE341" s="37"/>
      <c r="AF341" s="37"/>
      <c r="AG341" s="37"/>
      <c r="AH341" s="37"/>
      <c r="AI341" s="17"/>
      <c r="AJ341" s="37"/>
      <c r="AK341" s="17"/>
      <c r="AL341" s="39"/>
      <c r="AM341" s="17"/>
      <c r="AN341" s="17"/>
      <c r="AO341" s="37"/>
      <c r="AP341" s="17"/>
      <c r="AQ341" s="37"/>
      <c r="AR341" s="37"/>
      <c r="AS341" s="37"/>
      <c r="AT341" s="17"/>
      <c r="AU341" s="37"/>
      <c r="AV341" s="37"/>
      <c r="AW341" s="38"/>
      <c r="AX341" s="37"/>
      <c r="AY341" s="38"/>
      <c r="AZ341" s="34" t="str">
        <f aca="false">IF($E341="","",COUNTA($E341,$F341,$G341,$J341,$L341,$Q341,$U341,$X341,$AM341,$AN341,$AP341,$AR341)/12)</f>
        <v/>
      </c>
      <c r="BA341" s="32" t="str">
        <f aca="false">IF($E341="","",IF(COUNTIF($E$3:$E$402,$E341)&gt;1,"DUPLICATE",""))</f>
        <v/>
      </c>
      <c r="BB341" s="17"/>
      <c r="BC341" s="35" t="str">
        <f aca="false">IF($E341="","",IFERROR(INDEX(SCORING!$C$6:$C$15,MATCH($J341,SCORING!$B$6:$B$15,0)),0)+IFERROR(INDEX(SCORING!$C$18:$C$20,MATCH($U341,SCORING!$B$18:$B$20,0)),0)+IFERROR(INDEX(SCORING!$C$23:$C$26,MATCH($X341,SCORING!$B$23:$B$26,0)),0)+IFERROR(INDEX(SCORING!$C$29:$C$32,MATCH($Q341,SCORING!$B$29:$B$32,0)),0)+IFERROR(INDEX(SCORING!$C$35:$C$37,MATCH($L341,SCORING!$B$35:$B$37,0)),0)+IF($AP341="",0,IF(AND($AQ341="Valid",$AO341="Decision maker"),SCORING!$C$40,IF($AQ341="Valid",SCORING!$C$41,SCORING!$C$42))))</f>
        <v/>
      </c>
      <c r="BD341" s="36" t="str">
        <f aca="false">IF($BC341="","",IF($BC341&gt;=SCORING!$C$46,"A",IF($BC341&gt;=SCORING!$C$47,"B",IF($BC341&gt;=SCORING!$C$48,"C","D"))))</f>
        <v/>
      </c>
      <c r="BE341" s="37"/>
    </row>
    <row r="342" customFormat="false" ht="15" hidden="false" customHeight="false" outlineLevel="0" collapsed="false">
      <c r="A342" s="37"/>
      <c r="B342" s="38"/>
      <c r="C342" s="37"/>
      <c r="D342" s="37"/>
      <c r="E342" s="17"/>
      <c r="F342" s="17"/>
      <c r="G342" s="37"/>
      <c r="H342" s="32" t="str">
        <f aca="false">IF($G342="","",IFERROR(INDEX(LISTS!$P$3:$P$145,MATCH($G342,LISTS!$O$3:$O$145,0)),"Other"))</f>
        <v/>
      </c>
      <c r="I342" s="37"/>
      <c r="J342" s="17"/>
      <c r="K342" s="17"/>
      <c r="L342" s="37"/>
      <c r="M342" s="37"/>
      <c r="N342" s="39"/>
      <c r="O342" s="37"/>
      <c r="P342" s="39"/>
      <c r="Q342" s="37"/>
      <c r="R342" s="39"/>
      <c r="S342" s="17"/>
      <c r="T342" s="17"/>
      <c r="U342" s="37"/>
      <c r="V342" s="37"/>
      <c r="W342" s="17"/>
      <c r="X342" s="37"/>
      <c r="Y342" s="17"/>
      <c r="Z342" s="39"/>
      <c r="AA342" s="39"/>
      <c r="AB342" s="37"/>
      <c r="AC342" s="37"/>
      <c r="AD342" s="38"/>
      <c r="AE342" s="37"/>
      <c r="AF342" s="37"/>
      <c r="AG342" s="37"/>
      <c r="AH342" s="37"/>
      <c r="AI342" s="17"/>
      <c r="AJ342" s="37"/>
      <c r="AK342" s="17"/>
      <c r="AL342" s="39"/>
      <c r="AM342" s="17"/>
      <c r="AN342" s="17"/>
      <c r="AO342" s="37"/>
      <c r="AP342" s="17"/>
      <c r="AQ342" s="37"/>
      <c r="AR342" s="37"/>
      <c r="AS342" s="37"/>
      <c r="AT342" s="17"/>
      <c r="AU342" s="37"/>
      <c r="AV342" s="37"/>
      <c r="AW342" s="38"/>
      <c r="AX342" s="37"/>
      <c r="AY342" s="38"/>
      <c r="AZ342" s="34" t="str">
        <f aca="false">IF($E342="","",COUNTA($E342,$F342,$G342,$J342,$L342,$Q342,$U342,$X342,$AM342,$AN342,$AP342,$AR342)/12)</f>
        <v/>
      </c>
      <c r="BA342" s="32" t="str">
        <f aca="false">IF($E342="","",IF(COUNTIF($E$3:$E$402,$E342)&gt;1,"DUPLICATE",""))</f>
        <v/>
      </c>
      <c r="BB342" s="17"/>
      <c r="BC342" s="35" t="str">
        <f aca="false">IF($E342="","",IFERROR(INDEX(SCORING!$C$6:$C$15,MATCH($J342,SCORING!$B$6:$B$15,0)),0)+IFERROR(INDEX(SCORING!$C$18:$C$20,MATCH($U342,SCORING!$B$18:$B$20,0)),0)+IFERROR(INDEX(SCORING!$C$23:$C$26,MATCH($X342,SCORING!$B$23:$B$26,0)),0)+IFERROR(INDEX(SCORING!$C$29:$C$32,MATCH($Q342,SCORING!$B$29:$B$32,0)),0)+IFERROR(INDEX(SCORING!$C$35:$C$37,MATCH($L342,SCORING!$B$35:$B$37,0)),0)+IF($AP342="",0,IF(AND($AQ342="Valid",$AO342="Decision maker"),SCORING!$C$40,IF($AQ342="Valid",SCORING!$C$41,SCORING!$C$42))))</f>
        <v/>
      </c>
      <c r="BD342" s="36" t="str">
        <f aca="false">IF($BC342="","",IF($BC342&gt;=SCORING!$C$46,"A",IF($BC342&gt;=SCORING!$C$47,"B",IF($BC342&gt;=SCORING!$C$48,"C","D"))))</f>
        <v/>
      </c>
      <c r="BE342" s="37"/>
    </row>
    <row r="343" customFormat="false" ht="15" hidden="false" customHeight="false" outlineLevel="0" collapsed="false">
      <c r="A343" s="37"/>
      <c r="B343" s="38"/>
      <c r="C343" s="37"/>
      <c r="D343" s="37"/>
      <c r="E343" s="17"/>
      <c r="F343" s="17"/>
      <c r="G343" s="37"/>
      <c r="H343" s="32" t="str">
        <f aca="false">IF($G343="","",IFERROR(INDEX(LISTS!$P$3:$P$145,MATCH($G343,LISTS!$O$3:$O$145,0)),"Other"))</f>
        <v/>
      </c>
      <c r="I343" s="37"/>
      <c r="J343" s="17"/>
      <c r="K343" s="17"/>
      <c r="L343" s="37"/>
      <c r="M343" s="37"/>
      <c r="N343" s="39"/>
      <c r="O343" s="37"/>
      <c r="P343" s="39"/>
      <c r="Q343" s="37"/>
      <c r="R343" s="39"/>
      <c r="S343" s="17"/>
      <c r="T343" s="17"/>
      <c r="U343" s="37"/>
      <c r="V343" s="37"/>
      <c r="W343" s="17"/>
      <c r="X343" s="37"/>
      <c r="Y343" s="17"/>
      <c r="Z343" s="39"/>
      <c r="AA343" s="39"/>
      <c r="AB343" s="37"/>
      <c r="AC343" s="37"/>
      <c r="AD343" s="38"/>
      <c r="AE343" s="37"/>
      <c r="AF343" s="37"/>
      <c r="AG343" s="37"/>
      <c r="AH343" s="37"/>
      <c r="AI343" s="17"/>
      <c r="AJ343" s="37"/>
      <c r="AK343" s="17"/>
      <c r="AL343" s="39"/>
      <c r="AM343" s="17"/>
      <c r="AN343" s="17"/>
      <c r="AO343" s="37"/>
      <c r="AP343" s="17"/>
      <c r="AQ343" s="37"/>
      <c r="AR343" s="37"/>
      <c r="AS343" s="37"/>
      <c r="AT343" s="17"/>
      <c r="AU343" s="37"/>
      <c r="AV343" s="37"/>
      <c r="AW343" s="38"/>
      <c r="AX343" s="37"/>
      <c r="AY343" s="38"/>
      <c r="AZ343" s="34" t="str">
        <f aca="false">IF($E343="","",COUNTA($E343,$F343,$G343,$J343,$L343,$Q343,$U343,$X343,$AM343,$AN343,$AP343,$AR343)/12)</f>
        <v/>
      </c>
      <c r="BA343" s="32" t="str">
        <f aca="false">IF($E343="","",IF(COUNTIF($E$3:$E$402,$E343)&gt;1,"DUPLICATE",""))</f>
        <v/>
      </c>
      <c r="BB343" s="17"/>
      <c r="BC343" s="35" t="str">
        <f aca="false">IF($E343="","",IFERROR(INDEX(SCORING!$C$6:$C$15,MATCH($J343,SCORING!$B$6:$B$15,0)),0)+IFERROR(INDEX(SCORING!$C$18:$C$20,MATCH($U343,SCORING!$B$18:$B$20,0)),0)+IFERROR(INDEX(SCORING!$C$23:$C$26,MATCH($X343,SCORING!$B$23:$B$26,0)),0)+IFERROR(INDEX(SCORING!$C$29:$C$32,MATCH($Q343,SCORING!$B$29:$B$32,0)),0)+IFERROR(INDEX(SCORING!$C$35:$C$37,MATCH($L343,SCORING!$B$35:$B$37,0)),0)+IF($AP343="",0,IF(AND($AQ343="Valid",$AO343="Decision maker"),SCORING!$C$40,IF($AQ343="Valid",SCORING!$C$41,SCORING!$C$42))))</f>
        <v/>
      </c>
      <c r="BD343" s="36" t="str">
        <f aca="false">IF($BC343="","",IF($BC343&gt;=SCORING!$C$46,"A",IF($BC343&gt;=SCORING!$C$47,"B",IF($BC343&gt;=SCORING!$C$48,"C","D"))))</f>
        <v/>
      </c>
      <c r="BE343" s="37"/>
    </row>
    <row r="344" customFormat="false" ht="15" hidden="false" customHeight="false" outlineLevel="0" collapsed="false">
      <c r="A344" s="37"/>
      <c r="B344" s="38"/>
      <c r="C344" s="37"/>
      <c r="D344" s="37"/>
      <c r="E344" s="17"/>
      <c r="F344" s="17"/>
      <c r="G344" s="37"/>
      <c r="H344" s="32" t="str">
        <f aca="false">IF($G344="","",IFERROR(INDEX(LISTS!$P$3:$P$145,MATCH($G344,LISTS!$O$3:$O$145,0)),"Other"))</f>
        <v/>
      </c>
      <c r="I344" s="37"/>
      <c r="J344" s="17"/>
      <c r="K344" s="17"/>
      <c r="L344" s="37"/>
      <c r="M344" s="37"/>
      <c r="N344" s="39"/>
      <c r="O344" s="37"/>
      <c r="P344" s="39"/>
      <c r="Q344" s="37"/>
      <c r="R344" s="39"/>
      <c r="S344" s="17"/>
      <c r="T344" s="17"/>
      <c r="U344" s="37"/>
      <c r="V344" s="37"/>
      <c r="W344" s="17"/>
      <c r="X344" s="37"/>
      <c r="Y344" s="17"/>
      <c r="Z344" s="39"/>
      <c r="AA344" s="39"/>
      <c r="AB344" s="37"/>
      <c r="AC344" s="37"/>
      <c r="AD344" s="38"/>
      <c r="AE344" s="37"/>
      <c r="AF344" s="37"/>
      <c r="AG344" s="37"/>
      <c r="AH344" s="37"/>
      <c r="AI344" s="17"/>
      <c r="AJ344" s="37"/>
      <c r="AK344" s="17"/>
      <c r="AL344" s="39"/>
      <c r="AM344" s="17"/>
      <c r="AN344" s="17"/>
      <c r="AO344" s="37"/>
      <c r="AP344" s="17"/>
      <c r="AQ344" s="37"/>
      <c r="AR344" s="37"/>
      <c r="AS344" s="37"/>
      <c r="AT344" s="17"/>
      <c r="AU344" s="37"/>
      <c r="AV344" s="37"/>
      <c r="AW344" s="38"/>
      <c r="AX344" s="37"/>
      <c r="AY344" s="38"/>
      <c r="AZ344" s="34" t="str">
        <f aca="false">IF($E344="","",COUNTA($E344,$F344,$G344,$J344,$L344,$Q344,$U344,$X344,$AM344,$AN344,$AP344,$AR344)/12)</f>
        <v/>
      </c>
      <c r="BA344" s="32" t="str">
        <f aca="false">IF($E344="","",IF(COUNTIF($E$3:$E$402,$E344)&gt;1,"DUPLICATE",""))</f>
        <v/>
      </c>
      <c r="BB344" s="17"/>
      <c r="BC344" s="35" t="str">
        <f aca="false">IF($E344="","",IFERROR(INDEX(SCORING!$C$6:$C$15,MATCH($J344,SCORING!$B$6:$B$15,0)),0)+IFERROR(INDEX(SCORING!$C$18:$C$20,MATCH($U344,SCORING!$B$18:$B$20,0)),0)+IFERROR(INDEX(SCORING!$C$23:$C$26,MATCH($X344,SCORING!$B$23:$B$26,0)),0)+IFERROR(INDEX(SCORING!$C$29:$C$32,MATCH($Q344,SCORING!$B$29:$B$32,0)),0)+IFERROR(INDEX(SCORING!$C$35:$C$37,MATCH($L344,SCORING!$B$35:$B$37,0)),0)+IF($AP344="",0,IF(AND($AQ344="Valid",$AO344="Decision maker"),SCORING!$C$40,IF($AQ344="Valid",SCORING!$C$41,SCORING!$C$42))))</f>
        <v/>
      </c>
      <c r="BD344" s="36" t="str">
        <f aca="false">IF($BC344="","",IF($BC344&gt;=SCORING!$C$46,"A",IF($BC344&gt;=SCORING!$C$47,"B",IF($BC344&gt;=SCORING!$C$48,"C","D"))))</f>
        <v/>
      </c>
      <c r="BE344" s="37"/>
    </row>
    <row r="345" customFormat="false" ht="15" hidden="false" customHeight="false" outlineLevel="0" collapsed="false">
      <c r="A345" s="37"/>
      <c r="B345" s="38"/>
      <c r="C345" s="37"/>
      <c r="D345" s="37"/>
      <c r="E345" s="17"/>
      <c r="F345" s="17"/>
      <c r="G345" s="37"/>
      <c r="H345" s="32" t="str">
        <f aca="false">IF($G345="","",IFERROR(INDEX(LISTS!$P$3:$P$145,MATCH($G345,LISTS!$O$3:$O$145,0)),"Other"))</f>
        <v/>
      </c>
      <c r="I345" s="37"/>
      <c r="J345" s="17"/>
      <c r="K345" s="17"/>
      <c r="L345" s="37"/>
      <c r="M345" s="37"/>
      <c r="N345" s="39"/>
      <c r="O345" s="37"/>
      <c r="P345" s="39"/>
      <c r="Q345" s="37"/>
      <c r="R345" s="39"/>
      <c r="S345" s="17"/>
      <c r="T345" s="17"/>
      <c r="U345" s="37"/>
      <c r="V345" s="37"/>
      <c r="W345" s="17"/>
      <c r="X345" s="37"/>
      <c r="Y345" s="17"/>
      <c r="Z345" s="39"/>
      <c r="AA345" s="39"/>
      <c r="AB345" s="37"/>
      <c r="AC345" s="37"/>
      <c r="AD345" s="38"/>
      <c r="AE345" s="37"/>
      <c r="AF345" s="37"/>
      <c r="AG345" s="37"/>
      <c r="AH345" s="37"/>
      <c r="AI345" s="17"/>
      <c r="AJ345" s="37"/>
      <c r="AK345" s="17"/>
      <c r="AL345" s="39"/>
      <c r="AM345" s="17"/>
      <c r="AN345" s="17"/>
      <c r="AO345" s="37"/>
      <c r="AP345" s="17"/>
      <c r="AQ345" s="37"/>
      <c r="AR345" s="37"/>
      <c r="AS345" s="37"/>
      <c r="AT345" s="17"/>
      <c r="AU345" s="37"/>
      <c r="AV345" s="37"/>
      <c r="AW345" s="38"/>
      <c r="AX345" s="37"/>
      <c r="AY345" s="38"/>
      <c r="AZ345" s="34" t="str">
        <f aca="false">IF($E345="","",COUNTA($E345,$F345,$G345,$J345,$L345,$Q345,$U345,$X345,$AM345,$AN345,$AP345,$AR345)/12)</f>
        <v/>
      </c>
      <c r="BA345" s="32" t="str">
        <f aca="false">IF($E345="","",IF(COUNTIF($E$3:$E$402,$E345)&gt;1,"DUPLICATE",""))</f>
        <v/>
      </c>
      <c r="BB345" s="17"/>
      <c r="BC345" s="35" t="str">
        <f aca="false">IF($E345="","",IFERROR(INDEX(SCORING!$C$6:$C$15,MATCH($J345,SCORING!$B$6:$B$15,0)),0)+IFERROR(INDEX(SCORING!$C$18:$C$20,MATCH($U345,SCORING!$B$18:$B$20,0)),0)+IFERROR(INDEX(SCORING!$C$23:$C$26,MATCH($X345,SCORING!$B$23:$B$26,0)),0)+IFERROR(INDEX(SCORING!$C$29:$C$32,MATCH($Q345,SCORING!$B$29:$B$32,0)),0)+IFERROR(INDEX(SCORING!$C$35:$C$37,MATCH($L345,SCORING!$B$35:$B$37,0)),0)+IF($AP345="",0,IF(AND($AQ345="Valid",$AO345="Decision maker"),SCORING!$C$40,IF($AQ345="Valid",SCORING!$C$41,SCORING!$C$42))))</f>
        <v/>
      </c>
      <c r="BD345" s="36" t="str">
        <f aca="false">IF($BC345="","",IF($BC345&gt;=SCORING!$C$46,"A",IF($BC345&gt;=SCORING!$C$47,"B",IF($BC345&gt;=SCORING!$C$48,"C","D"))))</f>
        <v/>
      </c>
      <c r="BE345" s="37"/>
    </row>
    <row r="346" customFormat="false" ht="15" hidden="false" customHeight="false" outlineLevel="0" collapsed="false">
      <c r="A346" s="37"/>
      <c r="B346" s="38"/>
      <c r="C346" s="37"/>
      <c r="D346" s="37"/>
      <c r="E346" s="17"/>
      <c r="F346" s="17"/>
      <c r="G346" s="37"/>
      <c r="H346" s="32" t="str">
        <f aca="false">IF($G346="","",IFERROR(INDEX(LISTS!$P$3:$P$145,MATCH($G346,LISTS!$O$3:$O$145,0)),"Other"))</f>
        <v/>
      </c>
      <c r="I346" s="37"/>
      <c r="J346" s="17"/>
      <c r="K346" s="17"/>
      <c r="L346" s="37"/>
      <c r="M346" s="37"/>
      <c r="N346" s="39"/>
      <c r="O346" s="37"/>
      <c r="P346" s="39"/>
      <c r="Q346" s="37"/>
      <c r="R346" s="39"/>
      <c r="S346" s="17"/>
      <c r="T346" s="17"/>
      <c r="U346" s="37"/>
      <c r="V346" s="37"/>
      <c r="W346" s="17"/>
      <c r="X346" s="37"/>
      <c r="Y346" s="17"/>
      <c r="Z346" s="39"/>
      <c r="AA346" s="39"/>
      <c r="AB346" s="37"/>
      <c r="AC346" s="37"/>
      <c r="AD346" s="38"/>
      <c r="AE346" s="37"/>
      <c r="AF346" s="37"/>
      <c r="AG346" s="37"/>
      <c r="AH346" s="37"/>
      <c r="AI346" s="17"/>
      <c r="AJ346" s="37"/>
      <c r="AK346" s="17"/>
      <c r="AL346" s="39"/>
      <c r="AM346" s="17"/>
      <c r="AN346" s="17"/>
      <c r="AO346" s="37"/>
      <c r="AP346" s="17"/>
      <c r="AQ346" s="37"/>
      <c r="AR346" s="37"/>
      <c r="AS346" s="37"/>
      <c r="AT346" s="17"/>
      <c r="AU346" s="37"/>
      <c r="AV346" s="37"/>
      <c r="AW346" s="38"/>
      <c r="AX346" s="37"/>
      <c r="AY346" s="38"/>
      <c r="AZ346" s="34" t="str">
        <f aca="false">IF($E346="","",COUNTA($E346,$F346,$G346,$J346,$L346,$Q346,$U346,$X346,$AM346,$AN346,$AP346,$AR346)/12)</f>
        <v/>
      </c>
      <c r="BA346" s="32" t="str">
        <f aca="false">IF($E346="","",IF(COUNTIF($E$3:$E$402,$E346)&gt;1,"DUPLICATE",""))</f>
        <v/>
      </c>
      <c r="BB346" s="17"/>
      <c r="BC346" s="35" t="str">
        <f aca="false">IF($E346="","",IFERROR(INDEX(SCORING!$C$6:$C$15,MATCH($J346,SCORING!$B$6:$B$15,0)),0)+IFERROR(INDEX(SCORING!$C$18:$C$20,MATCH($U346,SCORING!$B$18:$B$20,0)),0)+IFERROR(INDEX(SCORING!$C$23:$C$26,MATCH($X346,SCORING!$B$23:$B$26,0)),0)+IFERROR(INDEX(SCORING!$C$29:$C$32,MATCH($Q346,SCORING!$B$29:$B$32,0)),0)+IFERROR(INDEX(SCORING!$C$35:$C$37,MATCH($L346,SCORING!$B$35:$B$37,0)),0)+IF($AP346="",0,IF(AND($AQ346="Valid",$AO346="Decision maker"),SCORING!$C$40,IF($AQ346="Valid",SCORING!$C$41,SCORING!$C$42))))</f>
        <v/>
      </c>
      <c r="BD346" s="36" t="str">
        <f aca="false">IF($BC346="","",IF($BC346&gt;=SCORING!$C$46,"A",IF($BC346&gt;=SCORING!$C$47,"B",IF($BC346&gt;=SCORING!$C$48,"C","D"))))</f>
        <v/>
      </c>
      <c r="BE346" s="37"/>
    </row>
    <row r="347" customFormat="false" ht="15" hidden="false" customHeight="false" outlineLevel="0" collapsed="false">
      <c r="A347" s="37"/>
      <c r="B347" s="38"/>
      <c r="C347" s="37"/>
      <c r="D347" s="37"/>
      <c r="E347" s="17"/>
      <c r="F347" s="17"/>
      <c r="G347" s="37"/>
      <c r="H347" s="32" t="str">
        <f aca="false">IF($G347="","",IFERROR(INDEX(LISTS!$P$3:$P$145,MATCH($G347,LISTS!$O$3:$O$145,0)),"Other"))</f>
        <v/>
      </c>
      <c r="I347" s="37"/>
      <c r="J347" s="17"/>
      <c r="K347" s="17"/>
      <c r="L347" s="37"/>
      <c r="M347" s="37"/>
      <c r="N347" s="39"/>
      <c r="O347" s="37"/>
      <c r="P347" s="39"/>
      <c r="Q347" s="37"/>
      <c r="R347" s="39"/>
      <c r="S347" s="17"/>
      <c r="T347" s="17"/>
      <c r="U347" s="37"/>
      <c r="V347" s="37"/>
      <c r="W347" s="17"/>
      <c r="X347" s="37"/>
      <c r="Y347" s="17"/>
      <c r="Z347" s="39"/>
      <c r="AA347" s="39"/>
      <c r="AB347" s="37"/>
      <c r="AC347" s="37"/>
      <c r="AD347" s="38"/>
      <c r="AE347" s="37"/>
      <c r="AF347" s="37"/>
      <c r="AG347" s="37"/>
      <c r="AH347" s="37"/>
      <c r="AI347" s="17"/>
      <c r="AJ347" s="37"/>
      <c r="AK347" s="17"/>
      <c r="AL347" s="39"/>
      <c r="AM347" s="17"/>
      <c r="AN347" s="17"/>
      <c r="AO347" s="37"/>
      <c r="AP347" s="17"/>
      <c r="AQ347" s="37"/>
      <c r="AR347" s="37"/>
      <c r="AS347" s="37"/>
      <c r="AT347" s="17"/>
      <c r="AU347" s="37"/>
      <c r="AV347" s="37"/>
      <c r="AW347" s="38"/>
      <c r="AX347" s="37"/>
      <c r="AY347" s="38"/>
      <c r="AZ347" s="34" t="str">
        <f aca="false">IF($E347="","",COUNTA($E347,$F347,$G347,$J347,$L347,$Q347,$U347,$X347,$AM347,$AN347,$AP347,$AR347)/12)</f>
        <v/>
      </c>
      <c r="BA347" s="32" t="str">
        <f aca="false">IF($E347="","",IF(COUNTIF($E$3:$E$402,$E347)&gt;1,"DUPLICATE",""))</f>
        <v/>
      </c>
      <c r="BB347" s="17"/>
      <c r="BC347" s="35" t="str">
        <f aca="false">IF($E347="","",IFERROR(INDEX(SCORING!$C$6:$C$15,MATCH($J347,SCORING!$B$6:$B$15,0)),0)+IFERROR(INDEX(SCORING!$C$18:$C$20,MATCH($U347,SCORING!$B$18:$B$20,0)),0)+IFERROR(INDEX(SCORING!$C$23:$C$26,MATCH($X347,SCORING!$B$23:$B$26,0)),0)+IFERROR(INDEX(SCORING!$C$29:$C$32,MATCH($Q347,SCORING!$B$29:$B$32,0)),0)+IFERROR(INDEX(SCORING!$C$35:$C$37,MATCH($L347,SCORING!$B$35:$B$37,0)),0)+IF($AP347="",0,IF(AND($AQ347="Valid",$AO347="Decision maker"),SCORING!$C$40,IF($AQ347="Valid",SCORING!$C$41,SCORING!$C$42))))</f>
        <v/>
      </c>
      <c r="BD347" s="36" t="str">
        <f aca="false">IF($BC347="","",IF($BC347&gt;=SCORING!$C$46,"A",IF($BC347&gt;=SCORING!$C$47,"B",IF($BC347&gt;=SCORING!$C$48,"C","D"))))</f>
        <v/>
      </c>
      <c r="BE347" s="37"/>
    </row>
    <row r="348" customFormat="false" ht="15" hidden="false" customHeight="false" outlineLevel="0" collapsed="false">
      <c r="A348" s="37"/>
      <c r="B348" s="38"/>
      <c r="C348" s="37"/>
      <c r="D348" s="37"/>
      <c r="E348" s="17"/>
      <c r="F348" s="17"/>
      <c r="G348" s="37"/>
      <c r="H348" s="32" t="str">
        <f aca="false">IF($G348="","",IFERROR(INDEX(LISTS!$P$3:$P$145,MATCH($G348,LISTS!$O$3:$O$145,0)),"Other"))</f>
        <v/>
      </c>
      <c r="I348" s="37"/>
      <c r="J348" s="17"/>
      <c r="K348" s="17"/>
      <c r="L348" s="37"/>
      <c r="M348" s="37"/>
      <c r="N348" s="39"/>
      <c r="O348" s="37"/>
      <c r="P348" s="39"/>
      <c r="Q348" s="37"/>
      <c r="R348" s="39"/>
      <c r="S348" s="17"/>
      <c r="T348" s="17"/>
      <c r="U348" s="37"/>
      <c r="V348" s="37"/>
      <c r="W348" s="17"/>
      <c r="X348" s="37"/>
      <c r="Y348" s="17"/>
      <c r="Z348" s="39"/>
      <c r="AA348" s="39"/>
      <c r="AB348" s="37"/>
      <c r="AC348" s="37"/>
      <c r="AD348" s="38"/>
      <c r="AE348" s="37"/>
      <c r="AF348" s="37"/>
      <c r="AG348" s="37"/>
      <c r="AH348" s="37"/>
      <c r="AI348" s="17"/>
      <c r="AJ348" s="37"/>
      <c r="AK348" s="17"/>
      <c r="AL348" s="39"/>
      <c r="AM348" s="17"/>
      <c r="AN348" s="17"/>
      <c r="AO348" s="37"/>
      <c r="AP348" s="17"/>
      <c r="AQ348" s="37"/>
      <c r="AR348" s="37"/>
      <c r="AS348" s="37"/>
      <c r="AT348" s="17"/>
      <c r="AU348" s="37"/>
      <c r="AV348" s="37"/>
      <c r="AW348" s="38"/>
      <c r="AX348" s="37"/>
      <c r="AY348" s="38"/>
      <c r="AZ348" s="34" t="str">
        <f aca="false">IF($E348="","",COUNTA($E348,$F348,$G348,$J348,$L348,$Q348,$U348,$X348,$AM348,$AN348,$AP348,$AR348)/12)</f>
        <v/>
      </c>
      <c r="BA348" s="32" t="str">
        <f aca="false">IF($E348="","",IF(COUNTIF($E$3:$E$402,$E348)&gt;1,"DUPLICATE",""))</f>
        <v/>
      </c>
      <c r="BB348" s="17"/>
      <c r="BC348" s="35" t="str">
        <f aca="false">IF($E348="","",IFERROR(INDEX(SCORING!$C$6:$C$15,MATCH($J348,SCORING!$B$6:$B$15,0)),0)+IFERROR(INDEX(SCORING!$C$18:$C$20,MATCH($U348,SCORING!$B$18:$B$20,0)),0)+IFERROR(INDEX(SCORING!$C$23:$C$26,MATCH($X348,SCORING!$B$23:$B$26,0)),0)+IFERROR(INDEX(SCORING!$C$29:$C$32,MATCH($Q348,SCORING!$B$29:$B$32,0)),0)+IFERROR(INDEX(SCORING!$C$35:$C$37,MATCH($L348,SCORING!$B$35:$B$37,0)),0)+IF($AP348="",0,IF(AND($AQ348="Valid",$AO348="Decision maker"),SCORING!$C$40,IF($AQ348="Valid",SCORING!$C$41,SCORING!$C$42))))</f>
        <v/>
      </c>
      <c r="BD348" s="36" t="str">
        <f aca="false">IF($BC348="","",IF($BC348&gt;=SCORING!$C$46,"A",IF($BC348&gt;=SCORING!$C$47,"B",IF($BC348&gt;=SCORING!$C$48,"C","D"))))</f>
        <v/>
      </c>
      <c r="BE348" s="37"/>
    </row>
    <row r="349" customFormat="false" ht="15" hidden="false" customHeight="false" outlineLevel="0" collapsed="false">
      <c r="A349" s="37"/>
      <c r="B349" s="38"/>
      <c r="C349" s="37"/>
      <c r="D349" s="37"/>
      <c r="E349" s="17"/>
      <c r="F349" s="17"/>
      <c r="G349" s="37"/>
      <c r="H349" s="32" t="str">
        <f aca="false">IF($G349="","",IFERROR(INDEX(LISTS!$P$3:$P$145,MATCH($G349,LISTS!$O$3:$O$145,0)),"Other"))</f>
        <v/>
      </c>
      <c r="I349" s="37"/>
      <c r="J349" s="17"/>
      <c r="K349" s="17"/>
      <c r="L349" s="37"/>
      <c r="M349" s="37"/>
      <c r="N349" s="39"/>
      <c r="O349" s="37"/>
      <c r="P349" s="39"/>
      <c r="Q349" s="37"/>
      <c r="R349" s="39"/>
      <c r="S349" s="17"/>
      <c r="T349" s="17"/>
      <c r="U349" s="37"/>
      <c r="V349" s="37"/>
      <c r="W349" s="17"/>
      <c r="X349" s="37"/>
      <c r="Y349" s="17"/>
      <c r="Z349" s="39"/>
      <c r="AA349" s="39"/>
      <c r="AB349" s="37"/>
      <c r="AC349" s="37"/>
      <c r="AD349" s="38"/>
      <c r="AE349" s="37"/>
      <c r="AF349" s="37"/>
      <c r="AG349" s="37"/>
      <c r="AH349" s="37"/>
      <c r="AI349" s="17"/>
      <c r="AJ349" s="37"/>
      <c r="AK349" s="17"/>
      <c r="AL349" s="39"/>
      <c r="AM349" s="17"/>
      <c r="AN349" s="17"/>
      <c r="AO349" s="37"/>
      <c r="AP349" s="17"/>
      <c r="AQ349" s="37"/>
      <c r="AR349" s="37"/>
      <c r="AS349" s="37"/>
      <c r="AT349" s="17"/>
      <c r="AU349" s="37"/>
      <c r="AV349" s="37"/>
      <c r="AW349" s="38"/>
      <c r="AX349" s="37"/>
      <c r="AY349" s="38"/>
      <c r="AZ349" s="34" t="str">
        <f aca="false">IF($E349="","",COUNTA($E349,$F349,$G349,$J349,$L349,$Q349,$U349,$X349,$AM349,$AN349,$AP349,$AR349)/12)</f>
        <v/>
      </c>
      <c r="BA349" s="32" t="str">
        <f aca="false">IF($E349="","",IF(COUNTIF($E$3:$E$402,$E349)&gt;1,"DUPLICATE",""))</f>
        <v/>
      </c>
      <c r="BB349" s="17"/>
      <c r="BC349" s="35" t="str">
        <f aca="false">IF($E349="","",IFERROR(INDEX(SCORING!$C$6:$C$15,MATCH($J349,SCORING!$B$6:$B$15,0)),0)+IFERROR(INDEX(SCORING!$C$18:$C$20,MATCH($U349,SCORING!$B$18:$B$20,0)),0)+IFERROR(INDEX(SCORING!$C$23:$C$26,MATCH($X349,SCORING!$B$23:$B$26,0)),0)+IFERROR(INDEX(SCORING!$C$29:$C$32,MATCH($Q349,SCORING!$B$29:$B$32,0)),0)+IFERROR(INDEX(SCORING!$C$35:$C$37,MATCH($L349,SCORING!$B$35:$B$37,0)),0)+IF($AP349="",0,IF(AND($AQ349="Valid",$AO349="Decision maker"),SCORING!$C$40,IF($AQ349="Valid",SCORING!$C$41,SCORING!$C$42))))</f>
        <v/>
      </c>
      <c r="BD349" s="36" t="str">
        <f aca="false">IF($BC349="","",IF($BC349&gt;=SCORING!$C$46,"A",IF($BC349&gt;=SCORING!$C$47,"B",IF($BC349&gt;=SCORING!$C$48,"C","D"))))</f>
        <v/>
      </c>
      <c r="BE349" s="37"/>
    </row>
    <row r="350" customFormat="false" ht="15" hidden="false" customHeight="false" outlineLevel="0" collapsed="false">
      <c r="A350" s="37"/>
      <c r="B350" s="38"/>
      <c r="C350" s="37"/>
      <c r="D350" s="37"/>
      <c r="E350" s="17"/>
      <c r="F350" s="17"/>
      <c r="G350" s="37"/>
      <c r="H350" s="32" t="str">
        <f aca="false">IF($G350="","",IFERROR(INDEX(LISTS!$P$3:$P$145,MATCH($G350,LISTS!$O$3:$O$145,0)),"Other"))</f>
        <v/>
      </c>
      <c r="I350" s="37"/>
      <c r="J350" s="17"/>
      <c r="K350" s="17"/>
      <c r="L350" s="37"/>
      <c r="M350" s="37"/>
      <c r="N350" s="39"/>
      <c r="O350" s="37"/>
      <c r="P350" s="39"/>
      <c r="Q350" s="37"/>
      <c r="R350" s="39"/>
      <c r="S350" s="17"/>
      <c r="T350" s="17"/>
      <c r="U350" s="37"/>
      <c r="V350" s="37"/>
      <c r="W350" s="17"/>
      <c r="X350" s="37"/>
      <c r="Y350" s="17"/>
      <c r="Z350" s="39"/>
      <c r="AA350" s="39"/>
      <c r="AB350" s="37"/>
      <c r="AC350" s="37"/>
      <c r="AD350" s="38"/>
      <c r="AE350" s="37"/>
      <c r="AF350" s="37"/>
      <c r="AG350" s="37"/>
      <c r="AH350" s="37"/>
      <c r="AI350" s="17"/>
      <c r="AJ350" s="37"/>
      <c r="AK350" s="17"/>
      <c r="AL350" s="39"/>
      <c r="AM350" s="17"/>
      <c r="AN350" s="17"/>
      <c r="AO350" s="37"/>
      <c r="AP350" s="17"/>
      <c r="AQ350" s="37"/>
      <c r="AR350" s="37"/>
      <c r="AS350" s="37"/>
      <c r="AT350" s="17"/>
      <c r="AU350" s="37"/>
      <c r="AV350" s="37"/>
      <c r="AW350" s="38"/>
      <c r="AX350" s="37"/>
      <c r="AY350" s="38"/>
      <c r="AZ350" s="34" t="str">
        <f aca="false">IF($E350="","",COUNTA($E350,$F350,$G350,$J350,$L350,$Q350,$U350,$X350,$AM350,$AN350,$AP350,$AR350)/12)</f>
        <v/>
      </c>
      <c r="BA350" s="32" t="str">
        <f aca="false">IF($E350="","",IF(COUNTIF($E$3:$E$402,$E350)&gt;1,"DUPLICATE",""))</f>
        <v/>
      </c>
      <c r="BB350" s="17"/>
      <c r="BC350" s="35" t="str">
        <f aca="false">IF($E350="","",IFERROR(INDEX(SCORING!$C$6:$C$15,MATCH($J350,SCORING!$B$6:$B$15,0)),0)+IFERROR(INDEX(SCORING!$C$18:$C$20,MATCH($U350,SCORING!$B$18:$B$20,0)),0)+IFERROR(INDEX(SCORING!$C$23:$C$26,MATCH($X350,SCORING!$B$23:$B$26,0)),0)+IFERROR(INDEX(SCORING!$C$29:$C$32,MATCH($Q350,SCORING!$B$29:$B$32,0)),0)+IFERROR(INDEX(SCORING!$C$35:$C$37,MATCH($L350,SCORING!$B$35:$B$37,0)),0)+IF($AP350="",0,IF(AND($AQ350="Valid",$AO350="Decision maker"),SCORING!$C$40,IF($AQ350="Valid",SCORING!$C$41,SCORING!$C$42))))</f>
        <v/>
      </c>
      <c r="BD350" s="36" t="str">
        <f aca="false">IF($BC350="","",IF($BC350&gt;=SCORING!$C$46,"A",IF($BC350&gt;=SCORING!$C$47,"B",IF($BC350&gt;=SCORING!$C$48,"C","D"))))</f>
        <v/>
      </c>
      <c r="BE350" s="37"/>
    </row>
    <row r="351" customFormat="false" ht="15" hidden="false" customHeight="false" outlineLevel="0" collapsed="false">
      <c r="A351" s="37"/>
      <c r="B351" s="38"/>
      <c r="C351" s="37"/>
      <c r="D351" s="37"/>
      <c r="E351" s="17"/>
      <c r="F351" s="17"/>
      <c r="G351" s="37"/>
      <c r="H351" s="32" t="str">
        <f aca="false">IF($G351="","",IFERROR(INDEX(LISTS!$P$3:$P$145,MATCH($G351,LISTS!$O$3:$O$145,0)),"Other"))</f>
        <v/>
      </c>
      <c r="I351" s="37"/>
      <c r="J351" s="17"/>
      <c r="K351" s="17"/>
      <c r="L351" s="37"/>
      <c r="M351" s="37"/>
      <c r="N351" s="39"/>
      <c r="O351" s="37"/>
      <c r="P351" s="39"/>
      <c r="Q351" s="37"/>
      <c r="R351" s="39"/>
      <c r="S351" s="17"/>
      <c r="T351" s="17"/>
      <c r="U351" s="37"/>
      <c r="V351" s="37"/>
      <c r="W351" s="17"/>
      <c r="X351" s="37"/>
      <c r="Y351" s="17"/>
      <c r="Z351" s="39"/>
      <c r="AA351" s="39"/>
      <c r="AB351" s="37"/>
      <c r="AC351" s="37"/>
      <c r="AD351" s="38"/>
      <c r="AE351" s="37"/>
      <c r="AF351" s="37"/>
      <c r="AG351" s="37"/>
      <c r="AH351" s="37"/>
      <c r="AI351" s="17"/>
      <c r="AJ351" s="37"/>
      <c r="AK351" s="17"/>
      <c r="AL351" s="39"/>
      <c r="AM351" s="17"/>
      <c r="AN351" s="17"/>
      <c r="AO351" s="37"/>
      <c r="AP351" s="17"/>
      <c r="AQ351" s="37"/>
      <c r="AR351" s="37"/>
      <c r="AS351" s="37"/>
      <c r="AT351" s="17"/>
      <c r="AU351" s="37"/>
      <c r="AV351" s="37"/>
      <c r="AW351" s="38"/>
      <c r="AX351" s="37"/>
      <c r="AY351" s="38"/>
      <c r="AZ351" s="34" t="str">
        <f aca="false">IF($E351="","",COUNTA($E351,$F351,$G351,$J351,$L351,$Q351,$U351,$X351,$AM351,$AN351,$AP351,$AR351)/12)</f>
        <v/>
      </c>
      <c r="BA351" s="32" t="str">
        <f aca="false">IF($E351="","",IF(COUNTIF($E$3:$E$402,$E351)&gt;1,"DUPLICATE",""))</f>
        <v/>
      </c>
      <c r="BB351" s="17"/>
      <c r="BC351" s="35" t="str">
        <f aca="false">IF($E351="","",IFERROR(INDEX(SCORING!$C$6:$C$15,MATCH($J351,SCORING!$B$6:$B$15,0)),0)+IFERROR(INDEX(SCORING!$C$18:$C$20,MATCH($U351,SCORING!$B$18:$B$20,0)),0)+IFERROR(INDEX(SCORING!$C$23:$C$26,MATCH($X351,SCORING!$B$23:$B$26,0)),0)+IFERROR(INDEX(SCORING!$C$29:$C$32,MATCH($Q351,SCORING!$B$29:$B$32,0)),0)+IFERROR(INDEX(SCORING!$C$35:$C$37,MATCH($L351,SCORING!$B$35:$B$37,0)),0)+IF($AP351="",0,IF(AND($AQ351="Valid",$AO351="Decision maker"),SCORING!$C$40,IF($AQ351="Valid",SCORING!$C$41,SCORING!$C$42))))</f>
        <v/>
      </c>
      <c r="BD351" s="36" t="str">
        <f aca="false">IF($BC351="","",IF($BC351&gt;=SCORING!$C$46,"A",IF($BC351&gt;=SCORING!$C$47,"B",IF($BC351&gt;=SCORING!$C$48,"C","D"))))</f>
        <v/>
      </c>
      <c r="BE351" s="37"/>
    </row>
    <row r="352" customFormat="false" ht="15" hidden="false" customHeight="false" outlineLevel="0" collapsed="false">
      <c r="A352" s="37"/>
      <c r="B352" s="38"/>
      <c r="C352" s="37"/>
      <c r="D352" s="37"/>
      <c r="E352" s="17"/>
      <c r="F352" s="17"/>
      <c r="G352" s="37"/>
      <c r="H352" s="32" t="str">
        <f aca="false">IF($G352="","",IFERROR(INDEX(LISTS!$P$3:$P$145,MATCH($G352,LISTS!$O$3:$O$145,0)),"Other"))</f>
        <v/>
      </c>
      <c r="I352" s="37"/>
      <c r="J352" s="17"/>
      <c r="K352" s="17"/>
      <c r="L352" s="37"/>
      <c r="M352" s="37"/>
      <c r="N352" s="39"/>
      <c r="O352" s="37"/>
      <c r="P352" s="39"/>
      <c r="Q352" s="37"/>
      <c r="R352" s="39"/>
      <c r="S352" s="17"/>
      <c r="T352" s="17"/>
      <c r="U352" s="37"/>
      <c r="V352" s="37"/>
      <c r="W352" s="17"/>
      <c r="X352" s="37"/>
      <c r="Y352" s="17"/>
      <c r="Z352" s="39"/>
      <c r="AA352" s="39"/>
      <c r="AB352" s="37"/>
      <c r="AC352" s="37"/>
      <c r="AD352" s="38"/>
      <c r="AE352" s="37"/>
      <c r="AF352" s="37"/>
      <c r="AG352" s="37"/>
      <c r="AH352" s="37"/>
      <c r="AI352" s="17"/>
      <c r="AJ352" s="37"/>
      <c r="AK352" s="17"/>
      <c r="AL352" s="39"/>
      <c r="AM352" s="17"/>
      <c r="AN352" s="17"/>
      <c r="AO352" s="37"/>
      <c r="AP352" s="17"/>
      <c r="AQ352" s="37"/>
      <c r="AR352" s="37"/>
      <c r="AS352" s="37"/>
      <c r="AT352" s="17"/>
      <c r="AU352" s="37"/>
      <c r="AV352" s="37"/>
      <c r="AW352" s="38"/>
      <c r="AX352" s="37"/>
      <c r="AY352" s="38"/>
      <c r="AZ352" s="34" t="str">
        <f aca="false">IF($E352="","",COUNTA($E352,$F352,$G352,$J352,$L352,$Q352,$U352,$X352,$AM352,$AN352,$AP352,$AR352)/12)</f>
        <v/>
      </c>
      <c r="BA352" s="32" t="str">
        <f aca="false">IF($E352="","",IF(COUNTIF($E$3:$E$402,$E352)&gt;1,"DUPLICATE",""))</f>
        <v/>
      </c>
      <c r="BB352" s="17"/>
      <c r="BC352" s="35" t="str">
        <f aca="false">IF($E352="","",IFERROR(INDEX(SCORING!$C$6:$C$15,MATCH($J352,SCORING!$B$6:$B$15,0)),0)+IFERROR(INDEX(SCORING!$C$18:$C$20,MATCH($U352,SCORING!$B$18:$B$20,0)),0)+IFERROR(INDEX(SCORING!$C$23:$C$26,MATCH($X352,SCORING!$B$23:$B$26,0)),0)+IFERROR(INDEX(SCORING!$C$29:$C$32,MATCH($Q352,SCORING!$B$29:$B$32,0)),0)+IFERROR(INDEX(SCORING!$C$35:$C$37,MATCH($L352,SCORING!$B$35:$B$37,0)),0)+IF($AP352="",0,IF(AND($AQ352="Valid",$AO352="Decision maker"),SCORING!$C$40,IF($AQ352="Valid",SCORING!$C$41,SCORING!$C$42))))</f>
        <v/>
      </c>
      <c r="BD352" s="36" t="str">
        <f aca="false">IF($BC352="","",IF($BC352&gt;=SCORING!$C$46,"A",IF($BC352&gt;=SCORING!$C$47,"B",IF($BC352&gt;=SCORING!$C$48,"C","D"))))</f>
        <v/>
      </c>
      <c r="BE352" s="37"/>
    </row>
    <row r="353" customFormat="false" ht="15" hidden="false" customHeight="false" outlineLevel="0" collapsed="false">
      <c r="A353" s="37"/>
      <c r="B353" s="38"/>
      <c r="C353" s="37"/>
      <c r="D353" s="37"/>
      <c r="E353" s="17"/>
      <c r="F353" s="17"/>
      <c r="G353" s="37"/>
      <c r="H353" s="32" t="str">
        <f aca="false">IF($G353="","",IFERROR(INDEX(LISTS!$P$3:$P$145,MATCH($G353,LISTS!$O$3:$O$145,0)),"Other"))</f>
        <v/>
      </c>
      <c r="I353" s="37"/>
      <c r="J353" s="17"/>
      <c r="K353" s="17"/>
      <c r="L353" s="37"/>
      <c r="M353" s="37"/>
      <c r="N353" s="39"/>
      <c r="O353" s="37"/>
      <c r="P353" s="39"/>
      <c r="Q353" s="37"/>
      <c r="R353" s="39"/>
      <c r="S353" s="17"/>
      <c r="T353" s="17"/>
      <c r="U353" s="37"/>
      <c r="V353" s="37"/>
      <c r="W353" s="17"/>
      <c r="X353" s="37"/>
      <c r="Y353" s="17"/>
      <c r="Z353" s="39"/>
      <c r="AA353" s="39"/>
      <c r="AB353" s="37"/>
      <c r="AC353" s="37"/>
      <c r="AD353" s="38"/>
      <c r="AE353" s="37"/>
      <c r="AF353" s="37"/>
      <c r="AG353" s="37"/>
      <c r="AH353" s="37"/>
      <c r="AI353" s="17"/>
      <c r="AJ353" s="37"/>
      <c r="AK353" s="17"/>
      <c r="AL353" s="39"/>
      <c r="AM353" s="17"/>
      <c r="AN353" s="17"/>
      <c r="AO353" s="37"/>
      <c r="AP353" s="17"/>
      <c r="AQ353" s="37"/>
      <c r="AR353" s="37"/>
      <c r="AS353" s="37"/>
      <c r="AT353" s="17"/>
      <c r="AU353" s="37"/>
      <c r="AV353" s="37"/>
      <c r="AW353" s="38"/>
      <c r="AX353" s="37"/>
      <c r="AY353" s="38"/>
      <c r="AZ353" s="34" t="str">
        <f aca="false">IF($E353="","",COUNTA($E353,$F353,$G353,$J353,$L353,$Q353,$U353,$X353,$AM353,$AN353,$AP353,$AR353)/12)</f>
        <v/>
      </c>
      <c r="BA353" s="32" t="str">
        <f aca="false">IF($E353="","",IF(COUNTIF($E$3:$E$402,$E353)&gt;1,"DUPLICATE",""))</f>
        <v/>
      </c>
      <c r="BB353" s="17"/>
      <c r="BC353" s="35" t="str">
        <f aca="false">IF($E353="","",IFERROR(INDEX(SCORING!$C$6:$C$15,MATCH($J353,SCORING!$B$6:$B$15,0)),0)+IFERROR(INDEX(SCORING!$C$18:$C$20,MATCH($U353,SCORING!$B$18:$B$20,0)),0)+IFERROR(INDEX(SCORING!$C$23:$C$26,MATCH($X353,SCORING!$B$23:$B$26,0)),0)+IFERROR(INDEX(SCORING!$C$29:$C$32,MATCH($Q353,SCORING!$B$29:$B$32,0)),0)+IFERROR(INDEX(SCORING!$C$35:$C$37,MATCH($L353,SCORING!$B$35:$B$37,0)),0)+IF($AP353="",0,IF(AND($AQ353="Valid",$AO353="Decision maker"),SCORING!$C$40,IF($AQ353="Valid",SCORING!$C$41,SCORING!$C$42))))</f>
        <v/>
      </c>
      <c r="BD353" s="36" t="str">
        <f aca="false">IF($BC353="","",IF($BC353&gt;=SCORING!$C$46,"A",IF($BC353&gt;=SCORING!$C$47,"B",IF($BC353&gt;=SCORING!$C$48,"C","D"))))</f>
        <v/>
      </c>
      <c r="BE353" s="37"/>
    </row>
    <row r="354" customFormat="false" ht="15" hidden="false" customHeight="false" outlineLevel="0" collapsed="false">
      <c r="A354" s="37"/>
      <c r="B354" s="38"/>
      <c r="C354" s="37"/>
      <c r="D354" s="37"/>
      <c r="E354" s="17"/>
      <c r="F354" s="17"/>
      <c r="G354" s="37"/>
      <c r="H354" s="32" t="str">
        <f aca="false">IF($G354="","",IFERROR(INDEX(LISTS!$P$3:$P$145,MATCH($G354,LISTS!$O$3:$O$145,0)),"Other"))</f>
        <v/>
      </c>
      <c r="I354" s="37"/>
      <c r="J354" s="17"/>
      <c r="K354" s="17"/>
      <c r="L354" s="37"/>
      <c r="M354" s="37"/>
      <c r="N354" s="39"/>
      <c r="O354" s="37"/>
      <c r="P354" s="39"/>
      <c r="Q354" s="37"/>
      <c r="R354" s="39"/>
      <c r="S354" s="17"/>
      <c r="T354" s="17"/>
      <c r="U354" s="37"/>
      <c r="V354" s="37"/>
      <c r="W354" s="17"/>
      <c r="X354" s="37"/>
      <c r="Y354" s="17"/>
      <c r="Z354" s="39"/>
      <c r="AA354" s="39"/>
      <c r="AB354" s="37"/>
      <c r="AC354" s="37"/>
      <c r="AD354" s="38"/>
      <c r="AE354" s="37"/>
      <c r="AF354" s="37"/>
      <c r="AG354" s="37"/>
      <c r="AH354" s="37"/>
      <c r="AI354" s="17"/>
      <c r="AJ354" s="37"/>
      <c r="AK354" s="17"/>
      <c r="AL354" s="39"/>
      <c r="AM354" s="17"/>
      <c r="AN354" s="17"/>
      <c r="AO354" s="37"/>
      <c r="AP354" s="17"/>
      <c r="AQ354" s="37"/>
      <c r="AR354" s="37"/>
      <c r="AS354" s="37"/>
      <c r="AT354" s="17"/>
      <c r="AU354" s="37"/>
      <c r="AV354" s="37"/>
      <c r="AW354" s="38"/>
      <c r="AX354" s="37"/>
      <c r="AY354" s="38"/>
      <c r="AZ354" s="34" t="str">
        <f aca="false">IF($E354="","",COUNTA($E354,$F354,$G354,$J354,$L354,$Q354,$U354,$X354,$AM354,$AN354,$AP354,$AR354)/12)</f>
        <v/>
      </c>
      <c r="BA354" s="32" t="str">
        <f aca="false">IF($E354="","",IF(COUNTIF($E$3:$E$402,$E354)&gt;1,"DUPLICATE",""))</f>
        <v/>
      </c>
      <c r="BB354" s="17"/>
      <c r="BC354" s="35" t="str">
        <f aca="false">IF($E354="","",IFERROR(INDEX(SCORING!$C$6:$C$15,MATCH($J354,SCORING!$B$6:$B$15,0)),0)+IFERROR(INDEX(SCORING!$C$18:$C$20,MATCH($U354,SCORING!$B$18:$B$20,0)),0)+IFERROR(INDEX(SCORING!$C$23:$C$26,MATCH($X354,SCORING!$B$23:$B$26,0)),0)+IFERROR(INDEX(SCORING!$C$29:$C$32,MATCH($Q354,SCORING!$B$29:$B$32,0)),0)+IFERROR(INDEX(SCORING!$C$35:$C$37,MATCH($L354,SCORING!$B$35:$B$37,0)),0)+IF($AP354="",0,IF(AND($AQ354="Valid",$AO354="Decision maker"),SCORING!$C$40,IF($AQ354="Valid",SCORING!$C$41,SCORING!$C$42))))</f>
        <v/>
      </c>
      <c r="BD354" s="36" t="str">
        <f aca="false">IF($BC354="","",IF($BC354&gt;=SCORING!$C$46,"A",IF($BC354&gt;=SCORING!$C$47,"B",IF($BC354&gt;=SCORING!$C$48,"C","D"))))</f>
        <v/>
      </c>
      <c r="BE354" s="37"/>
    </row>
    <row r="355" customFormat="false" ht="15" hidden="false" customHeight="false" outlineLevel="0" collapsed="false">
      <c r="A355" s="37"/>
      <c r="B355" s="38"/>
      <c r="C355" s="37"/>
      <c r="D355" s="37"/>
      <c r="E355" s="17"/>
      <c r="F355" s="17"/>
      <c r="G355" s="37"/>
      <c r="H355" s="32" t="str">
        <f aca="false">IF($G355="","",IFERROR(INDEX(LISTS!$P$3:$P$145,MATCH($G355,LISTS!$O$3:$O$145,0)),"Other"))</f>
        <v/>
      </c>
      <c r="I355" s="37"/>
      <c r="J355" s="17"/>
      <c r="K355" s="17"/>
      <c r="L355" s="37"/>
      <c r="M355" s="37"/>
      <c r="N355" s="39"/>
      <c r="O355" s="37"/>
      <c r="P355" s="39"/>
      <c r="Q355" s="37"/>
      <c r="R355" s="39"/>
      <c r="S355" s="17"/>
      <c r="T355" s="17"/>
      <c r="U355" s="37"/>
      <c r="V355" s="37"/>
      <c r="W355" s="17"/>
      <c r="X355" s="37"/>
      <c r="Y355" s="17"/>
      <c r="Z355" s="39"/>
      <c r="AA355" s="39"/>
      <c r="AB355" s="37"/>
      <c r="AC355" s="37"/>
      <c r="AD355" s="38"/>
      <c r="AE355" s="37"/>
      <c r="AF355" s="37"/>
      <c r="AG355" s="37"/>
      <c r="AH355" s="37"/>
      <c r="AI355" s="17"/>
      <c r="AJ355" s="37"/>
      <c r="AK355" s="17"/>
      <c r="AL355" s="39"/>
      <c r="AM355" s="17"/>
      <c r="AN355" s="17"/>
      <c r="AO355" s="37"/>
      <c r="AP355" s="17"/>
      <c r="AQ355" s="37"/>
      <c r="AR355" s="37"/>
      <c r="AS355" s="37"/>
      <c r="AT355" s="17"/>
      <c r="AU355" s="37"/>
      <c r="AV355" s="37"/>
      <c r="AW355" s="38"/>
      <c r="AX355" s="37"/>
      <c r="AY355" s="38"/>
      <c r="AZ355" s="34" t="str">
        <f aca="false">IF($E355="","",COUNTA($E355,$F355,$G355,$J355,$L355,$Q355,$U355,$X355,$AM355,$AN355,$AP355,$AR355)/12)</f>
        <v/>
      </c>
      <c r="BA355" s="32" t="str">
        <f aca="false">IF($E355="","",IF(COUNTIF($E$3:$E$402,$E355)&gt;1,"DUPLICATE",""))</f>
        <v/>
      </c>
      <c r="BB355" s="17"/>
      <c r="BC355" s="35" t="str">
        <f aca="false">IF($E355="","",IFERROR(INDEX(SCORING!$C$6:$C$15,MATCH($J355,SCORING!$B$6:$B$15,0)),0)+IFERROR(INDEX(SCORING!$C$18:$C$20,MATCH($U355,SCORING!$B$18:$B$20,0)),0)+IFERROR(INDEX(SCORING!$C$23:$C$26,MATCH($X355,SCORING!$B$23:$B$26,0)),0)+IFERROR(INDEX(SCORING!$C$29:$C$32,MATCH($Q355,SCORING!$B$29:$B$32,0)),0)+IFERROR(INDEX(SCORING!$C$35:$C$37,MATCH($L355,SCORING!$B$35:$B$37,0)),0)+IF($AP355="",0,IF(AND($AQ355="Valid",$AO355="Decision maker"),SCORING!$C$40,IF($AQ355="Valid",SCORING!$C$41,SCORING!$C$42))))</f>
        <v/>
      </c>
      <c r="BD355" s="36" t="str">
        <f aca="false">IF($BC355="","",IF($BC355&gt;=SCORING!$C$46,"A",IF($BC355&gt;=SCORING!$C$47,"B",IF($BC355&gt;=SCORING!$C$48,"C","D"))))</f>
        <v/>
      </c>
      <c r="BE355" s="37"/>
    </row>
    <row r="356" customFormat="false" ht="15" hidden="false" customHeight="false" outlineLevel="0" collapsed="false">
      <c r="A356" s="37"/>
      <c r="B356" s="38"/>
      <c r="C356" s="37"/>
      <c r="D356" s="37"/>
      <c r="E356" s="17"/>
      <c r="F356" s="17"/>
      <c r="G356" s="37"/>
      <c r="H356" s="32" t="str">
        <f aca="false">IF($G356="","",IFERROR(INDEX(LISTS!$P$3:$P$145,MATCH($G356,LISTS!$O$3:$O$145,0)),"Other"))</f>
        <v/>
      </c>
      <c r="I356" s="37"/>
      <c r="J356" s="17"/>
      <c r="K356" s="17"/>
      <c r="L356" s="37"/>
      <c r="M356" s="37"/>
      <c r="N356" s="39"/>
      <c r="O356" s="37"/>
      <c r="P356" s="39"/>
      <c r="Q356" s="37"/>
      <c r="R356" s="39"/>
      <c r="S356" s="17"/>
      <c r="T356" s="17"/>
      <c r="U356" s="37"/>
      <c r="V356" s="37"/>
      <c r="W356" s="17"/>
      <c r="X356" s="37"/>
      <c r="Y356" s="17"/>
      <c r="Z356" s="39"/>
      <c r="AA356" s="39"/>
      <c r="AB356" s="37"/>
      <c r="AC356" s="37"/>
      <c r="AD356" s="38"/>
      <c r="AE356" s="37"/>
      <c r="AF356" s="37"/>
      <c r="AG356" s="37"/>
      <c r="AH356" s="37"/>
      <c r="AI356" s="17"/>
      <c r="AJ356" s="37"/>
      <c r="AK356" s="17"/>
      <c r="AL356" s="39"/>
      <c r="AM356" s="17"/>
      <c r="AN356" s="17"/>
      <c r="AO356" s="37"/>
      <c r="AP356" s="17"/>
      <c r="AQ356" s="37"/>
      <c r="AR356" s="37"/>
      <c r="AS356" s="37"/>
      <c r="AT356" s="17"/>
      <c r="AU356" s="37"/>
      <c r="AV356" s="37"/>
      <c r="AW356" s="38"/>
      <c r="AX356" s="37"/>
      <c r="AY356" s="38"/>
      <c r="AZ356" s="34" t="str">
        <f aca="false">IF($E356="","",COUNTA($E356,$F356,$G356,$J356,$L356,$Q356,$U356,$X356,$AM356,$AN356,$AP356,$AR356)/12)</f>
        <v/>
      </c>
      <c r="BA356" s="32" t="str">
        <f aca="false">IF($E356="","",IF(COUNTIF($E$3:$E$402,$E356)&gt;1,"DUPLICATE",""))</f>
        <v/>
      </c>
      <c r="BB356" s="17"/>
      <c r="BC356" s="35" t="str">
        <f aca="false">IF($E356="","",IFERROR(INDEX(SCORING!$C$6:$C$15,MATCH($J356,SCORING!$B$6:$B$15,0)),0)+IFERROR(INDEX(SCORING!$C$18:$C$20,MATCH($U356,SCORING!$B$18:$B$20,0)),0)+IFERROR(INDEX(SCORING!$C$23:$C$26,MATCH($X356,SCORING!$B$23:$B$26,0)),0)+IFERROR(INDEX(SCORING!$C$29:$C$32,MATCH($Q356,SCORING!$B$29:$B$32,0)),0)+IFERROR(INDEX(SCORING!$C$35:$C$37,MATCH($L356,SCORING!$B$35:$B$37,0)),0)+IF($AP356="",0,IF(AND($AQ356="Valid",$AO356="Decision maker"),SCORING!$C$40,IF($AQ356="Valid",SCORING!$C$41,SCORING!$C$42))))</f>
        <v/>
      </c>
      <c r="BD356" s="36" t="str">
        <f aca="false">IF($BC356="","",IF($BC356&gt;=SCORING!$C$46,"A",IF($BC356&gt;=SCORING!$C$47,"B",IF($BC356&gt;=SCORING!$C$48,"C","D"))))</f>
        <v/>
      </c>
      <c r="BE356" s="37"/>
    </row>
    <row r="357" customFormat="false" ht="15" hidden="false" customHeight="false" outlineLevel="0" collapsed="false">
      <c r="A357" s="37"/>
      <c r="B357" s="38"/>
      <c r="C357" s="37"/>
      <c r="D357" s="37"/>
      <c r="E357" s="17"/>
      <c r="F357" s="17"/>
      <c r="G357" s="37"/>
      <c r="H357" s="32" t="str">
        <f aca="false">IF($G357="","",IFERROR(INDEX(LISTS!$P$3:$P$145,MATCH($G357,LISTS!$O$3:$O$145,0)),"Other"))</f>
        <v/>
      </c>
      <c r="I357" s="37"/>
      <c r="J357" s="17"/>
      <c r="K357" s="17"/>
      <c r="L357" s="37"/>
      <c r="M357" s="37"/>
      <c r="N357" s="39"/>
      <c r="O357" s="37"/>
      <c r="P357" s="39"/>
      <c r="Q357" s="37"/>
      <c r="R357" s="39"/>
      <c r="S357" s="17"/>
      <c r="T357" s="17"/>
      <c r="U357" s="37"/>
      <c r="V357" s="37"/>
      <c r="W357" s="17"/>
      <c r="X357" s="37"/>
      <c r="Y357" s="17"/>
      <c r="Z357" s="39"/>
      <c r="AA357" s="39"/>
      <c r="AB357" s="37"/>
      <c r="AC357" s="37"/>
      <c r="AD357" s="38"/>
      <c r="AE357" s="37"/>
      <c r="AF357" s="37"/>
      <c r="AG357" s="37"/>
      <c r="AH357" s="37"/>
      <c r="AI357" s="17"/>
      <c r="AJ357" s="37"/>
      <c r="AK357" s="17"/>
      <c r="AL357" s="39"/>
      <c r="AM357" s="17"/>
      <c r="AN357" s="17"/>
      <c r="AO357" s="37"/>
      <c r="AP357" s="17"/>
      <c r="AQ357" s="37"/>
      <c r="AR357" s="37"/>
      <c r="AS357" s="37"/>
      <c r="AT357" s="17"/>
      <c r="AU357" s="37"/>
      <c r="AV357" s="37"/>
      <c r="AW357" s="38"/>
      <c r="AX357" s="37"/>
      <c r="AY357" s="38"/>
      <c r="AZ357" s="34" t="str">
        <f aca="false">IF($E357="","",COUNTA($E357,$F357,$G357,$J357,$L357,$Q357,$U357,$X357,$AM357,$AN357,$AP357,$AR357)/12)</f>
        <v/>
      </c>
      <c r="BA357" s="32" t="str">
        <f aca="false">IF($E357="","",IF(COUNTIF($E$3:$E$402,$E357)&gt;1,"DUPLICATE",""))</f>
        <v/>
      </c>
      <c r="BB357" s="17"/>
      <c r="BC357" s="35" t="str">
        <f aca="false">IF($E357="","",IFERROR(INDEX(SCORING!$C$6:$C$15,MATCH($J357,SCORING!$B$6:$B$15,0)),0)+IFERROR(INDEX(SCORING!$C$18:$C$20,MATCH($U357,SCORING!$B$18:$B$20,0)),0)+IFERROR(INDEX(SCORING!$C$23:$C$26,MATCH($X357,SCORING!$B$23:$B$26,0)),0)+IFERROR(INDEX(SCORING!$C$29:$C$32,MATCH($Q357,SCORING!$B$29:$B$32,0)),0)+IFERROR(INDEX(SCORING!$C$35:$C$37,MATCH($L357,SCORING!$B$35:$B$37,0)),0)+IF($AP357="",0,IF(AND($AQ357="Valid",$AO357="Decision maker"),SCORING!$C$40,IF($AQ357="Valid",SCORING!$C$41,SCORING!$C$42))))</f>
        <v/>
      </c>
      <c r="BD357" s="36" t="str">
        <f aca="false">IF($BC357="","",IF($BC357&gt;=SCORING!$C$46,"A",IF($BC357&gt;=SCORING!$C$47,"B",IF($BC357&gt;=SCORING!$C$48,"C","D"))))</f>
        <v/>
      </c>
      <c r="BE357" s="37"/>
    </row>
    <row r="358" customFormat="false" ht="15" hidden="false" customHeight="false" outlineLevel="0" collapsed="false">
      <c r="A358" s="37"/>
      <c r="B358" s="38"/>
      <c r="C358" s="37"/>
      <c r="D358" s="37"/>
      <c r="E358" s="17"/>
      <c r="F358" s="17"/>
      <c r="G358" s="37"/>
      <c r="H358" s="32" t="str">
        <f aca="false">IF($G358="","",IFERROR(INDEX(LISTS!$P$3:$P$145,MATCH($G358,LISTS!$O$3:$O$145,0)),"Other"))</f>
        <v/>
      </c>
      <c r="I358" s="37"/>
      <c r="J358" s="17"/>
      <c r="K358" s="17"/>
      <c r="L358" s="37"/>
      <c r="M358" s="37"/>
      <c r="N358" s="39"/>
      <c r="O358" s="37"/>
      <c r="P358" s="39"/>
      <c r="Q358" s="37"/>
      <c r="R358" s="39"/>
      <c r="S358" s="17"/>
      <c r="T358" s="17"/>
      <c r="U358" s="37"/>
      <c r="V358" s="37"/>
      <c r="W358" s="17"/>
      <c r="X358" s="37"/>
      <c r="Y358" s="17"/>
      <c r="Z358" s="39"/>
      <c r="AA358" s="39"/>
      <c r="AB358" s="37"/>
      <c r="AC358" s="37"/>
      <c r="AD358" s="38"/>
      <c r="AE358" s="37"/>
      <c r="AF358" s="37"/>
      <c r="AG358" s="37"/>
      <c r="AH358" s="37"/>
      <c r="AI358" s="17"/>
      <c r="AJ358" s="37"/>
      <c r="AK358" s="17"/>
      <c r="AL358" s="39"/>
      <c r="AM358" s="17"/>
      <c r="AN358" s="17"/>
      <c r="AO358" s="37"/>
      <c r="AP358" s="17"/>
      <c r="AQ358" s="37"/>
      <c r="AR358" s="37"/>
      <c r="AS358" s="37"/>
      <c r="AT358" s="17"/>
      <c r="AU358" s="37"/>
      <c r="AV358" s="37"/>
      <c r="AW358" s="38"/>
      <c r="AX358" s="37"/>
      <c r="AY358" s="38"/>
      <c r="AZ358" s="34" t="str">
        <f aca="false">IF($E358="","",COUNTA($E358,$F358,$G358,$J358,$L358,$Q358,$U358,$X358,$AM358,$AN358,$AP358,$AR358)/12)</f>
        <v/>
      </c>
      <c r="BA358" s="32" t="str">
        <f aca="false">IF($E358="","",IF(COUNTIF($E$3:$E$402,$E358)&gt;1,"DUPLICATE",""))</f>
        <v/>
      </c>
      <c r="BB358" s="17"/>
      <c r="BC358" s="35" t="str">
        <f aca="false">IF($E358="","",IFERROR(INDEX(SCORING!$C$6:$C$15,MATCH($J358,SCORING!$B$6:$B$15,0)),0)+IFERROR(INDEX(SCORING!$C$18:$C$20,MATCH($U358,SCORING!$B$18:$B$20,0)),0)+IFERROR(INDEX(SCORING!$C$23:$C$26,MATCH($X358,SCORING!$B$23:$B$26,0)),0)+IFERROR(INDEX(SCORING!$C$29:$C$32,MATCH($Q358,SCORING!$B$29:$B$32,0)),0)+IFERROR(INDEX(SCORING!$C$35:$C$37,MATCH($L358,SCORING!$B$35:$B$37,0)),0)+IF($AP358="",0,IF(AND($AQ358="Valid",$AO358="Decision maker"),SCORING!$C$40,IF($AQ358="Valid",SCORING!$C$41,SCORING!$C$42))))</f>
        <v/>
      </c>
      <c r="BD358" s="36" t="str">
        <f aca="false">IF($BC358="","",IF($BC358&gt;=SCORING!$C$46,"A",IF($BC358&gt;=SCORING!$C$47,"B",IF($BC358&gt;=SCORING!$C$48,"C","D"))))</f>
        <v/>
      </c>
      <c r="BE358" s="37"/>
    </row>
    <row r="359" customFormat="false" ht="15" hidden="false" customHeight="false" outlineLevel="0" collapsed="false">
      <c r="A359" s="37"/>
      <c r="B359" s="38"/>
      <c r="C359" s="37"/>
      <c r="D359" s="37"/>
      <c r="E359" s="17"/>
      <c r="F359" s="17"/>
      <c r="G359" s="37"/>
      <c r="H359" s="32" t="str">
        <f aca="false">IF($G359="","",IFERROR(INDEX(LISTS!$P$3:$P$145,MATCH($G359,LISTS!$O$3:$O$145,0)),"Other"))</f>
        <v/>
      </c>
      <c r="I359" s="37"/>
      <c r="J359" s="17"/>
      <c r="K359" s="17"/>
      <c r="L359" s="37"/>
      <c r="M359" s="37"/>
      <c r="N359" s="39"/>
      <c r="O359" s="37"/>
      <c r="P359" s="39"/>
      <c r="Q359" s="37"/>
      <c r="R359" s="39"/>
      <c r="S359" s="17"/>
      <c r="T359" s="17"/>
      <c r="U359" s="37"/>
      <c r="V359" s="37"/>
      <c r="W359" s="17"/>
      <c r="X359" s="37"/>
      <c r="Y359" s="17"/>
      <c r="Z359" s="39"/>
      <c r="AA359" s="39"/>
      <c r="AB359" s="37"/>
      <c r="AC359" s="37"/>
      <c r="AD359" s="38"/>
      <c r="AE359" s="37"/>
      <c r="AF359" s="37"/>
      <c r="AG359" s="37"/>
      <c r="AH359" s="37"/>
      <c r="AI359" s="17"/>
      <c r="AJ359" s="37"/>
      <c r="AK359" s="17"/>
      <c r="AL359" s="39"/>
      <c r="AM359" s="17"/>
      <c r="AN359" s="17"/>
      <c r="AO359" s="37"/>
      <c r="AP359" s="17"/>
      <c r="AQ359" s="37"/>
      <c r="AR359" s="37"/>
      <c r="AS359" s="37"/>
      <c r="AT359" s="17"/>
      <c r="AU359" s="37"/>
      <c r="AV359" s="37"/>
      <c r="AW359" s="38"/>
      <c r="AX359" s="37"/>
      <c r="AY359" s="38"/>
      <c r="AZ359" s="34" t="str">
        <f aca="false">IF($E359="","",COUNTA($E359,$F359,$G359,$J359,$L359,$Q359,$U359,$X359,$AM359,$AN359,$AP359,$AR359)/12)</f>
        <v/>
      </c>
      <c r="BA359" s="32" t="str">
        <f aca="false">IF($E359="","",IF(COUNTIF($E$3:$E$402,$E359)&gt;1,"DUPLICATE",""))</f>
        <v/>
      </c>
      <c r="BB359" s="17"/>
      <c r="BC359" s="35" t="str">
        <f aca="false">IF($E359="","",IFERROR(INDEX(SCORING!$C$6:$C$15,MATCH($J359,SCORING!$B$6:$B$15,0)),0)+IFERROR(INDEX(SCORING!$C$18:$C$20,MATCH($U359,SCORING!$B$18:$B$20,0)),0)+IFERROR(INDEX(SCORING!$C$23:$C$26,MATCH($X359,SCORING!$B$23:$B$26,0)),0)+IFERROR(INDEX(SCORING!$C$29:$C$32,MATCH($Q359,SCORING!$B$29:$B$32,0)),0)+IFERROR(INDEX(SCORING!$C$35:$C$37,MATCH($L359,SCORING!$B$35:$B$37,0)),0)+IF($AP359="",0,IF(AND($AQ359="Valid",$AO359="Decision maker"),SCORING!$C$40,IF($AQ359="Valid",SCORING!$C$41,SCORING!$C$42))))</f>
        <v/>
      </c>
      <c r="BD359" s="36" t="str">
        <f aca="false">IF($BC359="","",IF($BC359&gt;=SCORING!$C$46,"A",IF($BC359&gt;=SCORING!$C$47,"B",IF($BC359&gt;=SCORING!$C$48,"C","D"))))</f>
        <v/>
      </c>
      <c r="BE359" s="37"/>
    </row>
    <row r="360" customFormat="false" ht="15" hidden="false" customHeight="false" outlineLevel="0" collapsed="false">
      <c r="A360" s="37"/>
      <c r="B360" s="38"/>
      <c r="C360" s="37"/>
      <c r="D360" s="37"/>
      <c r="E360" s="17"/>
      <c r="F360" s="17"/>
      <c r="G360" s="37"/>
      <c r="H360" s="32" t="str">
        <f aca="false">IF($G360="","",IFERROR(INDEX(LISTS!$P$3:$P$145,MATCH($G360,LISTS!$O$3:$O$145,0)),"Other"))</f>
        <v/>
      </c>
      <c r="I360" s="37"/>
      <c r="J360" s="17"/>
      <c r="K360" s="17"/>
      <c r="L360" s="37"/>
      <c r="M360" s="37"/>
      <c r="N360" s="39"/>
      <c r="O360" s="37"/>
      <c r="P360" s="39"/>
      <c r="Q360" s="37"/>
      <c r="R360" s="39"/>
      <c r="S360" s="17"/>
      <c r="T360" s="17"/>
      <c r="U360" s="37"/>
      <c r="V360" s="37"/>
      <c r="W360" s="17"/>
      <c r="X360" s="37"/>
      <c r="Y360" s="17"/>
      <c r="Z360" s="39"/>
      <c r="AA360" s="39"/>
      <c r="AB360" s="37"/>
      <c r="AC360" s="37"/>
      <c r="AD360" s="38"/>
      <c r="AE360" s="37"/>
      <c r="AF360" s="37"/>
      <c r="AG360" s="37"/>
      <c r="AH360" s="37"/>
      <c r="AI360" s="17"/>
      <c r="AJ360" s="37"/>
      <c r="AK360" s="17"/>
      <c r="AL360" s="39"/>
      <c r="AM360" s="17"/>
      <c r="AN360" s="17"/>
      <c r="AO360" s="37"/>
      <c r="AP360" s="17"/>
      <c r="AQ360" s="37"/>
      <c r="AR360" s="37"/>
      <c r="AS360" s="37"/>
      <c r="AT360" s="17"/>
      <c r="AU360" s="37"/>
      <c r="AV360" s="37"/>
      <c r="AW360" s="38"/>
      <c r="AX360" s="37"/>
      <c r="AY360" s="38"/>
      <c r="AZ360" s="34" t="str">
        <f aca="false">IF($E360="","",COUNTA($E360,$F360,$G360,$J360,$L360,$Q360,$U360,$X360,$AM360,$AN360,$AP360,$AR360)/12)</f>
        <v/>
      </c>
      <c r="BA360" s="32" t="str">
        <f aca="false">IF($E360="","",IF(COUNTIF($E$3:$E$402,$E360)&gt;1,"DUPLICATE",""))</f>
        <v/>
      </c>
      <c r="BB360" s="17"/>
      <c r="BC360" s="35" t="str">
        <f aca="false">IF($E360="","",IFERROR(INDEX(SCORING!$C$6:$C$15,MATCH($J360,SCORING!$B$6:$B$15,0)),0)+IFERROR(INDEX(SCORING!$C$18:$C$20,MATCH($U360,SCORING!$B$18:$B$20,0)),0)+IFERROR(INDEX(SCORING!$C$23:$C$26,MATCH($X360,SCORING!$B$23:$B$26,0)),0)+IFERROR(INDEX(SCORING!$C$29:$C$32,MATCH($Q360,SCORING!$B$29:$B$32,0)),0)+IFERROR(INDEX(SCORING!$C$35:$C$37,MATCH($L360,SCORING!$B$35:$B$37,0)),0)+IF($AP360="",0,IF(AND($AQ360="Valid",$AO360="Decision maker"),SCORING!$C$40,IF($AQ360="Valid",SCORING!$C$41,SCORING!$C$42))))</f>
        <v/>
      </c>
      <c r="BD360" s="36" t="str">
        <f aca="false">IF($BC360="","",IF($BC360&gt;=SCORING!$C$46,"A",IF($BC360&gt;=SCORING!$C$47,"B",IF($BC360&gt;=SCORING!$C$48,"C","D"))))</f>
        <v/>
      </c>
      <c r="BE360" s="37"/>
    </row>
    <row r="361" customFormat="false" ht="15" hidden="false" customHeight="false" outlineLevel="0" collapsed="false">
      <c r="A361" s="37"/>
      <c r="B361" s="38"/>
      <c r="C361" s="37"/>
      <c r="D361" s="37"/>
      <c r="E361" s="17"/>
      <c r="F361" s="17"/>
      <c r="G361" s="37"/>
      <c r="H361" s="32" t="str">
        <f aca="false">IF($G361="","",IFERROR(INDEX(LISTS!$P$3:$P$145,MATCH($G361,LISTS!$O$3:$O$145,0)),"Other"))</f>
        <v/>
      </c>
      <c r="I361" s="37"/>
      <c r="J361" s="17"/>
      <c r="K361" s="17"/>
      <c r="L361" s="37"/>
      <c r="M361" s="37"/>
      <c r="N361" s="39"/>
      <c r="O361" s="37"/>
      <c r="P361" s="39"/>
      <c r="Q361" s="37"/>
      <c r="R361" s="39"/>
      <c r="S361" s="17"/>
      <c r="T361" s="17"/>
      <c r="U361" s="37"/>
      <c r="V361" s="37"/>
      <c r="W361" s="17"/>
      <c r="X361" s="37"/>
      <c r="Y361" s="17"/>
      <c r="Z361" s="39"/>
      <c r="AA361" s="39"/>
      <c r="AB361" s="37"/>
      <c r="AC361" s="37"/>
      <c r="AD361" s="38"/>
      <c r="AE361" s="37"/>
      <c r="AF361" s="37"/>
      <c r="AG361" s="37"/>
      <c r="AH361" s="37"/>
      <c r="AI361" s="17"/>
      <c r="AJ361" s="37"/>
      <c r="AK361" s="17"/>
      <c r="AL361" s="39"/>
      <c r="AM361" s="17"/>
      <c r="AN361" s="17"/>
      <c r="AO361" s="37"/>
      <c r="AP361" s="17"/>
      <c r="AQ361" s="37"/>
      <c r="AR361" s="37"/>
      <c r="AS361" s="37"/>
      <c r="AT361" s="17"/>
      <c r="AU361" s="37"/>
      <c r="AV361" s="37"/>
      <c r="AW361" s="38"/>
      <c r="AX361" s="37"/>
      <c r="AY361" s="38"/>
      <c r="AZ361" s="34" t="str">
        <f aca="false">IF($E361="","",COUNTA($E361,$F361,$G361,$J361,$L361,$Q361,$U361,$X361,$AM361,$AN361,$AP361,$AR361)/12)</f>
        <v/>
      </c>
      <c r="BA361" s="32" t="str">
        <f aca="false">IF($E361="","",IF(COUNTIF($E$3:$E$402,$E361)&gt;1,"DUPLICATE",""))</f>
        <v/>
      </c>
      <c r="BB361" s="17"/>
      <c r="BC361" s="35" t="str">
        <f aca="false">IF($E361="","",IFERROR(INDEX(SCORING!$C$6:$C$15,MATCH($J361,SCORING!$B$6:$B$15,0)),0)+IFERROR(INDEX(SCORING!$C$18:$C$20,MATCH($U361,SCORING!$B$18:$B$20,0)),0)+IFERROR(INDEX(SCORING!$C$23:$C$26,MATCH($X361,SCORING!$B$23:$B$26,0)),0)+IFERROR(INDEX(SCORING!$C$29:$C$32,MATCH($Q361,SCORING!$B$29:$B$32,0)),0)+IFERROR(INDEX(SCORING!$C$35:$C$37,MATCH($L361,SCORING!$B$35:$B$37,0)),0)+IF($AP361="",0,IF(AND($AQ361="Valid",$AO361="Decision maker"),SCORING!$C$40,IF($AQ361="Valid",SCORING!$C$41,SCORING!$C$42))))</f>
        <v/>
      </c>
      <c r="BD361" s="36" t="str">
        <f aca="false">IF($BC361="","",IF($BC361&gt;=SCORING!$C$46,"A",IF($BC361&gt;=SCORING!$C$47,"B",IF($BC361&gt;=SCORING!$C$48,"C","D"))))</f>
        <v/>
      </c>
      <c r="BE361" s="37"/>
    </row>
    <row r="362" customFormat="false" ht="15" hidden="false" customHeight="false" outlineLevel="0" collapsed="false">
      <c r="A362" s="37"/>
      <c r="B362" s="38"/>
      <c r="C362" s="37"/>
      <c r="D362" s="37"/>
      <c r="E362" s="17"/>
      <c r="F362" s="17"/>
      <c r="G362" s="37"/>
      <c r="H362" s="32" t="str">
        <f aca="false">IF($G362="","",IFERROR(INDEX(LISTS!$P$3:$P$145,MATCH($G362,LISTS!$O$3:$O$145,0)),"Other"))</f>
        <v/>
      </c>
      <c r="I362" s="37"/>
      <c r="J362" s="17"/>
      <c r="K362" s="17"/>
      <c r="L362" s="37"/>
      <c r="M362" s="37"/>
      <c r="N362" s="39"/>
      <c r="O362" s="37"/>
      <c r="P362" s="39"/>
      <c r="Q362" s="37"/>
      <c r="R362" s="39"/>
      <c r="S362" s="17"/>
      <c r="T362" s="17"/>
      <c r="U362" s="37"/>
      <c r="V362" s="37"/>
      <c r="W362" s="17"/>
      <c r="X362" s="37"/>
      <c r="Y362" s="17"/>
      <c r="Z362" s="39"/>
      <c r="AA362" s="39"/>
      <c r="AB362" s="37"/>
      <c r="AC362" s="37"/>
      <c r="AD362" s="38"/>
      <c r="AE362" s="37"/>
      <c r="AF362" s="37"/>
      <c r="AG362" s="37"/>
      <c r="AH362" s="37"/>
      <c r="AI362" s="17"/>
      <c r="AJ362" s="37"/>
      <c r="AK362" s="17"/>
      <c r="AL362" s="39"/>
      <c r="AM362" s="17"/>
      <c r="AN362" s="17"/>
      <c r="AO362" s="37"/>
      <c r="AP362" s="17"/>
      <c r="AQ362" s="37"/>
      <c r="AR362" s="37"/>
      <c r="AS362" s="37"/>
      <c r="AT362" s="17"/>
      <c r="AU362" s="37"/>
      <c r="AV362" s="37"/>
      <c r="AW362" s="38"/>
      <c r="AX362" s="37"/>
      <c r="AY362" s="38"/>
      <c r="AZ362" s="34" t="str">
        <f aca="false">IF($E362="","",COUNTA($E362,$F362,$G362,$J362,$L362,$Q362,$U362,$X362,$AM362,$AN362,$AP362,$AR362)/12)</f>
        <v/>
      </c>
      <c r="BA362" s="32" t="str">
        <f aca="false">IF($E362="","",IF(COUNTIF($E$3:$E$402,$E362)&gt;1,"DUPLICATE",""))</f>
        <v/>
      </c>
      <c r="BB362" s="17"/>
      <c r="BC362" s="35" t="str">
        <f aca="false">IF($E362="","",IFERROR(INDEX(SCORING!$C$6:$C$15,MATCH($J362,SCORING!$B$6:$B$15,0)),0)+IFERROR(INDEX(SCORING!$C$18:$C$20,MATCH($U362,SCORING!$B$18:$B$20,0)),0)+IFERROR(INDEX(SCORING!$C$23:$C$26,MATCH($X362,SCORING!$B$23:$B$26,0)),0)+IFERROR(INDEX(SCORING!$C$29:$C$32,MATCH($Q362,SCORING!$B$29:$B$32,0)),0)+IFERROR(INDEX(SCORING!$C$35:$C$37,MATCH($L362,SCORING!$B$35:$B$37,0)),0)+IF($AP362="",0,IF(AND($AQ362="Valid",$AO362="Decision maker"),SCORING!$C$40,IF($AQ362="Valid",SCORING!$C$41,SCORING!$C$42))))</f>
        <v/>
      </c>
      <c r="BD362" s="36" t="str">
        <f aca="false">IF($BC362="","",IF($BC362&gt;=SCORING!$C$46,"A",IF($BC362&gt;=SCORING!$C$47,"B",IF($BC362&gt;=SCORING!$C$48,"C","D"))))</f>
        <v/>
      </c>
      <c r="BE362" s="37"/>
    </row>
    <row r="363" customFormat="false" ht="15" hidden="false" customHeight="false" outlineLevel="0" collapsed="false">
      <c r="A363" s="37"/>
      <c r="B363" s="38"/>
      <c r="C363" s="37"/>
      <c r="D363" s="37"/>
      <c r="E363" s="17"/>
      <c r="F363" s="17"/>
      <c r="G363" s="37"/>
      <c r="H363" s="32" t="str">
        <f aca="false">IF($G363="","",IFERROR(INDEX(LISTS!$P$3:$P$145,MATCH($G363,LISTS!$O$3:$O$145,0)),"Other"))</f>
        <v/>
      </c>
      <c r="I363" s="37"/>
      <c r="J363" s="17"/>
      <c r="K363" s="17"/>
      <c r="L363" s="37"/>
      <c r="M363" s="37"/>
      <c r="N363" s="39"/>
      <c r="O363" s="37"/>
      <c r="P363" s="39"/>
      <c r="Q363" s="37"/>
      <c r="R363" s="39"/>
      <c r="S363" s="17"/>
      <c r="T363" s="17"/>
      <c r="U363" s="37"/>
      <c r="V363" s="37"/>
      <c r="W363" s="17"/>
      <c r="X363" s="37"/>
      <c r="Y363" s="17"/>
      <c r="Z363" s="39"/>
      <c r="AA363" s="39"/>
      <c r="AB363" s="37"/>
      <c r="AC363" s="37"/>
      <c r="AD363" s="38"/>
      <c r="AE363" s="37"/>
      <c r="AF363" s="37"/>
      <c r="AG363" s="37"/>
      <c r="AH363" s="37"/>
      <c r="AI363" s="17"/>
      <c r="AJ363" s="37"/>
      <c r="AK363" s="17"/>
      <c r="AL363" s="39"/>
      <c r="AM363" s="17"/>
      <c r="AN363" s="17"/>
      <c r="AO363" s="37"/>
      <c r="AP363" s="17"/>
      <c r="AQ363" s="37"/>
      <c r="AR363" s="37"/>
      <c r="AS363" s="37"/>
      <c r="AT363" s="17"/>
      <c r="AU363" s="37"/>
      <c r="AV363" s="37"/>
      <c r="AW363" s="38"/>
      <c r="AX363" s="37"/>
      <c r="AY363" s="38"/>
      <c r="AZ363" s="34" t="str">
        <f aca="false">IF($E363="","",COUNTA($E363,$F363,$G363,$J363,$L363,$Q363,$U363,$X363,$AM363,$AN363,$AP363,$AR363)/12)</f>
        <v/>
      </c>
      <c r="BA363" s="32" t="str">
        <f aca="false">IF($E363="","",IF(COUNTIF($E$3:$E$402,$E363)&gt;1,"DUPLICATE",""))</f>
        <v/>
      </c>
      <c r="BB363" s="17"/>
      <c r="BC363" s="35" t="str">
        <f aca="false">IF($E363="","",IFERROR(INDEX(SCORING!$C$6:$C$15,MATCH($J363,SCORING!$B$6:$B$15,0)),0)+IFERROR(INDEX(SCORING!$C$18:$C$20,MATCH($U363,SCORING!$B$18:$B$20,0)),0)+IFERROR(INDEX(SCORING!$C$23:$C$26,MATCH($X363,SCORING!$B$23:$B$26,0)),0)+IFERROR(INDEX(SCORING!$C$29:$C$32,MATCH($Q363,SCORING!$B$29:$B$32,0)),0)+IFERROR(INDEX(SCORING!$C$35:$C$37,MATCH($L363,SCORING!$B$35:$B$37,0)),0)+IF($AP363="",0,IF(AND($AQ363="Valid",$AO363="Decision maker"),SCORING!$C$40,IF($AQ363="Valid",SCORING!$C$41,SCORING!$C$42))))</f>
        <v/>
      </c>
      <c r="BD363" s="36" t="str">
        <f aca="false">IF($BC363="","",IF($BC363&gt;=SCORING!$C$46,"A",IF($BC363&gt;=SCORING!$C$47,"B",IF($BC363&gt;=SCORING!$C$48,"C","D"))))</f>
        <v/>
      </c>
      <c r="BE363" s="37"/>
    </row>
    <row r="364" customFormat="false" ht="15" hidden="false" customHeight="false" outlineLevel="0" collapsed="false">
      <c r="A364" s="37"/>
      <c r="B364" s="38"/>
      <c r="C364" s="37"/>
      <c r="D364" s="37"/>
      <c r="E364" s="17"/>
      <c r="F364" s="17"/>
      <c r="G364" s="37"/>
      <c r="H364" s="32" t="str">
        <f aca="false">IF($G364="","",IFERROR(INDEX(LISTS!$P$3:$P$145,MATCH($G364,LISTS!$O$3:$O$145,0)),"Other"))</f>
        <v/>
      </c>
      <c r="I364" s="37"/>
      <c r="J364" s="17"/>
      <c r="K364" s="17"/>
      <c r="L364" s="37"/>
      <c r="M364" s="37"/>
      <c r="N364" s="39"/>
      <c r="O364" s="37"/>
      <c r="P364" s="39"/>
      <c r="Q364" s="37"/>
      <c r="R364" s="39"/>
      <c r="S364" s="17"/>
      <c r="T364" s="17"/>
      <c r="U364" s="37"/>
      <c r="V364" s="37"/>
      <c r="W364" s="17"/>
      <c r="X364" s="37"/>
      <c r="Y364" s="17"/>
      <c r="Z364" s="39"/>
      <c r="AA364" s="39"/>
      <c r="AB364" s="37"/>
      <c r="AC364" s="37"/>
      <c r="AD364" s="38"/>
      <c r="AE364" s="37"/>
      <c r="AF364" s="37"/>
      <c r="AG364" s="37"/>
      <c r="AH364" s="37"/>
      <c r="AI364" s="17"/>
      <c r="AJ364" s="37"/>
      <c r="AK364" s="17"/>
      <c r="AL364" s="39"/>
      <c r="AM364" s="17"/>
      <c r="AN364" s="17"/>
      <c r="AO364" s="37"/>
      <c r="AP364" s="17"/>
      <c r="AQ364" s="37"/>
      <c r="AR364" s="37"/>
      <c r="AS364" s="37"/>
      <c r="AT364" s="17"/>
      <c r="AU364" s="37"/>
      <c r="AV364" s="37"/>
      <c r="AW364" s="38"/>
      <c r="AX364" s="37"/>
      <c r="AY364" s="38"/>
      <c r="AZ364" s="34" t="str">
        <f aca="false">IF($E364="","",COUNTA($E364,$F364,$G364,$J364,$L364,$Q364,$U364,$X364,$AM364,$AN364,$AP364,$AR364)/12)</f>
        <v/>
      </c>
      <c r="BA364" s="32" t="str">
        <f aca="false">IF($E364="","",IF(COUNTIF($E$3:$E$402,$E364)&gt;1,"DUPLICATE",""))</f>
        <v/>
      </c>
      <c r="BB364" s="17"/>
      <c r="BC364" s="35" t="str">
        <f aca="false">IF($E364="","",IFERROR(INDEX(SCORING!$C$6:$C$15,MATCH($J364,SCORING!$B$6:$B$15,0)),0)+IFERROR(INDEX(SCORING!$C$18:$C$20,MATCH($U364,SCORING!$B$18:$B$20,0)),0)+IFERROR(INDEX(SCORING!$C$23:$C$26,MATCH($X364,SCORING!$B$23:$B$26,0)),0)+IFERROR(INDEX(SCORING!$C$29:$C$32,MATCH($Q364,SCORING!$B$29:$B$32,0)),0)+IFERROR(INDEX(SCORING!$C$35:$C$37,MATCH($L364,SCORING!$B$35:$B$37,0)),0)+IF($AP364="",0,IF(AND($AQ364="Valid",$AO364="Decision maker"),SCORING!$C$40,IF($AQ364="Valid",SCORING!$C$41,SCORING!$C$42))))</f>
        <v/>
      </c>
      <c r="BD364" s="36" t="str">
        <f aca="false">IF($BC364="","",IF($BC364&gt;=SCORING!$C$46,"A",IF($BC364&gt;=SCORING!$C$47,"B",IF($BC364&gt;=SCORING!$C$48,"C","D"))))</f>
        <v/>
      </c>
      <c r="BE364" s="37"/>
    </row>
    <row r="365" customFormat="false" ht="15" hidden="false" customHeight="false" outlineLevel="0" collapsed="false">
      <c r="A365" s="37"/>
      <c r="B365" s="38"/>
      <c r="C365" s="37"/>
      <c r="D365" s="37"/>
      <c r="E365" s="17"/>
      <c r="F365" s="17"/>
      <c r="G365" s="37"/>
      <c r="H365" s="32" t="str">
        <f aca="false">IF($G365="","",IFERROR(INDEX(LISTS!$P$3:$P$145,MATCH($G365,LISTS!$O$3:$O$145,0)),"Other"))</f>
        <v/>
      </c>
      <c r="I365" s="37"/>
      <c r="J365" s="17"/>
      <c r="K365" s="17"/>
      <c r="L365" s="37"/>
      <c r="M365" s="37"/>
      <c r="N365" s="39"/>
      <c r="O365" s="37"/>
      <c r="P365" s="39"/>
      <c r="Q365" s="37"/>
      <c r="R365" s="39"/>
      <c r="S365" s="17"/>
      <c r="T365" s="17"/>
      <c r="U365" s="37"/>
      <c r="V365" s="37"/>
      <c r="W365" s="17"/>
      <c r="X365" s="37"/>
      <c r="Y365" s="17"/>
      <c r="Z365" s="39"/>
      <c r="AA365" s="39"/>
      <c r="AB365" s="37"/>
      <c r="AC365" s="37"/>
      <c r="AD365" s="38"/>
      <c r="AE365" s="37"/>
      <c r="AF365" s="37"/>
      <c r="AG365" s="37"/>
      <c r="AH365" s="37"/>
      <c r="AI365" s="17"/>
      <c r="AJ365" s="37"/>
      <c r="AK365" s="17"/>
      <c r="AL365" s="39"/>
      <c r="AM365" s="17"/>
      <c r="AN365" s="17"/>
      <c r="AO365" s="37"/>
      <c r="AP365" s="17"/>
      <c r="AQ365" s="37"/>
      <c r="AR365" s="37"/>
      <c r="AS365" s="37"/>
      <c r="AT365" s="17"/>
      <c r="AU365" s="37"/>
      <c r="AV365" s="37"/>
      <c r="AW365" s="38"/>
      <c r="AX365" s="37"/>
      <c r="AY365" s="38"/>
      <c r="AZ365" s="34" t="str">
        <f aca="false">IF($E365="","",COUNTA($E365,$F365,$G365,$J365,$L365,$Q365,$U365,$X365,$AM365,$AN365,$AP365,$AR365)/12)</f>
        <v/>
      </c>
      <c r="BA365" s="32" t="str">
        <f aca="false">IF($E365="","",IF(COUNTIF($E$3:$E$402,$E365)&gt;1,"DUPLICATE",""))</f>
        <v/>
      </c>
      <c r="BB365" s="17"/>
      <c r="BC365" s="35" t="str">
        <f aca="false">IF($E365="","",IFERROR(INDEX(SCORING!$C$6:$C$15,MATCH($J365,SCORING!$B$6:$B$15,0)),0)+IFERROR(INDEX(SCORING!$C$18:$C$20,MATCH($U365,SCORING!$B$18:$B$20,0)),0)+IFERROR(INDEX(SCORING!$C$23:$C$26,MATCH($X365,SCORING!$B$23:$B$26,0)),0)+IFERROR(INDEX(SCORING!$C$29:$C$32,MATCH($Q365,SCORING!$B$29:$B$32,0)),0)+IFERROR(INDEX(SCORING!$C$35:$C$37,MATCH($L365,SCORING!$B$35:$B$37,0)),0)+IF($AP365="",0,IF(AND($AQ365="Valid",$AO365="Decision maker"),SCORING!$C$40,IF($AQ365="Valid",SCORING!$C$41,SCORING!$C$42))))</f>
        <v/>
      </c>
      <c r="BD365" s="36" t="str">
        <f aca="false">IF($BC365="","",IF($BC365&gt;=SCORING!$C$46,"A",IF($BC365&gt;=SCORING!$C$47,"B",IF($BC365&gt;=SCORING!$C$48,"C","D"))))</f>
        <v/>
      </c>
      <c r="BE365" s="37"/>
    </row>
    <row r="366" customFormat="false" ht="15" hidden="false" customHeight="false" outlineLevel="0" collapsed="false">
      <c r="A366" s="37"/>
      <c r="B366" s="38"/>
      <c r="C366" s="37"/>
      <c r="D366" s="37"/>
      <c r="E366" s="17"/>
      <c r="F366" s="17"/>
      <c r="G366" s="37"/>
      <c r="H366" s="32" t="str">
        <f aca="false">IF($G366="","",IFERROR(INDEX(LISTS!$P$3:$P$145,MATCH($G366,LISTS!$O$3:$O$145,0)),"Other"))</f>
        <v/>
      </c>
      <c r="I366" s="37"/>
      <c r="J366" s="17"/>
      <c r="K366" s="17"/>
      <c r="L366" s="37"/>
      <c r="M366" s="37"/>
      <c r="N366" s="39"/>
      <c r="O366" s="37"/>
      <c r="P366" s="39"/>
      <c r="Q366" s="37"/>
      <c r="R366" s="39"/>
      <c r="S366" s="17"/>
      <c r="T366" s="17"/>
      <c r="U366" s="37"/>
      <c r="V366" s="37"/>
      <c r="W366" s="17"/>
      <c r="X366" s="37"/>
      <c r="Y366" s="17"/>
      <c r="Z366" s="39"/>
      <c r="AA366" s="39"/>
      <c r="AB366" s="37"/>
      <c r="AC366" s="37"/>
      <c r="AD366" s="38"/>
      <c r="AE366" s="37"/>
      <c r="AF366" s="37"/>
      <c r="AG366" s="37"/>
      <c r="AH366" s="37"/>
      <c r="AI366" s="17"/>
      <c r="AJ366" s="37"/>
      <c r="AK366" s="17"/>
      <c r="AL366" s="39"/>
      <c r="AM366" s="17"/>
      <c r="AN366" s="17"/>
      <c r="AO366" s="37"/>
      <c r="AP366" s="17"/>
      <c r="AQ366" s="37"/>
      <c r="AR366" s="37"/>
      <c r="AS366" s="37"/>
      <c r="AT366" s="17"/>
      <c r="AU366" s="37"/>
      <c r="AV366" s="37"/>
      <c r="AW366" s="38"/>
      <c r="AX366" s="37"/>
      <c r="AY366" s="38"/>
      <c r="AZ366" s="34" t="str">
        <f aca="false">IF($E366="","",COUNTA($E366,$F366,$G366,$J366,$L366,$Q366,$U366,$X366,$AM366,$AN366,$AP366,$AR366)/12)</f>
        <v/>
      </c>
      <c r="BA366" s="32" t="str">
        <f aca="false">IF($E366="","",IF(COUNTIF($E$3:$E$402,$E366)&gt;1,"DUPLICATE",""))</f>
        <v/>
      </c>
      <c r="BB366" s="17"/>
      <c r="BC366" s="35" t="str">
        <f aca="false">IF($E366="","",IFERROR(INDEX(SCORING!$C$6:$C$15,MATCH($J366,SCORING!$B$6:$B$15,0)),0)+IFERROR(INDEX(SCORING!$C$18:$C$20,MATCH($U366,SCORING!$B$18:$B$20,0)),0)+IFERROR(INDEX(SCORING!$C$23:$C$26,MATCH($X366,SCORING!$B$23:$B$26,0)),0)+IFERROR(INDEX(SCORING!$C$29:$C$32,MATCH($Q366,SCORING!$B$29:$B$32,0)),0)+IFERROR(INDEX(SCORING!$C$35:$C$37,MATCH($L366,SCORING!$B$35:$B$37,0)),0)+IF($AP366="",0,IF(AND($AQ366="Valid",$AO366="Decision maker"),SCORING!$C$40,IF($AQ366="Valid",SCORING!$C$41,SCORING!$C$42))))</f>
        <v/>
      </c>
      <c r="BD366" s="36" t="str">
        <f aca="false">IF($BC366="","",IF($BC366&gt;=SCORING!$C$46,"A",IF($BC366&gt;=SCORING!$C$47,"B",IF($BC366&gt;=SCORING!$C$48,"C","D"))))</f>
        <v/>
      </c>
      <c r="BE366" s="37"/>
    </row>
    <row r="367" customFormat="false" ht="15" hidden="false" customHeight="false" outlineLevel="0" collapsed="false">
      <c r="A367" s="37"/>
      <c r="B367" s="38"/>
      <c r="C367" s="37"/>
      <c r="D367" s="37"/>
      <c r="E367" s="17"/>
      <c r="F367" s="17"/>
      <c r="G367" s="37"/>
      <c r="H367" s="32" t="str">
        <f aca="false">IF($G367="","",IFERROR(INDEX(LISTS!$P$3:$P$145,MATCH($G367,LISTS!$O$3:$O$145,0)),"Other"))</f>
        <v/>
      </c>
      <c r="I367" s="37"/>
      <c r="J367" s="17"/>
      <c r="K367" s="17"/>
      <c r="L367" s="37"/>
      <c r="M367" s="37"/>
      <c r="N367" s="39"/>
      <c r="O367" s="37"/>
      <c r="P367" s="39"/>
      <c r="Q367" s="37"/>
      <c r="R367" s="39"/>
      <c r="S367" s="17"/>
      <c r="T367" s="17"/>
      <c r="U367" s="37"/>
      <c r="V367" s="37"/>
      <c r="W367" s="17"/>
      <c r="X367" s="37"/>
      <c r="Y367" s="17"/>
      <c r="Z367" s="39"/>
      <c r="AA367" s="39"/>
      <c r="AB367" s="37"/>
      <c r="AC367" s="37"/>
      <c r="AD367" s="38"/>
      <c r="AE367" s="37"/>
      <c r="AF367" s="37"/>
      <c r="AG367" s="37"/>
      <c r="AH367" s="37"/>
      <c r="AI367" s="17"/>
      <c r="AJ367" s="37"/>
      <c r="AK367" s="17"/>
      <c r="AL367" s="39"/>
      <c r="AM367" s="17"/>
      <c r="AN367" s="17"/>
      <c r="AO367" s="37"/>
      <c r="AP367" s="17"/>
      <c r="AQ367" s="37"/>
      <c r="AR367" s="37"/>
      <c r="AS367" s="37"/>
      <c r="AT367" s="17"/>
      <c r="AU367" s="37"/>
      <c r="AV367" s="37"/>
      <c r="AW367" s="38"/>
      <c r="AX367" s="37"/>
      <c r="AY367" s="38"/>
      <c r="AZ367" s="34" t="str">
        <f aca="false">IF($E367="","",COUNTA($E367,$F367,$G367,$J367,$L367,$Q367,$U367,$X367,$AM367,$AN367,$AP367,$AR367)/12)</f>
        <v/>
      </c>
      <c r="BA367" s="32" t="str">
        <f aca="false">IF($E367="","",IF(COUNTIF($E$3:$E$402,$E367)&gt;1,"DUPLICATE",""))</f>
        <v/>
      </c>
      <c r="BB367" s="17"/>
      <c r="BC367" s="35" t="str">
        <f aca="false">IF($E367="","",IFERROR(INDEX(SCORING!$C$6:$C$15,MATCH($J367,SCORING!$B$6:$B$15,0)),0)+IFERROR(INDEX(SCORING!$C$18:$C$20,MATCH($U367,SCORING!$B$18:$B$20,0)),0)+IFERROR(INDEX(SCORING!$C$23:$C$26,MATCH($X367,SCORING!$B$23:$B$26,0)),0)+IFERROR(INDEX(SCORING!$C$29:$C$32,MATCH($Q367,SCORING!$B$29:$B$32,0)),0)+IFERROR(INDEX(SCORING!$C$35:$C$37,MATCH($L367,SCORING!$B$35:$B$37,0)),0)+IF($AP367="",0,IF(AND($AQ367="Valid",$AO367="Decision maker"),SCORING!$C$40,IF($AQ367="Valid",SCORING!$C$41,SCORING!$C$42))))</f>
        <v/>
      </c>
      <c r="BD367" s="36" t="str">
        <f aca="false">IF($BC367="","",IF($BC367&gt;=SCORING!$C$46,"A",IF($BC367&gt;=SCORING!$C$47,"B",IF($BC367&gt;=SCORING!$C$48,"C","D"))))</f>
        <v/>
      </c>
      <c r="BE367" s="37"/>
    </row>
    <row r="368" customFormat="false" ht="15" hidden="false" customHeight="false" outlineLevel="0" collapsed="false">
      <c r="A368" s="37"/>
      <c r="B368" s="38"/>
      <c r="C368" s="37"/>
      <c r="D368" s="37"/>
      <c r="E368" s="17"/>
      <c r="F368" s="17"/>
      <c r="G368" s="37"/>
      <c r="H368" s="32" t="str">
        <f aca="false">IF($G368="","",IFERROR(INDEX(LISTS!$P$3:$P$145,MATCH($G368,LISTS!$O$3:$O$145,0)),"Other"))</f>
        <v/>
      </c>
      <c r="I368" s="37"/>
      <c r="J368" s="17"/>
      <c r="K368" s="17"/>
      <c r="L368" s="37"/>
      <c r="M368" s="37"/>
      <c r="N368" s="39"/>
      <c r="O368" s="37"/>
      <c r="P368" s="39"/>
      <c r="Q368" s="37"/>
      <c r="R368" s="39"/>
      <c r="S368" s="17"/>
      <c r="T368" s="17"/>
      <c r="U368" s="37"/>
      <c r="V368" s="37"/>
      <c r="W368" s="17"/>
      <c r="X368" s="37"/>
      <c r="Y368" s="17"/>
      <c r="Z368" s="39"/>
      <c r="AA368" s="39"/>
      <c r="AB368" s="37"/>
      <c r="AC368" s="37"/>
      <c r="AD368" s="38"/>
      <c r="AE368" s="37"/>
      <c r="AF368" s="37"/>
      <c r="AG368" s="37"/>
      <c r="AH368" s="37"/>
      <c r="AI368" s="17"/>
      <c r="AJ368" s="37"/>
      <c r="AK368" s="17"/>
      <c r="AL368" s="39"/>
      <c r="AM368" s="17"/>
      <c r="AN368" s="17"/>
      <c r="AO368" s="37"/>
      <c r="AP368" s="17"/>
      <c r="AQ368" s="37"/>
      <c r="AR368" s="37"/>
      <c r="AS368" s="37"/>
      <c r="AT368" s="17"/>
      <c r="AU368" s="37"/>
      <c r="AV368" s="37"/>
      <c r="AW368" s="38"/>
      <c r="AX368" s="37"/>
      <c r="AY368" s="38"/>
      <c r="AZ368" s="34" t="str">
        <f aca="false">IF($E368="","",COUNTA($E368,$F368,$G368,$J368,$L368,$Q368,$U368,$X368,$AM368,$AN368,$AP368,$AR368)/12)</f>
        <v/>
      </c>
      <c r="BA368" s="32" t="str">
        <f aca="false">IF($E368="","",IF(COUNTIF($E$3:$E$402,$E368)&gt;1,"DUPLICATE",""))</f>
        <v/>
      </c>
      <c r="BB368" s="17"/>
      <c r="BC368" s="35" t="str">
        <f aca="false">IF($E368="","",IFERROR(INDEX(SCORING!$C$6:$C$15,MATCH($J368,SCORING!$B$6:$B$15,0)),0)+IFERROR(INDEX(SCORING!$C$18:$C$20,MATCH($U368,SCORING!$B$18:$B$20,0)),0)+IFERROR(INDEX(SCORING!$C$23:$C$26,MATCH($X368,SCORING!$B$23:$B$26,0)),0)+IFERROR(INDEX(SCORING!$C$29:$C$32,MATCH($Q368,SCORING!$B$29:$B$32,0)),0)+IFERROR(INDEX(SCORING!$C$35:$C$37,MATCH($L368,SCORING!$B$35:$B$37,0)),0)+IF($AP368="",0,IF(AND($AQ368="Valid",$AO368="Decision maker"),SCORING!$C$40,IF($AQ368="Valid",SCORING!$C$41,SCORING!$C$42))))</f>
        <v/>
      </c>
      <c r="BD368" s="36" t="str">
        <f aca="false">IF($BC368="","",IF($BC368&gt;=SCORING!$C$46,"A",IF($BC368&gt;=SCORING!$C$47,"B",IF($BC368&gt;=SCORING!$C$48,"C","D"))))</f>
        <v/>
      </c>
      <c r="BE368" s="37"/>
    </row>
    <row r="369" customFormat="false" ht="15" hidden="false" customHeight="false" outlineLevel="0" collapsed="false">
      <c r="A369" s="37"/>
      <c r="B369" s="38"/>
      <c r="C369" s="37"/>
      <c r="D369" s="37"/>
      <c r="E369" s="17"/>
      <c r="F369" s="17"/>
      <c r="G369" s="37"/>
      <c r="H369" s="32" t="str">
        <f aca="false">IF($G369="","",IFERROR(INDEX(LISTS!$P$3:$P$145,MATCH($G369,LISTS!$O$3:$O$145,0)),"Other"))</f>
        <v/>
      </c>
      <c r="I369" s="37"/>
      <c r="J369" s="17"/>
      <c r="K369" s="17"/>
      <c r="L369" s="37"/>
      <c r="M369" s="37"/>
      <c r="N369" s="39"/>
      <c r="O369" s="37"/>
      <c r="P369" s="39"/>
      <c r="Q369" s="37"/>
      <c r="R369" s="39"/>
      <c r="S369" s="17"/>
      <c r="T369" s="17"/>
      <c r="U369" s="37"/>
      <c r="V369" s="37"/>
      <c r="W369" s="17"/>
      <c r="X369" s="37"/>
      <c r="Y369" s="17"/>
      <c r="Z369" s="39"/>
      <c r="AA369" s="39"/>
      <c r="AB369" s="37"/>
      <c r="AC369" s="37"/>
      <c r="AD369" s="38"/>
      <c r="AE369" s="37"/>
      <c r="AF369" s="37"/>
      <c r="AG369" s="37"/>
      <c r="AH369" s="37"/>
      <c r="AI369" s="17"/>
      <c r="AJ369" s="37"/>
      <c r="AK369" s="17"/>
      <c r="AL369" s="39"/>
      <c r="AM369" s="17"/>
      <c r="AN369" s="17"/>
      <c r="AO369" s="37"/>
      <c r="AP369" s="17"/>
      <c r="AQ369" s="37"/>
      <c r="AR369" s="37"/>
      <c r="AS369" s="37"/>
      <c r="AT369" s="17"/>
      <c r="AU369" s="37"/>
      <c r="AV369" s="37"/>
      <c r="AW369" s="38"/>
      <c r="AX369" s="37"/>
      <c r="AY369" s="38"/>
      <c r="AZ369" s="34" t="str">
        <f aca="false">IF($E369="","",COUNTA($E369,$F369,$G369,$J369,$L369,$Q369,$U369,$X369,$AM369,$AN369,$AP369,$AR369)/12)</f>
        <v/>
      </c>
      <c r="BA369" s="32" t="str">
        <f aca="false">IF($E369="","",IF(COUNTIF($E$3:$E$402,$E369)&gt;1,"DUPLICATE",""))</f>
        <v/>
      </c>
      <c r="BB369" s="17"/>
      <c r="BC369" s="35" t="str">
        <f aca="false">IF($E369="","",IFERROR(INDEX(SCORING!$C$6:$C$15,MATCH($J369,SCORING!$B$6:$B$15,0)),0)+IFERROR(INDEX(SCORING!$C$18:$C$20,MATCH($U369,SCORING!$B$18:$B$20,0)),0)+IFERROR(INDEX(SCORING!$C$23:$C$26,MATCH($X369,SCORING!$B$23:$B$26,0)),0)+IFERROR(INDEX(SCORING!$C$29:$C$32,MATCH($Q369,SCORING!$B$29:$B$32,0)),0)+IFERROR(INDEX(SCORING!$C$35:$C$37,MATCH($L369,SCORING!$B$35:$B$37,0)),0)+IF($AP369="",0,IF(AND($AQ369="Valid",$AO369="Decision maker"),SCORING!$C$40,IF($AQ369="Valid",SCORING!$C$41,SCORING!$C$42))))</f>
        <v/>
      </c>
      <c r="BD369" s="36" t="str">
        <f aca="false">IF($BC369="","",IF($BC369&gt;=SCORING!$C$46,"A",IF($BC369&gt;=SCORING!$C$47,"B",IF($BC369&gt;=SCORING!$C$48,"C","D"))))</f>
        <v/>
      </c>
      <c r="BE369" s="37"/>
    </row>
    <row r="370" customFormat="false" ht="15" hidden="false" customHeight="false" outlineLevel="0" collapsed="false">
      <c r="A370" s="37"/>
      <c r="B370" s="38"/>
      <c r="C370" s="37"/>
      <c r="D370" s="37"/>
      <c r="E370" s="17"/>
      <c r="F370" s="17"/>
      <c r="G370" s="37"/>
      <c r="H370" s="32" t="str">
        <f aca="false">IF($G370="","",IFERROR(INDEX(LISTS!$P$3:$P$145,MATCH($G370,LISTS!$O$3:$O$145,0)),"Other"))</f>
        <v/>
      </c>
      <c r="I370" s="37"/>
      <c r="J370" s="17"/>
      <c r="K370" s="17"/>
      <c r="L370" s="37"/>
      <c r="M370" s="37"/>
      <c r="N370" s="39"/>
      <c r="O370" s="37"/>
      <c r="P370" s="39"/>
      <c r="Q370" s="37"/>
      <c r="R370" s="39"/>
      <c r="S370" s="17"/>
      <c r="T370" s="17"/>
      <c r="U370" s="37"/>
      <c r="V370" s="37"/>
      <c r="W370" s="17"/>
      <c r="X370" s="37"/>
      <c r="Y370" s="17"/>
      <c r="Z370" s="39"/>
      <c r="AA370" s="39"/>
      <c r="AB370" s="37"/>
      <c r="AC370" s="37"/>
      <c r="AD370" s="38"/>
      <c r="AE370" s="37"/>
      <c r="AF370" s="37"/>
      <c r="AG370" s="37"/>
      <c r="AH370" s="37"/>
      <c r="AI370" s="17"/>
      <c r="AJ370" s="37"/>
      <c r="AK370" s="17"/>
      <c r="AL370" s="39"/>
      <c r="AM370" s="17"/>
      <c r="AN370" s="17"/>
      <c r="AO370" s="37"/>
      <c r="AP370" s="17"/>
      <c r="AQ370" s="37"/>
      <c r="AR370" s="37"/>
      <c r="AS370" s="37"/>
      <c r="AT370" s="17"/>
      <c r="AU370" s="37"/>
      <c r="AV370" s="37"/>
      <c r="AW370" s="38"/>
      <c r="AX370" s="37"/>
      <c r="AY370" s="38"/>
      <c r="AZ370" s="34" t="str">
        <f aca="false">IF($E370="","",COUNTA($E370,$F370,$G370,$J370,$L370,$Q370,$U370,$X370,$AM370,$AN370,$AP370,$AR370)/12)</f>
        <v/>
      </c>
      <c r="BA370" s="32" t="str">
        <f aca="false">IF($E370="","",IF(COUNTIF($E$3:$E$402,$E370)&gt;1,"DUPLICATE",""))</f>
        <v/>
      </c>
      <c r="BB370" s="17"/>
      <c r="BC370" s="35" t="str">
        <f aca="false">IF($E370="","",IFERROR(INDEX(SCORING!$C$6:$C$15,MATCH($J370,SCORING!$B$6:$B$15,0)),0)+IFERROR(INDEX(SCORING!$C$18:$C$20,MATCH($U370,SCORING!$B$18:$B$20,0)),0)+IFERROR(INDEX(SCORING!$C$23:$C$26,MATCH($X370,SCORING!$B$23:$B$26,0)),0)+IFERROR(INDEX(SCORING!$C$29:$C$32,MATCH($Q370,SCORING!$B$29:$B$32,0)),0)+IFERROR(INDEX(SCORING!$C$35:$C$37,MATCH($L370,SCORING!$B$35:$B$37,0)),0)+IF($AP370="",0,IF(AND($AQ370="Valid",$AO370="Decision maker"),SCORING!$C$40,IF($AQ370="Valid",SCORING!$C$41,SCORING!$C$42))))</f>
        <v/>
      </c>
      <c r="BD370" s="36" t="str">
        <f aca="false">IF($BC370="","",IF($BC370&gt;=SCORING!$C$46,"A",IF($BC370&gt;=SCORING!$C$47,"B",IF($BC370&gt;=SCORING!$C$48,"C","D"))))</f>
        <v/>
      </c>
      <c r="BE370" s="37"/>
    </row>
    <row r="371" customFormat="false" ht="15" hidden="false" customHeight="false" outlineLevel="0" collapsed="false">
      <c r="A371" s="37"/>
      <c r="B371" s="38"/>
      <c r="C371" s="37"/>
      <c r="D371" s="37"/>
      <c r="E371" s="17"/>
      <c r="F371" s="17"/>
      <c r="G371" s="37"/>
      <c r="H371" s="32" t="str">
        <f aca="false">IF($G371="","",IFERROR(INDEX(LISTS!$P$3:$P$145,MATCH($G371,LISTS!$O$3:$O$145,0)),"Other"))</f>
        <v/>
      </c>
      <c r="I371" s="37"/>
      <c r="J371" s="17"/>
      <c r="K371" s="17"/>
      <c r="L371" s="37"/>
      <c r="M371" s="37"/>
      <c r="N371" s="39"/>
      <c r="O371" s="37"/>
      <c r="P371" s="39"/>
      <c r="Q371" s="37"/>
      <c r="R371" s="39"/>
      <c r="S371" s="17"/>
      <c r="T371" s="17"/>
      <c r="U371" s="37"/>
      <c r="V371" s="37"/>
      <c r="W371" s="17"/>
      <c r="X371" s="37"/>
      <c r="Y371" s="17"/>
      <c r="Z371" s="39"/>
      <c r="AA371" s="39"/>
      <c r="AB371" s="37"/>
      <c r="AC371" s="37"/>
      <c r="AD371" s="38"/>
      <c r="AE371" s="37"/>
      <c r="AF371" s="37"/>
      <c r="AG371" s="37"/>
      <c r="AH371" s="37"/>
      <c r="AI371" s="17"/>
      <c r="AJ371" s="37"/>
      <c r="AK371" s="17"/>
      <c r="AL371" s="39"/>
      <c r="AM371" s="17"/>
      <c r="AN371" s="17"/>
      <c r="AO371" s="37"/>
      <c r="AP371" s="17"/>
      <c r="AQ371" s="37"/>
      <c r="AR371" s="37"/>
      <c r="AS371" s="37"/>
      <c r="AT371" s="17"/>
      <c r="AU371" s="37"/>
      <c r="AV371" s="37"/>
      <c r="AW371" s="38"/>
      <c r="AX371" s="37"/>
      <c r="AY371" s="38"/>
      <c r="AZ371" s="34" t="str">
        <f aca="false">IF($E371="","",COUNTA($E371,$F371,$G371,$J371,$L371,$Q371,$U371,$X371,$AM371,$AN371,$AP371,$AR371)/12)</f>
        <v/>
      </c>
      <c r="BA371" s="32" t="str">
        <f aca="false">IF($E371="","",IF(COUNTIF($E$3:$E$402,$E371)&gt;1,"DUPLICATE",""))</f>
        <v/>
      </c>
      <c r="BB371" s="17"/>
      <c r="BC371" s="35" t="str">
        <f aca="false">IF($E371="","",IFERROR(INDEX(SCORING!$C$6:$C$15,MATCH($J371,SCORING!$B$6:$B$15,0)),0)+IFERROR(INDEX(SCORING!$C$18:$C$20,MATCH($U371,SCORING!$B$18:$B$20,0)),0)+IFERROR(INDEX(SCORING!$C$23:$C$26,MATCH($X371,SCORING!$B$23:$B$26,0)),0)+IFERROR(INDEX(SCORING!$C$29:$C$32,MATCH($Q371,SCORING!$B$29:$B$32,0)),0)+IFERROR(INDEX(SCORING!$C$35:$C$37,MATCH($L371,SCORING!$B$35:$B$37,0)),0)+IF($AP371="",0,IF(AND($AQ371="Valid",$AO371="Decision maker"),SCORING!$C$40,IF($AQ371="Valid",SCORING!$C$41,SCORING!$C$42))))</f>
        <v/>
      </c>
      <c r="BD371" s="36" t="str">
        <f aca="false">IF($BC371="","",IF($BC371&gt;=SCORING!$C$46,"A",IF($BC371&gt;=SCORING!$C$47,"B",IF($BC371&gt;=SCORING!$C$48,"C","D"))))</f>
        <v/>
      </c>
      <c r="BE371" s="37"/>
    </row>
    <row r="372" customFormat="false" ht="15" hidden="false" customHeight="false" outlineLevel="0" collapsed="false">
      <c r="A372" s="37"/>
      <c r="B372" s="38"/>
      <c r="C372" s="37"/>
      <c r="D372" s="37"/>
      <c r="E372" s="17"/>
      <c r="F372" s="17"/>
      <c r="G372" s="37"/>
      <c r="H372" s="32" t="str">
        <f aca="false">IF($G372="","",IFERROR(INDEX(LISTS!$P$3:$P$145,MATCH($G372,LISTS!$O$3:$O$145,0)),"Other"))</f>
        <v/>
      </c>
      <c r="I372" s="37"/>
      <c r="J372" s="17"/>
      <c r="K372" s="17"/>
      <c r="L372" s="37"/>
      <c r="M372" s="37"/>
      <c r="N372" s="39"/>
      <c r="O372" s="37"/>
      <c r="P372" s="39"/>
      <c r="Q372" s="37"/>
      <c r="R372" s="39"/>
      <c r="S372" s="17"/>
      <c r="T372" s="17"/>
      <c r="U372" s="37"/>
      <c r="V372" s="37"/>
      <c r="W372" s="17"/>
      <c r="X372" s="37"/>
      <c r="Y372" s="17"/>
      <c r="Z372" s="39"/>
      <c r="AA372" s="39"/>
      <c r="AB372" s="37"/>
      <c r="AC372" s="37"/>
      <c r="AD372" s="38"/>
      <c r="AE372" s="37"/>
      <c r="AF372" s="37"/>
      <c r="AG372" s="37"/>
      <c r="AH372" s="37"/>
      <c r="AI372" s="17"/>
      <c r="AJ372" s="37"/>
      <c r="AK372" s="17"/>
      <c r="AL372" s="39"/>
      <c r="AM372" s="17"/>
      <c r="AN372" s="17"/>
      <c r="AO372" s="37"/>
      <c r="AP372" s="17"/>
      <c r="AQ372" s="37"/>
      <c r="AR372" s="37"/>
      <c r="AS372" s="37"/>
      <c r="AT372" s="17"/>
      <c r="AU372" s="37"/>
      <c r="AV372" s="37"/>
      <c r="AW372" s="38"/>
      <c r="AX372" s="37"/>
      <c r="AY372" s="38"/>
      <c r="AZ372" s="34" t="str">
        <f aca="false">IF($E372="","",COUNTA($E372,$F372,$G372,$J372,$L372,$Q372,$U372,$X372,$AM372,$AN372,$AP372,$AR372)/12)</f>
        <v/>
      </c>
      <c r="BA372" s="32" t="str">
        <f aca="false">IF($E372="","",IF(COUNTIF($E$3:$E$402,$E372)&gt;1,"DUPLICATE",""))</f>
        <v/>
      </c>
      <c r="BB372" s="17"/>
      <c r="BC372" s="35" t="str">
        <f aca="false">IF($E372="","",IFERROR(INDEX(SCORING!$C$6:$C$15,MATCH($J372,SCORING!$B$6:$B$15,0)),0)+IFERROR(INDEX(SCORING!$C$18:$C$20,MATCH($U372,SCORING!$B$18:$B$20,0)),0)+IFERROR(INDEX(SCORING!$C$23:$C$26,MATCH($X372,SCORING!$B$23:$B$26,0)),0)+IFERROR(INDEX(SCORING!$C$29:$C$32,MATCH($Q372,SCORING!$B$29:$B$32,0)),0)+IFERROR(INDEX(SCORING!$C$35:$C$37,MATCH($L372,SCORING!$B$35:$B$37,0)),0)+IF($AP372="",0,IF(AND($AQ372="Valid",$AO372="Decision maker"),SCORING!$C$40,IF($AQ372="Valid",SCORING!$C$41,SCORING!$C$42))))</f>
        <v/>
      </c>
      <c r="BD372" s="36" t="str">
        <f aca="false">IF($BC372="","",IF($BC372&gt;=SCORING!$C$46,"A",IF($BC372&gt;=SCORING!$C$47,"B",IF($BC372&gt;=SCORING!$C$48,"C","D"))))</f>
        <v/>
      </c>
      <c r="BE372" s="37"/>
    </row>
    <row r="373" customFormat="false" ht="15" hidden="false" customHeight="false" outlineLevel="0" collapsed="false">
      <c r="A373" s="37"/>
      <c r="B373" s="38"/>
      <c r="C373" s="37"/>
      <c r="D373" s="37"/>
      <c r="E373" s="17"/>
      <c r="F373" s="17"/>
      <c r="G373" s="37"/>
      <c r="H373" s="32" t="str">
        <f aca="false">IF($G373="","",IFERROR(INDEX(LISTS!$P$3:$P$145,MATCH($G373,LISTS!$O$3:$O$145,0)),"Other"))</f>
        <v/>
      </c>
      <c r="I373" s="37"/>
      <c r="J373" s="17"/>
      <c r="K373" s="17"/>
      <c r="L373" s="37"/>
      <c r="M373" s="37"/>
      <c r="N373" s="39"/>
      <c r="O373" s="37"/>
      <c r="P373" s="39"/>
      <c r="Q373" s="37"/>
      <c r="R373" s="39"/>
      <c r="S373" s="17"/>
      <c r="T373" s="17"/>
      <c r="U373" s="37"/>
      <c r="V373" s="37"/>
      <c r="W373" s="17"/>
      <c r="X373" s="37"/>
      <c r="Y373" s="17"/>
      <c r="Z373" s="39"/>
      <c r="AA373" s="39"/>
      <c r="AB373" s="37"/>
      <c r="AC373" s="37"/>
      <c r="AD373" s="38"/>
      <c r="AE373" s="37"/>
      <c r="AF373" s="37"/>
      <c r="AG373" s="37"/>
      <c r="AH373" s="37"/>
      <c r="AI373" s="17"/>
      <c r="AJ373" s="37"/>
      <c r="AK373" s="17"/>
      <c r="AL373" s="39"/>
      <c r="AM373" s="17"/>
      <c r="AN373" s="17"/>
      <c r="AO373" s="37"/>
      <c r="AP373" s="17"/>
      <c r="AQ373" s="37"/>
      <c r="AR373" s="37"/>
      <c r="AS373" s="37"/>
      <c r="AT373" s="17"/>
      <c r="AU373" s="37"/>
      <c r="AV373" s="37"/>
      <c r="AW373" s="38"/>
      <c r="AX373" s="37"/>
      <c r="AY373" s="38"/>
      <c r="AZ373" s="34" t="str">
        <f aca="false">IF($E373="","",COUNTA($E373,$F373,$G373,$J373,$L373,$Q373,$U373,$X373,$AM373,$AN373,$AP373,$AR373)/12)</f>
        <v/>
      </c>
      <c r="BA373" s="32" t="str">
        <f aca="false">IF($E373="","",IF(COUNTIF($E$3:$E$402,$E373)&gt;1,"DUPLICATE",""))</f>
        <v/>
      </c>
      <c r="BB373" s="17"/>
      <c r="BC373" s="35" t="str">
        <f aca="false">IF($E373="","",IFERROR(INDEX(SCORING!$C$6:$C$15,MATCH($J373,SCORING!$B$6:$B$15,0)),0)+IFERROR(INDEX(SCORING!$C$18:$C$20,MATCH($U373,SCORING!$B$18:$B$20,0)),0)+IFERROR(INDEX(SCORING!$C$23:$C$26,MATCH($X373,SCORING!$B$23:$B$26,0)),0)+IFERROR(INDEX(SCORING!$C$29:$C$32,MATCH($Q373,SCORING!$B$29:$B$32,0)),0)+IFERROR(INDEX(SCORING!$C$35:$C$37,MATCH($L373,SCORING!$B$35:$B$37,0)),0)+IF($AP373="",0,IF(AND($AQ373="Valid",$AO373="Decision maker"),SCORING!$C$40,IF($AQ373="Valid",SCORING!$C$41,SCORING!$C$42))))</f>
        <v/>
      </c>
      <c r="BD373" s="36" t="str">
        <f aca="false">IF($BC373="","",IF($BC373&gt;=SCORING!$C$46,"A",IF($BC373&gt;=SCORING!$C$47,"B",IF($BC373&gt;=SCORING!$C$48,"C","D"))))</f>
        <v/>
      </c>
      <c r="BE373" s="37"/>
    </row>
    <row r="374" customFormat="false" ht="15" hidden="false" customHeight="false" outlineLevel="0" collapsed="false">
      <c r="A374" s="37"/>
      <c r="B374" s="38"/>
      <c r="C374" s="37"/>
      <c r="D374" s="37"/>
      <c r="E374" s="17"/>
      <c r="F374" s="17"/>
      <c r="G374" s="37"/>
      <c r="H374" s="32" t="str">
        <f aca="false">IF($G374="","",IFERROR(INDEX(LISTS!$P$3:$P$145,MATCH($G374,LISTS!$O$3:$O$145,0)),"Other"))</f>
        <v/>
      </c>
      <c r="I374" s="37"/>
      <c r="J374" s="17"/>
      <c r="K374" s="17"/>
      <c r="L374" s="37"/>
      <c r="M374" s="37"/>
      <c r="N374" s="39"/>
      <c r="O374" s="37"/>
      <c r="P374" s="39"/>
      <c r="Q374" s="37"/>
      <c r="R374" s="39"/>
      <c r="S374" s="17"/>
      <c r="T374" s="17"/>
      <c r="U374" s="37"/>
      <c r="V374" s="37"/>
      <c r="W374" s="17"/>
      <c r="X374" s="37"/>
      <c r="Y374" s="17"/>
      <c r="Z374" s="39"/>
      <c r="AA374" s="39"/>
      <c r="AB374" s="37"/>
      <c r="AC374" s="37"/>
      <c r="AD374" s="38"/>
      <c r="AE374" s="37"/>
      <c r="AF374" s="37"/>
      <c r="AG374" s="37"/>
      <c r="AH374" s="37"/>
      <c r="AI374" s="17"/>
      <c r="AJ374" s="37"/>
      <c r="AK374" s="17"/>
      <c r="AL374" s="39"/>
      <c r="AM374" s="17"/>
      <c r="AN374" s="17"/>
      <c r="AO374" s="37"/>
      <c r="AP374" s="17"/>
      <c r="AQ374" s="37"/>
      <c r="AR374" s="37"/>
      <c r="AS374" s="37"/>
      <c r="AT374" s="17"/>
      <c r="AU374" s="37"/>
      <c r="AV374" s="37"/>
      <c r="AW374" s="38"/>
      <c r="AX374" s="37"/>
      <c r="AY374" s="38"/>
      <c r="AZ374" s="34" t="str">
        <f aca="false">IF($E374="","",COUNTA($E374,$F374,$G374,$J374,$L374,$Q374,$U374,$X374,$AM374,$AN374,$AP374,$AR374)/12)</f>
        <v/>
      </c>
      <c r="BA374" s="32" t="str">
        <f aca="false">IF($E374="","",IF(COUNTIF($E$3:$E$402,$E374)&gt;1,"DUPLICATE",""))</f>
        <v/>
      </c>
      <c r="BB374" s="17"/>
      <c r="BC374" s="35" t="str">
        <f aca="false">IF($E374="","",IFERROR(INDEX(SCORING!$C$6:$C$15,MATCH($J374,SCORING!$B$6:$B$15,0)),0)+IFERROR(INDEX(SCORING!$C$18:$C$20,MATCH($U374,SCORING!$B$18:$B$20,0)),0)+IFERROR(INDEX(SCORING!$C$23:$C$26,MATCH($X374,SCORING!$B$23:$B$26,0)),0)+IFERROR(INDEX(SCORING!$C$29:$C$32,MATCH($Q374,SCORING!$B$29:$B$32,0)),0)+IFERROR(INDEX(SCORING!$C$35:$C$37,MATCH($L374,SCORING!$B$35:$B$37,0)),0)+IF($AP374="",0,IF(AND($AQ374="Valid",$AO374="Decision maker"),SCORING!$C$40,IF($AQ374="Valid",SCORING!$C$41,SCORING!$C$42))))</f>
        <v/>
      </c>
      <c r="BD374" s="36" t="str">
        <f aca="false">IF($BC374="","",IF($BC374&gt;=SCORING!$C$46,"A",IF($BC374&gt;=SCORING!$C$47,"B",IF($BC374&gt;=SCORING!$C$48,"C","D"))))</f>
        <v/>
      </c>
      <c r="BE374" s="37"/>
    </row>
    <row r="375" customFormat="false" ht="15" hidden="false" customHeight="false" outlineLevel="0" collapsed="false">
      <c r="A375" s="37"/>
      <c r="B375" s="38"/>
      <c r="C375" s="37"/>
      <c r="D375" s="37"/>
      <c r="E375" s="17"/>
      <c r="F375" s="17"/>
      <c r="G375" s="37"/>
      <c r="H375" s="32" t="str">
        <f aca="false">IF($G375="","",IFERROR(INDEX(LISTS!$P$3:$P$145,MATCH($G375,LISTS!$O$3:$O$145,0)),"Other"))</f>
        <v/>
      </c>
      <c r="I375" s="37"/>
      <c r="J375" s="17"/>
      <c r="K375" s="17"/>
      <c r="L375" s="37"/>
      <c r="M375" s="37"/>
      <c r="N375" s="39"/>
      <c r="O375" s="37"/>
      <c r="P375" s="39"/>
      <c r="Q375" s="37"/>
      <c r="R375" s="39"/>
      <c r="S375" s="17"/>
      <c r="T375" s="17"/>
      <c r="U375" s="37"/>
      <c r="V375" s="37"/>
      <c r="W375" s="17"/>
      <c r="X375" s="37"/>
      <c r="Y375" s="17"/>
      <c r="Z375" s="39"/>
      <c r="AA375" s="39"/>
      <c r="AB375" s="37"/>
      <c r="AC375" s="37"/>
      <c r="AD375" s="38"/>
      <c r="AE375" s="37"/>
      <c r="AF375" s="37"/>
      <c r="AG375" s="37"/>
      <c r="AH375" s="37"/>
      <c r="AI375" s="17"/>
      <c r="AJ375" s="37"/>
      <c r="AK375" s="17"/>
      <c r="AL375" s="39"/>
      <c r="AM375" s="17"/>
      <c r="AN375" s="17"/>
      <c r="AO375" s="37"/>
      <c r="AP375" s="17"/>
      <c r="AQ375" s="37"/>
      <c r="AR375" s="37"/>
      <c r="AS375" s="37"/>
      <c r="AT375" s="17"/>
      <c r="AU375" s="37"/>
      <c r="AV375" s="37"/>
      <c r="AW375" s="38"/>
      <c r="AX375" s="37"/>
      <c r="AY375" s="38"/>
      <c r="AZ375" s="34" t="str">
        <f aca="false">IF($E375="","",COUNTA($E375,$F375,$G375,$J375,$L375,$Q375,$U375,$X375,$AM375,$AN375,$AP375,$AR375)/12)</f>
        <v/>
      </c>
      <c r="BA375" s="32" t="str">
        <f aca="false">IF($E375="","",IF(COUNTIF($E$3:$E$402,$E375)&gt;1,"DUPLICATE",""))</f>
        <v/>
      </c>
      <c r="BB375" s="17"/>
      <c r="BC375" s="35" t="str">
        <f aca="false">IF($E375="","",IFERROR(INDEX(SCORING!$C$6:$C$15,MATCH($J375,SCORING!$B$6:$B$15,0)),0)+IFERROR(INDEX(SCORING!$C$18:$C$20,MATCH($U375,SCORING!$B$18:$B$20,0)),0)+IFERROR(INDEX(SCORING!$C$23:$C$26,MATCH($X375,SCORING!$B$23:$B$26,0)),0)+IFERROR(INDEX(SCORING!$C$29:$C$32,MATCH($Q375,SCORING!$B$29:$B$32,0)),0)+IFERROR(INDEX(SCORING!$C$35:$C$37,MATCH($L375,SCORING!$B$35:$B$37,0)),0)+IF($AP375="",0,IF(AND($AQ375="Valid",$AO375="Decision maker"),SCORING!$C$40,IF($AQ375="Valid",SCORING!$C$41,SCORING!$C$42))))</f>
        <v/>
      </c>
      <c r="BD375" s="36" t="str">
        <f aca="false">IF($BC375="","",IF($BC375&gt;=SCORING!$C$46,"A",IF($BC375&gt;=SCORING!$C$47,"B",IF($BC375&gt;=SCORING!$C$48,"C","D"))))</f>
        <v/>
      </c>
      <c r="BE375" s="37"/>
    </row>
    <row r="376" customFormat="false" ht="15" hidden="false" customHeight="false" outlineLevel="0" collapsed="false">
      <c r="A376" s="37"/>
      <c r="B376" s="38"/>
      <c r="C376" s="37"/>
      <c r="D376" s="37"/>
      <c r="E376" s="17"/>
      <c r="F376" s="17"/>
      <c r="G376" s="37"/>
      <c r="H376" s="32" t="str">
        <f aca="false">IF($G376="","",IFERROR(INDEX(LISTS!$P$3:$P$145,MATCH($G376,LISTS!$O$3:$O$145,0)),"Other"))</f>
        <v/>
      </c>
      <c r="I376" s="37"/>
      <c r="J376" s="17"/>
      <c r="K376" s="17"/>
      <c r="L376" s="37"/>
      <c r="M376" s="37"/>
      <c r="N376" s="39"/>
      <c r="O376" s="37"/>
      <c r="P376" s="39"/>
      <c r="Q376" s="37"/>
      <c r="R376" s="39"/>
      <c r="S376" s="17"/>
      <c r="T376" s="17"/>
      <c r="U376" s="37"/>
      <c r="V376" s="37"/>
      <c r="W376" s="17"/>
      <c r="X376" s="37"/>
      <c r="Y376" s="17"/>
      <c r="Z376" s="39"/>
      <c r="AA376" s="39"/>
      <c r="AB376" s="37"/>
      <c r="AC376" s="37"/>
      <c r="AD376" s="38"/>
      <c r="AE376" s="37"/>
      <c r="AF376" s="37"/>
      <c r="AG376" s="37"/>
      <c r="AH376" s="37"/>
      <c r="AI376" s="17"/>
      <c r="AJ376" s="37"/>
      <c r="AK376" s="17"/>
      <c r="AL376" s="39"/>
      <c r="AM376" s="17"/>
      <c r="AN376" s="17"/>
      <c r="AO376" s="37"/>
      <c r="AP376" s="17"/>
      <c r="AQ376" s="37"/>
      <c r="AR376" s="37"/>
      <c r="AS376" s="37"/>
      <c r="AT376" s="17"/>
      <c r="AU376" s="37"/>
      <c r="AV376" s="37"/>
      <c r="AW376" s="38"/>
      <c r="AX376" s="37"/>
      <c r="AY376" s="38"/>
      <c r="AZ376" s="34" t="str">
        <f aca="false">IF($E376="","",COUNTA($E376,$F376,$G376,$J376,$L376,$Q376,$U376,$X376,$AM376,$AN376,$AP376,$AR376)/12)</f>
        <v/>
      </c>
      <c r="BA376" s="32" t="str">
        <f aca="false">IF($E376="","",IF(COUNTIF($E$3:$E$402,$E376)&gt;1,"DUPLICATE",""))</f>
        <v/>
      </c>
      <c r="BB376" s="17"/>
      <c r="BC376" s="35" t="str">
        <f aca="false">IF($E376="","",IFERROR(INDEX(SCORING!$C$6:$C$15,MATCH($J376,SCORING!$B$6:$B$15,0)),0)+IFERROR(INDEX(SCORING!$C$18:$C$20,MATCH($U376,SCORING!$B$18:$B$20,0)),0)+IFERROR(INDEX(SCORING!$C$23:$C$26,MATCH($X376,SCORING!$B$23:$B$26,0)),0)+IFERROR(INDEX(SCORING!$C$29:$C$32,MATCH($Q376,SCORING!$B$29:$B$32,0)),0)+IFERROR(INDEX(SCORING!$C$35:$C$37,MATCH($L376,SCORING!$B$35:$B$37,0)),0)+IF($AP376="",0,IF(AND($AQ376="Valid",$AO376="Decision maker"),SCORING!$C$40,IF($AQ376="Valid",SCORING!$C$41,SCORING!$C$42))))</f>
        <v/>
      </c>
      <c r="BD376" s="36" t="str">
        <f aca="false">IF($BC376="","",IF($BC376&gt;=SCORING!$C$46,"A",IF($BC376&gt;=SCORING!$C$47,"B",IF($BC376&gt;=SCORING!$C$48,"C","D"))))</f>
        <v/>
      </c>
      <c r="BE376" s="37"/>
    </row>
    <row r="377" customFormat="false" ht="15" hidden="false" customHeight="false" outlineLevel="0" collapsed="false">
      <c r="A377" s="37"/>
      <c r="B377" s="38"/>
      <c r="C377" s="37"/>
      <c r="D377" s="37"/>
      <c r="E377" s="17"/>
      <c r="F377" s="17"/>
      <c r="G377" s="37"/>
      <c r="H377" s="32" t="str">
        <f aca="false">IF($G377="","",IFERROR(INDEX(LISTS!$P$3:$P$145,MATCH($G377,LISTS!$O$3:$O$145,0)),"Other"))</f>
        <v/>
      </c>
      <c r="I377" s="37"/>
      <c r="J377" s="17"/>
      <c r="K377" s="17"/>
      <c r="L377" s="37"/>
      <c r="M377" s="37"/>
      <c r="N377" s="39"/>
      <c r="O377" s="37"/>
      <c r="P377" s="39"/>
      <c r="Q377" s="37"/>
      <c r="R377" s="39"/>
      <c r="S377" s="17"/>
      <c r="T377" s="17"/>
      <c r="U377" s="37"/>
      <c r="V377" s="37"/>
      <c r="W377" s="17"/>
      <c r="X377" s="37"/>
      <c r="Y377" s="17"/>
      <c r="Z377" s="39"/>
      <c r="AA377" s="39"/>
      <c r="AB377" s="37"/>
      <c r="AC377" s="37"/>
      <c r="AD377" s="38"/>
      <c r="AE377" s="37"/>
      <c r="AF377" s="37"/>
      <c r="AG377" s="37"/>
      <c r="AH377" s="37"/>
      <c r="AI377" s="17"/>
      <c r="AJ377" s="37"/>
      <c r="AK377" s="17"/>
      <c r="AL377" s="39"/>
      <c r="AM377" s="17"/>
      <c r="AN377" s="17"/>
      <c r="AO377" s="37"/>
      <c r="AP377" s="17"/>
      <c r="AQ377" s="37"/>
      <c r="AR377" s="37"/>
      <c r="AS377" s="37"/>
      <c r="AT377" s="17"/>
      <c r="AU377" s="37"/>
      <c r="AV377" s="37"/>
      <c r="AW377" s="38"/>
      <c r="AX377" s="37"/>
      <c r="AY377" s="38"/>
      <c r="AZ377" s="34" t="str">
        <f aca="false">IF($E377="","",COUNTA($E377,$F377,$G377,$J377,$L377,$Q377,$U377,$X377,$AM377,$AN377,$AP377,$AR377)/12)</f>
        <v/>
      </c>
      <c r="BA377" s="32" t="str">
        <f aca="false">IF($E377="","",IF(COUNTIF($E$3:$E$402,$E377)&gt;1,"DUPLICATE",""))</f>
        <v/>
      </c>
      <c r="BB377" s="17"/>
      <c r="BC377" s="35" t="str">
        <f aca="false">IF($E377="","",IFERROR(INDEX(SCORING!$C$6:$C$15,MATCH($J377,SCORING!$B$6:$B$15,0)),0)+IFERROR(INDEX(SCORING!$C$18:$C$20,MATCH($U377,SCORING!$B$18:$B$20,0)),0)+IFERROR(INDEX(SCORING!$C$23:$C$26,MATCH($X377,SCORING!$B$23:$B$26,0)),0)+IFERROR(INDEX(SCORING!$C$29:$C$32,MATCH($Q377,SCORING!$B$29:$B$32,0)),0)+IFERROR(INDEX(SCORING!$C$35:$C$37,MATCH($L377,SCORING!$B$35:$B$37,0)),0)+IF($AP377="",0,IF(AND($AQ377="Valid",$AO377="Decision maker"),SCORING!$C$40,IF($AQ377="Valid",SCORING!$C$41,SCORING!$C$42))))</f>
        <v/>
      </c>
      <c r="BD377" s="36" t="str">
        <f aca="false">IF($BC377="","",IF($BC377&gt;=SCORING!$C$46,"A",IF($BC377&gt;=SCORING!$C$47,"B",IF($BC377&gt;=SCORING!$C$48,"C","D"))))</f>
        <v/>
      </c>
      <c r="BE377" s="37"/>
    </row>
    <row r="378" customFormat="false" ht="15" hidden="false" customHeight="false" outlineLevel="0" collapsed="false">
      <c r="A378" s="37"/>
      <c r="B378" s="38"/>
      <c r="C378" s="37"/>
      <c r="D378" s="37"/>
      <c r="E378" s="17"/>
      <c r="F378" s="17"/>
      <c r="G378" s="37"/>
      <c r="H378" s="32" t="str">
        <f aca="false">IF($G378="","",IFERROR(INDEX(LISTS!$P$3:$P$145,MATCH($G378,LISTS!$O$3:$O$145,0)),"Other"))</f>
        <v/>
      </c>
      <c r="I378" s="37"/>
      <c r="J378" s="17"/>
      <c r="K378" s="17"/>
      <c r="L378" s="37"/>
      <c r="M378" s="37"/>
      <c r="N378" s="39"/>
      <c r="O378" s="37"/>
      <c r="P378" s="39"/>
      <c r="Q378" s="37"/>
      <c r="R378" s="39"/>
      <c r="S378" s="17"/>
      <c r="T378" s="17"/>
      <c r="U378" s="37"/>
      <c r="V378" s="37"/>
      <c r="W378" s="17"/>
      <c r="X378" s="37"/>
      <c r="Y378" s="17"/>
      <c r="Z378" s="39"/>
      <c r="AA378" s="39"/>
      <c r="AB378" s="37"/>
      <c r="AC378" s="37"/>
      <c r="AD378" s="38"/>
      <c r="AE378" s="37"/>
      <c r="AF378" s="37"/>
      <c r="AG378" s="37"/>
      <c r="AH378" s="37"/>
      <c r="AI378" s="17"/>
      <c r="AJ378" s="37"/>
      <c r="AK378" s="17"/>
      <c r="AL378" s="39"/>
      <c r="AM378" s="17"/>
      <c r="AN378" s="17"/>
      <c r="AO378" s="37"/>
      <c r="AP378" s="17"/>
      <c r="AQ378" s="37"/>
      <c r="AR378" s="37"/>
      <c r="AS378" s="37"/>
      <c r="AT378" s="17"/>
      <c r="AU378" s="37"/>
      <c r="AV378" s="37"/>
      <c r="AW378" s="38"/>
      <c r="AX378" s="37"/>
      <c r="AY378" s="38"/>
      <c r="AZ378" s="34" t="str">
        <f aca="false">IF($E378="","",COUNTA($E378,$F378,$G378,$J378,$L378,$Q378,$U378,$X378,$AM378,$AN378,$AP378,$AR378)/12)</f>
        <v/>
      </c>
      <c r="BA378" s="32" t="str">
        <f aca="false">IF($E378="","",IF(COUNTIF($E$3:$E$402,$E378)&gt;1,"DUPLICATE",""))</f>
        <v/>
      </c>
      <c r="BB378" s="17"/>
      <c r="BC378" s="35" t="str">
        <f aca="false">IF($E378="","",IFERROR(INDEX(SCORING!$C$6:$C$15,MATCH($J378,SCORING!$B$6:$B$15,0)),0)+IFERROR(INDEX(SCORING!$C$18:$C$20,MATCH($U378,SCORING!$B$18:$B$20,0)),0)+IFERROR(INDEX(SCORING!$C$23:$C$26,MATCH($X378,SCORING!$B$23:$B$26,0)),0)+IFERROR(INDEX(SCORING!$C$29:$C$32,MATCH($Q378,SCORING!$B$29:$B$32,0)),0)+IFERROR(INDEX(SCORING!$C$35:$C$37,MATCH($L378,SCORING!$B$35:$B$37,0)),0)+IF($AP378="",0,IF(AND($AQ378="Valid",$AO378="Decision maker"),SCORING!$C$40,IF($AQ378="Valid",SCORING!$C$41,SCORING!$C$42))))</f>
        <v/>
      </c>
      <c r="BD378" s="36" t="str">
        <f aca="false">IF($BC378="","",IF($BC378&gt;=SCORING!$C$46,"A",IF($BC378&gt;=SCORING!$C$47,"B",IF($BC378&gt;=SCORING!$C$48,"C","D"))))</f>
        <v/>
      </c>
      <c r="BE378" s="37"/>
    </row>
    <row r="379" customFormat="false" ht="15" hidden="false" customHeight="false" outlineLevel="0" collapsed="false">
      <c r="A379" s="37"/>
      <c r="B379" s="38"/>
      <c r="C379" s="37"/>
      <c r="D379" s="37"/>
      <c r="E379" s="17"/>
      <c r="F379" s="17"/>
      <c r="G379" s="37"/>
      <c r="H379" s="32" t="str">
        <f aca="false">IF($G379="","",IFERROR(INDEX(LISTS!$P$3:$P$145,MATCH($G379,LISTS!$O$3:$O$145,0)),"Other"))</f>
        <v/>
      </c>
      <c r="I379" s="37"/>
      <c r="J379" s="17"/>
      <c r="K379" s="17"/>
      <c r="L379" s="37"/>
      <c r="M379" s="37"/>
      <c r="N379" s="39"/>
      <c r="O379" s="37"/>
      <c r="P379" s="39"/>
      <c r="Q379" s="37"/>
      <c r="R379" s="39"/>
      <c r="S379" s="17"/>
      <c r="T379" s="17"/>
      <c r="U379" s="37"/>
      <c r="V379" s="37"/>
      <c r="W379" s="17"/>
      <c r="X379" s="37"/>
      <c r="Y379" s="17"/>
      <c r="Z379" s="39"/>
      <c r="AA379" s="39"/>
      <c r="AB379" s="37"/>
      <c r="AC379" s="37"/>
      <c r="AD379" s="38"/>
      <c r="AE379" s="37"/>
      <c r="AF379" s="37"/>
      <c r="AG379" s="37"/>
      <c r="AH379" s="37"/>
      <c r="AI379" s="17"/>
      <c r="AJ379" s="37"/>
      <c r="AK379" s="17"/>
      <c r="AL379" s="39"/>
      <c r="AM379" s="17"/>
      <c r="AN379" s="17"/>
      <c r="AO379" s="37"/>
      <c r="AP379" s="17"/>
      <c r="AQ379" s="37"/>
      <c r="AR379" s="37"/>
      <c r="AS379" s="37"/>
      <c r="AT379" s="17"/>
      <c r="AU379" s="37"/>
      <c r="AV379" s="37"/>
      <c r="AW379" s="38"/>
      <c r="AX379" s="37"/>
      <c r="AY379" s="38"/>
      <c r="AZ379" s="34" t="str">
        <f aca="false">IF($E379="","",COUNTA($E379,$F379,$G379,$J379,$L379,$Q379,$U379,$X379,$AM379,$AN379,$AP379,$AR379)/12)</f>
        <v/>
      </c>
      <c r="BA379" s="32" t="str">
        <f aca="false">IF($E379="","",IF(COUNTIF($E$3:$E$402,$E379)&gt;1,"DUPLICATE",""))</f>
        <v/>
      </c>
      <c r="BB379" s="17"/>
      <c r="BC379" s="35" t="str">
        <f aca="false">IF($E379="","",IFERROR(INDEX(SCORING!$C$6:$C$15,MATCH($J379,SCORING!$B$6:$B$15,0)),0)+IFERROR(INDEX(SCORING!$C$18:$C$20,MATCH($U379,SCORING!$B$18:$B$20,0)),0)+IFERROR(INDEX(SCORING!$C$23:$C$26,MATCH($X379,SCORING!$B$23:$B$26,0)),0)+IFERROR(INDEX(SCORING!$C$29:$C$32,MATCH($Q379,SCORING!$B$29:$B$32,0)),0)+IFERROR(INDEX(SCORING!$C$35:$C$37,MATCH($L379,SCORING!$B$35:$B$37,0)),0)+IF($AP379="",0,IF(AND($AQ379="Valid",$AO379="Decision maker"),SCORING!$C$40,IF($AQ379="Valid",SCORING!$C$41,SCORING!$C$42))))</f>
        <v/>
      </c>
      <c r="BD379" s="36" t="str">
        <f aca="false">IF($BC379="","",IF($BC379&gt;=SCORING!$C$46,"A",IF($BC379&gt;=SCORING!$C$47,"B",IF($BC379&gt;=SCORING!$C$48,"C","D"))))</f>
        <v/>
      </c>
      <c r="BE379" s="37"/>
    </row>
    <row r="380" customFormat="false" ht="15" hidden="false" customHeight="false" outlineLevel="0" collapsed="false">
      <c r="A380" s="37"/>
      <c r="B380" s="38"/>
      <c r="C380" s="37"/>
      <c r="D380" s="37"/>
      <c r="E380" s="17"/>
      <c r="F380" s="17"/>
      <c r="G380" s="37"/>
      <c r="H380" s="32" t="str">
        <f aca="false">IF($G380="","",IFERROR(INDEX(LISTS!$P$3:$P$145,MATCH($G380,LISTS!$O$3:$O$145,0)),"Other"))</f>
        <v/>
      </c>
      <c r="I380" s="37"/>
      <c r="J380" s="17"/>
      <c r="K380" s="17"/>
      <c r="L380" s="37"/>
      <c r="M380" s="37"/>
      <c r="N380" s="39"/>
      <c r="O380" s="37"/>
      <c r="P380" s="39"/>
      <c r="Q380" s="37"/>
      <c r="R380" s="39"/>
      <c r="S380" s="17"/>
      <c r="T380" s="17"/>
      <c r="U380" s="37"/>
      <c r="V380" s="37"/>
      <c r="W380" s="17"/>
      <c r="X380" s="37"/>
      <c r="Y380" s="17"/>
      <c r="Z380" s="39"/>
      <c r="AA380" s="39"/>
      <c r="AB380" s="37"/>
      <c r="AC380" s="37"/>
      <c r="AD380" s="38"/>
      <c r="AE380" s="37"/>
      <c r="AF380" s="37"/>
      <c r="AG380" s="37"/>
      <c r="AH380" s="37"/>
      <c r="AI380" s="17"/>
      <c r="AJ380" s="37"/>
      <c r="AK380" s="17"/>
      <c r="AL380" s="39"/>
      <c r="AM380" s="17"/>
      <c r="AN380" s="17"/>
      <c r="AO380" s="37"/>
      <c r="AP380" s="17"/>
      <c r="AQ380" s="37"/>
      <c r="AR380" s="37"/>
      <c r="AS380" s="37"/>
      <c r="AT380" s="17"/>
      <c r="AU380" s="37"/>
      <c r="AV380" s="37"/>
      <c r="AW380" s="38"/>
      <c r="AX380" s="37"/>
      <c r="AY380" s="38"/>
      <c r="AZ380" s="34" t="str">
        <f aca="false">IF($E380="","",COUNTA($E380,$F380,$G380,$J380,$L380,$Q380,$U380,$X380,$AM380,$AN380,$AP380,$AR380)/12)</f>
        <v/>
      </c>
      <c r="BA380" s="32" t="str">
        <f aca="false">IF($E380="","",IF(COUNTIF($E$3:$E$402,$E380)&gt;1,"DUPLICATE",""))</f>
        <v/>
      </c>
      <c r="BB380" s="17"/>
      <c r="BC380" s="35" t="str">
        <f aca="false">IF($E380="","",IFERROR(INDEX(SCORING!$C$6:$C$15,MATCH($J380,SCORING!$B$6:$B$15,0)),0)+IFERROR(INDEX(SCORING!$C$18:$C$20,MATCH($U380,SCORING!$B$18:$B$20,0)),0)+IFERROR(INDEX(SCORING!$C$23:$C$26,MATCH($X380,SCORING!$B$23:$B$26,0)),0)+IFERROR(INDEX(SCORING!$C$29:$C$32,MATCH($Q380,SCORING!$B$29:$B$32,0)),0)+IFERROR(INDEX(SCORING!$C$35:$C$37,MATCH($L380,SCORING!$B$35:$B$37,0)),0)+IF($AP380="",0,IF(AND($AQ380="Valid",$AO380="Decision maker"),SCORING!$C$40,IF($AQ380="Valid",SCORING!$C$41,SCORING!$C$42))))</f>
        <v/>
      </c>
      <c r="BD380" s="36" t="str">
        <f aca="false">IF($BC380="","",IF($BC380&gt;=SCORING!$C$46,"A",IF($BC380&gt;=SCORING!$C$47,"B",IF($BC380&gt;=SCORING!$C$48,"C","D"))))</f>
        <v/>
      </c>
      <c r="BE380" s="37"/>
    </row>
    <row r="381" customFormat="false" ht="15" hidden="false" customHeight="false" outlineLevel="0" collapsed="false">
      <c r="A381" s="37"/>
      <c r="B381" s="38"/>
      <c r="C381" s="37"/>
      <c r="D381" s="37"/>
      <c r="E381" s="17"/>
      <c r="F381" s="17"/>
      <c r="G381" s="37"/>
      <c r="H381" s="32" t="str">
        <f aca="false">IF($G381="","",IFERROR(INDEX(LISTS!$P$3:$P$145,MATCH($G381,LISTS!$O$3:$O$145,0)),"Other"))</f>
        <v/>
      </c>
      <c r="I381" s="37"/>
      <c r="J381" s="17"/>
      <c r="K381" s="17"/>
      <c r="L381" s="37"/>
      <c r="M381" s="37"/>
      <c r="N381" s="39"/>
      <c r="O381" s="37"/>
      <c r="P381" s="39"/>
      <c r="Q381" s="37"/>
      <c r="R381" s="39"/>
      <c r="S381" s="17"/>
      <c r="T381" s="17"/>
      <c r="U381" s="37"/>
      <c r="V381" s="37"/>
      <c r="W381" s="17"/>
      <c r="X381" s="37"/>
      <c r="Y381" s="17"/>
      <c r="Z381" s="39"/>
      <c r="AA381" s="39"/>
      <c r="AB381" s="37"/>
      <c r="AC381" s="37"/>
      <c r="AD381" s="38"/>
      <c r="AE381" s="37"/>
      <c r="AF381" s="37"/>
      <c r="AG381" s="37"/>
      <c r="AH381" s="37"/>
      <c r="AI381" s="17"/>
      <c r="AJ381" s="37"/>
      <c r="AK381" s="17"/>
      <c r="AL381" s="39"/>
      <c r="AM381" s="17"/>
      <c r="AN381" s="17"/>
      <c r="AO381" s="37"/>
      <c r="AP381" s="17"/>
      <c r="AQ381" s="37"/>
      <c r="AR381" s="37"/>
      <c r="AS381" s="37"/>
      <c r="AT381" s="17"/>
      <c r="AU381" s="37"/>
      <c r="AV381" s="37"/>
      <c r="AW381" s="38"/>
      <c r="AX381" s="37"/>
      <c r="AY381" s="38"/>
      <c r="AZ381" s="34" t="str">
        <f aca="false">IF($E381="","",COUNTA($E381,$F381,$G381,$J381,$L381,$Q381,$U381,$X381,$AM381,$AN381,$AP381,$AR381)/12)</f>
        <v/>
      </c>
      <c r="BA381" s="32" t="str">
        <f aca="false">IF($E381="","",IF(COUNTIF($E$3:$E$402,$E381)&gt;1,"DUPLICATE",""))</f>
        <v/>
      </c>
      <c r="BB381" s="17"/>
      <c r="BC381" s="35" t="str">
        <f aca="false">IF($E381="","",IFERROR(INDEX(SCORING!$C$6:$C$15,MATCH($J381,SCORING!$B$6:$B$15,0)),0)+IFERROR(INDEX(SCORING!$C$18:$C$20,MATCH($U381,SCORING!$B$18:$B$20,0)),0)+IFERROR(INDEX(SCORING!$C$23:$C$26,MATCH($X381,SCORING!$B$23:$B$26,0)),0)+IFERROR(INDEX(SCORING!$C$29:$C$32,MATCH($Q381,SCORING!$B$29:$B$32,0)),0)+IFERROR(INDEX(SCORING!$C$35:$C$37,MATCH($L381,SCORING!$B$35:$B$37,0)),0)+IF($AP381="",0,IF(AND($AQ381="Valid",$AO381="Decision maker"),SCORING!$C$40,IF($AQ381="Valid",SCORING!$C$41,SCORING!$C$42))))</f>
        <v/>
      </c>
      <c r="BD381" s="36" t="str">
        <f aca="false">IF($BC381="","",IF($BC381&gt;=SCORING!$C$46,"A",IF($BC381&gt;=SCORING!$C$47,"B",IF($BC381&gt;=SCORING!$C$48,"C","D"))))</f>
        <v/>
      </c>
      <c r="BE381" s="37"/>
    </row>
    <row r="382" customFormat="false" ht="15" hidden="false" customHeight="false" outlineLevel="0" collapsed="false">
      <c r="A382" s="37"/>
      <c r="B382" s="38"/>
      <c r="C382" s="37"/>
      <c r="D382" s="37"/>
      <c r="E382" s="17"/>
      <c r="F382" s="17"/>
      <c r="G382" s="37"/>
      <c r="H382" s="32" t="str">
        <f aca="false">IF($G382="","",IFERROR(INDEX(LISTS!$P$3:$P$145,MATCH($G382,LISTS!$O$3:$O$145,0)),"Other"))</f>
        <v/>
      </c>
      <c r="I382" s="37"/>
      <c r="J382" s="17"/>
      <c r="K382" s="17"/>
      <c r="L382" s="37"/>
      <c r="M382" s="37"/>
      <c r="N382" s="39"/>
      <c r="O382" s="37"/>
      <c r="P382" s="39"/>
      <c r="Q382" s="37"/>
      <c r="R382" s="39"/>
      <c r="S382" s="17"/>
      <c r="T382" s="17"/>
      <c r="U382" s="37"/>
      <c r="V382" s="37"/>
      <c r="W382" s="17"/>
      <c r="X382" s="37"/>
      <c r="Y382" s="17"/>
      <c r="Z382" s="39"/>
      <c r="AA382" s="39"/>
      <c r="AB382" s="37"/>
      <c r="AC382" s="37"/>
      <c r="AD382" s="38"/>
      <c r="AE382" s="37"/>
      <c r="AF382" s="37"/>
      <c r="AG382" s="37"/>
      <c r="AH382" s="37"/>
      <c r="AI382" s="17"/>
      <c r="AJ382" s="37"/>
      <c r="AK382" s="17"/>
      <c r="AL382" s="39"/>
      <c r="AM382" s="17"/>
      <c r="AN382" s="17"/>
      <c r="AO382" s="37"/>
      <c r="AP382" s="17"/>
      <c r="AQ382" s="37"/>
      <c r="AR382" s="37"/>
      <c r="AS382" s="37"/>
      <c r="AT382" s="17"/>
      <c r="AU382" s="37"/>
      <c r="AV382" s="37"/>
      <c r="AW382" s="38"/>
      <c r="AX382" s="37"/>
      <c r="AY382" s="38"/>
      <c r="AZ382" s="34" t="str">
        <f aca="false">IF($E382="","",COUNTA($E382,$F382,$G382,$J382,$L382,$Q382,$U382,$X382,$AM382,$AN382,$AP382,$AR382)/12)</f>
        <v/>
      </c>
      <c r="BA382" s="32" t="str">
        <f aca="false">IF($E382="","",IF(COUNTIF($E$3:$E$402,$E382)&gt;1,"DUPLICATE",""))</f>
        <v/>
      </c>
      <c r="BB382" s="17"/>
      <c r="BC382" s="35" t="str">
        <f aca="false">IF($E382="","",IFERROR(INDEX(SCORING!$C$6:$C$15,MATCH($J382,SCORING!$B$6:$B$15,0)),0)+IFERROR(INDEX(SCORING!$C$18:$C$20,MATCH($U382,SCORING!$B$18:$B$20,0)),0)+IFERROR(INDEX(SCORING!$C$23:$C$26,MATCH($X382,SCORING!$B$23:$B$26,0)),0)+IFERROR(INDEX(SCORING!$C$29:$C$32,MATCH($Q382,SCORING!$B$29:$B$32,0)),0)+IFERROR(INDEX(SCORING!$C$35:$C$37,MATCH($L382,SCORING!$B$35:$B$37,0)),0)+IF($AP382="",0,IF(AND($AQ382="Valid",$AO382="Decision maker"),SCORING!$C$40,IF($AQ382="Valid",SCORING!$C$41,SCORING!$C$42))))</f>
        <v/>
      </c>
      <c r="BD382" s="36" t="str">
        <f aca="false">IF($BC382="","",IF($BC382&gt;=SCORING!$C$46,"A",IF($BC382&gt;=SCORING!$C$47,"B",IF($BC382&gt;=SCORING!$C$48,"C","D"))))</f>
        <v/>
      </c>
      <c r="BE382" s="37"/>
    </row>
    <row r="383" customFormat="false" ht="15" hidden="false" customHeight="false" outlineLevel="0" collapsed="false">
      <c r="A383" s="37"/>
      <c r="B383" s="38"/>
      <c r="C383" s="37"/>
      <c r="D383" s="37"/>
      <c r="E383" s="17"/>
      <c r="F383" s="17"/>
      <c r="G383" s="37"/>
      <c r="H383" s="32" t="str">
        <f aca="false">IF($G383="","",IFERROR(INDEX(LISTS!$P$3:$P$145,MATCH($G383,LISTS!$O$3:$O$145,0)),"Other"))</f>
        <v/>
      </c>
      <c r="I383" s="37"/>
      <c r="J383" s="17"/>
      <c r="K383" s="17"/>
      <c r="L383" s="37"/>
      <c r="M383" s="37"/>
      <c r="N383" s="39"/>
      <c r="O383" s="37"/>
      <c r="P383" s="39"/>
      <c r="Q383" s="37"/>
      <c r="R383" s="39"/>
      <c r="S383" s="17"/>
      <c r="T383" s="17"/>
      <c r="U383" s="37"/>
      <c r="V383" s="37"/>
      <c r="W383" s="17"/>
      <c r="X383" s="37"/>
      <c r="Y383" s="17"/>
      <c r="Z383" s="39"/>
      <c r="AA383" s="39"/>
      <c r="AB383" s="37"/>
      <c r="AC383" s="37"/>
      <c r="AD383" s="38"/>
      <c r="AE383" s="37"/>
      <c r="AF383" s="37"/>
      <c r="AG383" s="37"/>
      <c r="AH383" s="37"/>
      <c r="AI383" s="17"/>
      <c r="AJ383" s="37"/>
      <c r="AK383" s="17"/>
      <c r="AL383" s="39"/>
      <c r="AM383" s="17"/>
      <c r="AN383" s="17"/>
      <c r="AO383" s="37"/>
      <c r="AP383" s="17"/>
      <c r="AQ383" s="37"/>
      <c r="AR383" s="37"/>
      <c r="AS383" s="37"/>
      <c r="AT383" s="17"/>
      <c r="AU383" s="37"/>
      <c r="AV383" s="37"/>
      <c r="AW383" s="38"/>
      <c r="AX383" s="37"/>
      <c r="AY383" s="38"/>
      <c r="AZ383" s="34" t="str">
        <f aca="false">IF($E383="","",COUNTA($E383,$F383,$G383,$J383,$L383,$Q383,$U383,$X383,$AM383,$AN383,$AP383,$AR383)/12)</f>
        <v/>
      </c>
      <c r="BA383" s="32" t="str">
        <f aca="false">IF($E383="","",IF(COUNTIF($E$3:$E$402,$E383)&gt;1,"DUPLICATE",""))</f>
        <v/>
      </c>
      <c r="BB383" s="17"/>
      <c r="BC383" s="35" t="str">
        <f aca="false">IF($E383="","",IFERROR(INDEX(SCORING!$C$6:$C$15,MATCH($J383,SCORING!$B$6:$B$15,0)),0)+IFERROR(INDEX(SCORING!$C$18:$C$20,MATCH($U383,SCORING!$B$18:$B$20,0)),0)+IFERROR(INDEX(SCORING!$C$23:$C$26,MATCH($X383,SCORING!$B$23:$B$26,0)),0)+IFERROR(INDEX(SCORING!$C$29:$C$32,MATCH($Q383,SCORING!$B$29:$B$32,0)),0)+IFERROR(INDEX(SCORING!$C$35:$C$37,MATCH($L383,SCORING!$B$35:$B$37,0)),0)+IF($AP383="",0,IF(AND($AQ383="Valid",$AO383="Decision maker"),SCORING!$C$40,IF($AQ383="Valid",SCORING!$C$41,SCORING!$C$42))))</f>
        <v/>
      </c>
      <c r="BD383" s="36" t="str">
        <f aca="false">IF($BC383="","",IF($BC383&gt;=SCORING!$C$46,"A",IF($BC383&gt;=SCORING!$C$47,"B",IF($BC383&gt;=SCORING!$C$48,"C","D"))))</f>
        <v/>
      </c>
      <c r="BE383" s="37"/>
    </row>
    <row r="384" customFormat="false" ht="15" hidden="false" customHeight="false" outlineLevel="0" collapsed="false">
      <c r="A384" s="37"/>
      <c r="B384" s="38"/>
      <c r="C384" s="37"/>
      <c r="D384" s="37"/>
      <c r="E384" s="17"/>
      <c r="F384" s="17"/>
      <c r="G384" s="37"/>
      <c r="H384" s="32" t="str">
        <f aca="false">IF($G384="","",IFERROR(INDEX(LISTS!$P$3:$P$145,MATCH($G384,LISTS!$O$3:$O$145,0)),"Other"))</f>
        <v/>
      </c>
      <c r="I384" s="37"/>
      <c r="J384" s="17"/>
      <c r="K384" s="17"/>
      <c r="L384" s="37"/>
      <c r="M384" s="37"/>
      <c r="N384" s="39"/>
      <c r="O384" s="37"/>
      <c r="P384" s="39"/>
      <c r="Q384" s="37"/>
      <c r="R384" s="39"/>
      <c r="S384" s="17"/>
      <c r="T384" s="17"/>
      <c r="U384" s="37"/>
      <c r="V384" s="37"/>
      <c r="W384" s="17"/>
      <c r="X384" s="37"/>
      <c r="Y384" s="17"/>
      <c r="Z384" s="39"/>
      <c r="AA384" s="39"/>
      <c r="AB384" s="37"/>
      <c r="AC384" s="37"/>
      <c r="AD384" s="38"/>
      <c r="AE384" s="37"/>
      <c r="AF384" s="37"/>
      <c r="AG384" s="37"/>
      <c r="AH384" s="37"/>
      <c r="AI384" s="17"/>
      <c r="AJ384" s="37"/>
      <c r="AK384" s="17"/>
      <c r="AL384" s="39"/>
      <c r="AM384" s="17"/>
      <c r="AN384" s="17"/>
      <c r="AO384" s="37"/>
      <c r="AP384" s="17"/>
      <c r="AQ384" s="37"/>
      <c r="AR384" s="37"/>
      <c r="AS384" s="37"/>
      <c r="AT384" s="17"/>
      <c r="AU384" s="37"/>
      <c r="AV384" s="37"/>
      <c r="AW384" s="38"/>
      <c r="AX384" s="37"/>
      <c r="AY384" s="38"/>
      <c r="AZ384" s="34" t="str">
        <f aca="false">IF($E384="","",COUNTA($E384,$F384,$G384,$J384,$L384,$Q384,$U384,$X384,$AM384,$AN384,$AP384,$AR384)/12)</f>
        <v/>
      </c>
      <c r="BA384" s="32" t="str">
        <f aca="false">IF($E384="","",IF(COUNTIF($E$3:$E$402,$E384)&gt;1,"DUPLICATE",""))</f>
        <v/>
      </c>
      <c r="BB384" s="17"/>
      <c r="BC384" s="35" t="str">
        <f aca="false">IF($E384="","",IFERROR(INDEX(SCORING!$C$6:$C$15,MATCH($J384,SCORING!$B$6:$B$15,0)),0)+IFERROR(INDEX(SCORING!$C$18:$C$20,MATCH($U384,SCORING!$B$18:$B$20,0)),0)+IFERROR(INDEX(SCORING!$C$23:$C$26,MATCH($X384,SCORING!$B$23:$B$26,0)),0)+IFERROR(INDEX(SCORING!$C$29:$C$32,MATCH($Q384,SCORING!$B$29:$B$32,0)),0)+IFERROR(INDEX(SCORING!$C$35:$C$37,MATCH($L384,SCORING!$B$35:$B$37,0)),0)+IF($AP384="",0,IF(AND($AQ384="Valid",$AO384="Decision maker"),SCORING!$C$40,IF($AQ384="Valid",SCORING!$C$41,SCORING!$C$42))))</f>
        <v/>
      </c>
      <c r="BD384" s="36" t="str">
        <f aca="false">IF($BC384="","",IF($BC384&gt;=SCORING!$C$46,"A",IF($BC384&gt;=SCORING!$C$47,"B",IF($BC384&gt;=SCORING!$C$48,"C","D"))))</f>
        <v/>
      </c>
      <c r="BE384" s="37"/>
    </row>
    <row r="385" customFormat="false" ht="15" hidden="false" customHeight="false" outlineLevel="0" collapsed="false">
      <c r="A385" s="37"/>
      <c r="B385" s="38"/>
      <c r="C385" s="37"/>
      <c r="D385" s="37"/>
      <c r="E385" s="17"/>
      <c r="F385" s="17"/>
      <c r="G385" s="37"/>
      <c r="H385" s="32" t="str">
        <f aca="false">IF($G385="","",IFERROR(INDEX(LISTS!$P$3:$P$145,MATCH($G385,LISTS!$O$3:$O$145,0)),"Other"))</f>
        <v/>
      </c>
      <c r="I385" s="37"/>
      <c r="J385" s="17"/>
      <c r="K385" s="17"/>
      <c r="L385" s="37"/>
      <c r="M385" s="37"/>
      <c r="N385" s="39"/>
      <c r="O385" s="37"/>
      <c r="P385" s="39"/>
      <c r="Q385" s="37"/>
      <c r="R385" s="39"/>
      <c r="S385" s="17"/>
      <c r="T385" s="17"/>
      <c r="U385" s="37"/>
      <c r="V385" s="37"/>
      <c r="W385" s="17"/>
      <c r="X385" s="37"/>
      <c r="Y385" s="17"/>
      <c r="Z385" s="39"/>
      <c r="AA385" s="39"/>
      <c r="AB385" s="37"/>
      <c r="AC385" s="37"/>
      <c r="AD385" s="38"/>
      <c r="AE385" s="37"/>
      <c r="AF385" s="37"/>
      <c r="AG385" s="37"/>
      <c r="AH385" s="37"/>
      <c r="AI385" s="17"/>
      <c r="AJ385" s="37"/>
      <c r="AK385" s="17"/>
      <c r="AL385" s="39"/>
      <c r="AM385" s="17"/>
      <c r="AN385" s="17"/>
      <c r="AO385" s="37"/>
      <c r="AP385" s="17"/>
      <c r="AQ385" s="37"/>
      <c r="AR385" s="37"/>
      <c r="AS385" s="37"/>
      <c r="AT385" s="17"/>
      <c r="AU385" s="37"/>
      <c r="AV385" s="37"/>
      <c r="AW385" s="38"/>
      <c r="AX385" s="37"/>
      <c r="AY385" s="38"/>
      <c r="AZ385" s="34" t="str">
        <f aca="false">IF($E385="","",COUNTA($E385,$F385,$G385,$J385,$L385,$Q385,$U385,$X385,$AM385,$AN385,$AP385,$AR385)/12)</f>
        <v/>
      </c>
      <c r="BA385" s="32" t="str">
        <f aca="false">IF($E385="","",IF(COUNTIF($E$3:$E$402,$E385)&gt;1,"DUPLICATE",""))</f>
        <v/>
      </c>
      <c r="BB385" s="17"/>
      <c r="BC385" s="35" t="str">
        <f aca="false">IF($E385="","",IFERROR(INDEX(SCORING!$C$6:$C$15,MATCH($J385,SCORING!$B$6:$B$15,0)),0)+IFERROR(INDEX(SCORING!$C$18:$C$20,MATCH($U385,SCORING!$B$18:$B$20,0)),0)+IFERROR(INDEX(SCORING!$C$23:$C$26,MATCH($X385,SCORING!$B$23:$B$26,0)),0)+IFERROR(INDEX(SCORING!$C$29:$C$32,MATCH($Q385,SCORING!$B$29:$B$32,0)),0)+IFERROR(INDEX(SCORING!$C$35:$C$37,MATCH($L385,SCORING!$B$35:$B$37,0)),0)+IF($AP385="",0,IF(AND($AQ385="Valid",$AO385="Decision maker"),SCORING!$C$40,IF($AQ385="Valid",SCORING!$C$41,SCORING!$C$42))))</f>
        <v/>
      </c>
      <c r="BD385" s="36" t="str">
        <f aca="false">IF($BC385="","",IF($BC385&gt;=SCORING!$C$46,"A",IF($BC385&gt;=SCORING!$C$47,"B",IF($BC385&gt;=SCORING!$C$48,"C","D"))))</f>
        <v/>
      </c>
      <c r="BE385" s="37"/>
    </row>
    <row r="386" customFormat="false" ht="15" hidden="false" customHeight="false" outlineLevel="0" collapsed="false">
      <c r="A386" s="37"/>
      <c r="B386" s="38"/>
      <c r="C386" s="37"/>
      <c r="D386" s="37"/>
      <c r="E386" s="17"/>
      <c r="F386" s="17"/>
      <c r="G386" s="37"/>
      <c r="H386" s="32" t="str">
        <f aca="false">IF($G386="","",IFERROR(INDEX(LISTS!$P$3:$P$145,MATCH($G386,LISTS!$O$3:$O$145,0)),"Other"))</f>
        <v/>
      </c>
      <c r="I386" s="37"/>
      <c r="J386" s="17"/>
      <c r="K386" s="17"/>
      <c r="L386" s="37"/>
      <c r="M386" s="37"/>
      <c r="N386" s="39"/>
      <c r="O386" s="37"/>
      <c r="P386" s="39"/>
      <c r="Q386" s="37"/>
      <c r="R386" s="39"/>
      <c r="S386" s="17"/>
      <c r="T386" s="17"/>
      <c r="U386" s="37"/>
      <c r="V386" s="37"/>
      <c r="W386" s="17"/>
      <c r="X386" s="37"/>
      <c r="Y386" s="17"/>
      <c r="Z386" s="39"/>
      <c r="AA386" s="39"/>
      <c r="AB386" s="37"/>
      <c r="AC386" s="37"/>
      <c r="AD386" s="38"/>
      <c r="AE386" s="37"/>
      <c r="AF386" s="37"/>
      <c r="AG386" s="37"/>
      <c r="AH386" s="37"/>
      <c r="AI386" s="17"/>
      <c r="AJ386" s="37"/>
      <c r="AK386" s="17"/>
      <c r="AL386" s="39"/>
      <c r="AM386" s="17"/>
      <c r="AN386" s="17"/>
      <c r="AO386" s="37"/>
      <c r="AP386" s="17"/>
      <c r="AQ386" s="37"/>
      <c r="AR386" s="37"/>
      <c r="AS386" s="37"/>
      <c r="AT386" s="17"/>
      <c r="AU386" s="37"/>
      <c r="AV386" s="37"/>
      <c r="AW386" s="38"/>
      <c r="AX386" s="37"/>
      <c r="AY386" s="38"/>
      <c r="AZ386" s="34" t="str">
        <f aca="false">IF($E386="","",COUNTA($E386,$F386,$G386,$J386,$L386,$Q386,$U386,$X386,$AM386,$AN386,$AP386,$AR386)/12)</f>
        <v/>
      </c>
      <c r="BA386" s="32" t="str">
        <f aca="false">IF($E386="","",IF(COUNTIF($E$3:$E$402,$E386)&gt;1,"DUPLICATE",""))</f>
        <v/>
      </c>
      <c r="BB386" s="17"/>
      <c r="BC386" s="35" t="str">
        <f aca="false">IF($E386="","",IFERROR(INDEX(SCORING!$C$6:$C$15,MATCH($J386,SCORING!$B$6:$B$15,0)),0)+IFERROR(INDEX(SCORING!$C$18:$C$20,MATCH($U386,SCORING!$B$18:$B$20,0)),0)+IFERROR(INDEX(SCORING!$C$23:$C$26,MATCH($X386,SCORING!$B$23:$B$26,0)),0)+IFERROR(INDEX(SCORING!$C$29:$C$32,MATCH($Q386,SCORING!$B$29:$B$32,0)),0)+IFERROR(INDEX(SCORING!$C$35:$C$37,MATCH($L386,SCORING!$B$35:$B$37,0)),0)+IF($AP386="",0,IF(AND($AQ386="Valid",$AO386="Decision maker"),SCORING!$C$40,IF($AQ386="Valid",SCORING!$C$41,SCORING!$C$42))))</f>
        <v/>
      </c>
      <c r="BD386" s="36" t="str">
        <f aca="false">IF($BC386="","",IF($BC386&gt;=SCORING!$C$46,"A",IF($BC386&gt;=SCORING!$C$47,"B",IF($BC386&gt;=SCORING!$C$48,"C","D"))))</f>
        <v/>
      </c>
      <c r="BE386" s="37"/>
    </row>
    <row r="387" customFormat="false" ht="15" hidden="false" customHeight="false" outlineLevel="0" collapsed="false">
      <c r="A387" s="37"/>
      <c r="B387" s="38"/>
      <c r="C387" s="37"/>
      <c r="D387" s="37"/>
      <c r="E387" s="17"/>
      <c r="F387" s="17"/>
      <c r="G387" s="37"/>
      <c r="H387" s="32" t="str">
        <f aca="false">IF($G387="","",IFERROR(INDEX(LISTS!$P$3:$P$145,MATCH($G387,LISTS!$O$3:$O$145,0)),"Other"))</f>
        <v/>
      </c>
      <c r="I387" s="37"/>
      <c r="J387" s="17"/>
      <c r="K387" s="17"/>
      <c r="L387" s="37"/>
      <c r="M387" s="37"/>
      <c r="N387" s="39"/>
      <c r="O387" s="37"/>
      <c r="P387" s="39"/>
      <c r="Q387" s="37"/>
      <c r="R387" s="39"/>
      <c r="S387" s="17"/>
      <c r="T387" s="17"/>
      <c r="U387" s="37"/>
      <c r="V387" s="37"/>
      <c r="W387" s="17"/>
      <c r="X387" s="37"/>
      <c r="Y387" s="17"/>
      <c r="Z387" s="39"/>
      <c r="AA387" s="39"/>
      <c r="AB387" s="37"/>
      <c r="AC387" s="37"/>
      <c r="AD387" s="38"/>
      <c r="AE387" s="37"/>
      <c r="AF387" s="37"/>
      <c r="AG387" s="37"/>
      <c r="AH387" s="37"/>
      <c r="AI387" s="17"/>
      <c r="AJ387" s="37"/>
      <c r="AK387" s="17"/>
      <c r="AL387" s="39"/>
      <c r="AM387" s="17"/>
      <c r="AN387" s="17"/>
      <c r="AO387" s="37"/>
      <c r="AP387" s="17"/>
      <c r="AQ387" s="37"/>
      <c r="AR387" s="37"/>
      <c r="AS387" s="37"/>
      <c r="AT387" s="17"/>
      <c r="AU387" s="37"/>
      <c r="AV387" s="37"/>
      <c r="AW387" s="38"/>
      <c r="AX387" s="37"/>
      <c r="AY387" s="38"/>
      <c r="AZ387" s="34" t="str">
        <f aca="false">IF($E387="","",COUNTA($E387,$F387,$G387,$J387,$L387,$Q387,$U387,$X387,$AM387,$AN387,$AP387,$AR387)/12)</f>
        <v/>
      </c>
      <c r="BA387" s="32" t="str">
        <f aca="false">IF($E387="","",IF(COUNTIF($E$3:$E$402,$E387)&gt;1,"DUPLICATE",""))</f>
        <v/>
      </c>
      <c r="BB387" s="17"/>
      <c r="BC387" s="35" t="str">
        <f aca="false">IF($E387="","",IFERROR(INDEX(SCORING!$C$6:$C$15,MATCH($J387,SCORING!$B$6:$B$15,0)),0)+IFERROR(INDEX(SCORING!$C$18:$C$20,MATCH($U387,SCORING!$B$18:$B$20,0)),0)+IFERROR(INDEX(SCORING!$C$23:$C$26,MATCH($X387,SCORING!$B$23:$B$26,0)),0)+IFERROR(INDEX(SCORING!$C$29:$C$32,MATCH($Q387,SCORING!$B$29:$B$32,0)),0)+IFERROR(INDEX(SCORING!$C$35:$C$37,MATCH($L387,SCORING!$B$35:$B$37,0)),0)+IF($AP387="",0,IF(AND($AQ387="Valid",$AO387="Decision maker"),SCORING!$C$40,IF($AQ387="Valid",SCORING!$C$41,SCORING!$C$42))))</f>
        <v/>
      </c>
      <c r="BD387" s="36" t="str">
        <f aca="false">IF($BC387="","",IF($BC387&gt;=SCORING!$C$46,"A",IF($BC387&gt;=SCORING!$C$47,"B",IF($BC387&gt;=SCORING!$C$48,"C","D"))))</f>
        <v/>
      </c>
      <c r="BE387" s="37"/>
    </row>
    <row r="388" customFormat="false" ht="15" hidden="false" customHeight="false" outlineLevel="0" collapsed="false">
      <c r="A388" s="37"/>
      <c r="B388" s="38"/>
      <c r="C388" s="37"/>
      <c r="D388" s="37"/>
      <c r="E388" s="17"/>
      <c r="F388" s="17"/>
      <c r="G388" s="37"/>
      <c r="H388" s="32" t="str">
        <f aca="false">IF($G388="","",IFERROR(INDEX(LISTS!$P$3:$P$145,MATCH($G388,LISTS!$O$3:$O$145,0)),"Other"))</f>
        <v/>
      </c>
      <c r="I388" s="37"/>
      <c r="J388" s="17"/>
      <c r="K388" s="17"/>
      <c r="L388" s="37"/>
      <c r="M388" s="37"/>
      <c r="N388" s="39"/>
      <c r="O388" s="37"/>
      <c r="P388" s="39"/>
      <c r="Q388" s="37"/>
      <c r="R388" s="39"/>
      <c r="S388" s="17"/>
      <c r="T388" s="17"/>
      <c r="U388" s="37"/>
      <c r="V388" s="37"/>
      <c r="W388" s="17"/>
      <c r="X388" s="37"/>
      <c r="Y388" s="17"/>
      <c r="Z388" s="39"/>
      <c r="AA388" s="39"/>
      <c r="AB388" s="37"/>
      <c r="AC388" s="37"/>
      <c r="AD388" s="38"/>
      <c r="AE388" s="37"/>
      <c r="AF388" s="37"/>
      <c r="AG388" s="37"/>
      <c r="AH388" s="37"/>
      <c r="AI388" s="17"/>
      <c r="AJ388" s="37"/>
      <c r="AK388" s="17"/>
      <c r="AL388" s="39"/>
      <c r="AM388" s="17"/>
      <c r="AN388" s="17"/>
      <c r="AO388" s="37"/>
      <c r="AP388" s="17"/>
      <c r="AQ388" s="37"/>
      <c r="AR388" s="37"/>
      <c r="AS388" s="37"/>
      <c r="AT388" s="17"/>
      <c r="AU388" s="37"/>
      <c r="AV388" s="37"/>
      <c r="AW388" s="38"/>
      <c r="AX388" s="37"/>
      <c r="AY388" s="38"/>
      <c r="AZ388" s="34" t="str">
        <f aca="false">IF($E388="","",COUNTA($E388,$F388,$G388,$J388,$L388,$Q388,$U388,$X388,$AM388,$AN388,$AP388,$AR388)/12)</f>
        <v/>
      </c>
      <c r="BA388" s="32" t="str">
        <f aca="false">IF($E388="","",IF(COUNTIF($E$3:$E$402,$E388)&gt;1,"DUPLICATE",""))</f>
        <v/>
      </c>
      <c r="BB388" s="17"/>
      <c r="BC388" s="35" t="str">
        <f aca="false">IF($E388="","",IFERROR(INDEX(SCORING!$C$6:$C$15,MATCH($J388,SCORING!$B$6:$B$15,0)),0)+IFERROR(INDEX(SCORING!$C$18:$C$20,MATCH($U388,SCORING!$B$18:$B$20,0)),0)+IFERROR(INDEX(SCORING!$C$23:$C$26,MATCH($X388,SCORING!$B$23:$B$26,0)),0)+IFERROR(INDEX(SCORING!$C$29:$C$32,MATCH($Q388,SCORING!$B$29:$B$32,0)),0)+IFERROR(INDEX(SCORING!$C$35:$C$37,MATCH($L388,SCORING!$B$35:$B$37,0)),0)+IF($AP388="",0,IF(AND($AQ388="Valid",$AO388="Decision maker"),SCORING!$C$40,IF($AQ388="Valid",SCORING!$C$41,SCORING!$C$42))))</f>
        <v/>
      </c>
      <c r="BD388" s="36" t="str">
        <f aca="false">IF($BC388="","",IF($BC388&gt;=SCORING!$C$46,"A",IF($BC388&gt;=SCORING!$C$47,"B",IF($BC388&gt;=SCORING!$C$48,"C","D"))))</f>
        <v/>
      </c>
      <c r="BE388" s="37"/>
    </row>
    <row r="389" customFormat="false" ht="15" hidden="false" customHeight="false" outlineLevel="0" collapsed="false">
      <c r="A389" s="37"/>
      <c r="B389" s="38"/>
      <c r="C389" s="37"/>
      <c r="D389" s="37"/>
      <c r="E389" s="17"/>
      <c r="F389" s="17"/>
      <c r="G389" s="37"/>
      <c r="H389" s="32" t="str">
        <f aca="false">IF($G389="","",IFERROR(INDEX(LISTS!$P$3:$P$145,MATCH($G389,LISTS!$O$3:$O$145,0)),"Other"))</f>
        <v/>
      </c>
      <c r="I389" s="37"/>
      <c r="J389" s="17"/>
      <c r="K389" s="17"/>
      <c r="L389" s="37"/>
      <c r="M389" s="37"/>
      <c r="N389" s="39"/>
      <c r="O389" s="37"/>
      <c r="P389" s="39"/>
      <c r="Q389" s="37"/>
      <c r="R389" s="39"/>
      <c r="S389" s="17"/>
      <c r="T389" s="17"/>
      <c r="U389" s="37"/>
      <c r="V389" s="37"/>
      <c r="W389" s="17"/>
      <c r="X389" s="37"/>
      <c r="Y389" s="17"/>
      <c r="Z389" s="39"/>
      <c r="AA389" s="39"/>
      <c r="AB389" s="37"/>
      <c r="AC389" s="37"/>
      <c r="AD389" s="38"/>
      <c r="AE389" s="37"/>
      <c r="AF389" s="37"/>
      <c r="AG389" s="37"/>
      <c r="AH389" s="37"/>
      <c r="AI389" s="17"/>
      <c r="AJ389" s="37"/>
      <c r="AK389" s="17"/>
      <c r="AL389" s="39"/>
      <c r="AM389" s="17"/>
      <c r="AN389" s="17"/>
      <c r="AO389" s="37"/>
      <c r="AP389" s="17"/>
      <c r="AQ389" s="37"/>
      <c r="AR389" s="37"/>
      <c r="AS389" s="37"/>
      <c r="AT389" s="17"/>
      <c r="AU389" s="37"/>
      <c r="AV389" s="37"/>
      <c r="AW389" s="38"/>
      <c r="AX389" s="37"/>
      <c r="AY389" s="38"/>
      <c r="AZ389" s="34" t="str">
        <f aca="false">IF($E389="","",COUNTA($E389,$F389,$G389,$J389,$L389,$Q389,$U389,$X389,$AM389,$AN389,$AP389,$AR389)/12)</f>
        <v/>
      </c>
      <c r="BA389" s="32" t="str">
        <f aca="false">IF($E389="","",IF(COUNTIF($E$3:$E$402,$E389)&gt;1,"DUPLICATE",""))</f>
        <v/>
      </c>
      <c r="BB389" s="17"/>
      <c r="BC389" s="35" t="str">
        <f aca="false">IF($E389="","",IFERROR(INDEX(SCORING!$C$6:$C$15,MATCH($J389,SCORING!$B$6:$B$15,0)),0)+IFERROR(INDEX(SCORING!$C$18:$C$20,MATCH($U389,SCORING!$B$18:$B$20,0)),0)+IFERROR(INDEX(SCORING!$C$23:$C$26,MATCH($X389,SCORING!$B$23:$B$26,0)),0)+IFERROR(INDEX(SCORING!$C$29:$C$32,MATCH($Q389,SCORING!$B$29:$B$32,0)),0)+IFERROR(INDEX(SCORING!$C$35:$C$37,MATCH($L389,SCORING!$B$35:$B$37,0)),0)+IF($AP389="",0,IF(AND($AQ389="Valid",$AO389="Decision maker"),SCORING!$C$40,IF($AQ389="Valid",SCORING!$C$41,SCORING!$C$42))))</f>
        <v/>
      </c>
      <c r="BD389" s="36" t="str">
        <f aca="false">IF($BC389="","",IF($BC389&gt;=SCORING!$C$46,"A",IF($BC389&gt;=SCORING!$C$47,"B",IF($BC389&gt;=SCORING!$C$48,"C","D"))))</f>
        <v/>
      </c>
      <c r="BE389" s="37"/>
    </row>
    <row r="390" customFormat="false" ht="15" hidden="false" customHeight="false" outlineLevel="0" collapsed="false">
      <c r="A390" s="37"/>
      <c r="B390" s="38"/>
      <c r="C390" s="37"/>
      <c r="D390" s="37"/>
      <c r="E390" s="17"/>
      <c r="F390" s="17"/>
      <c r="G390" s="37"/>
      <c r="H390" s="32" t="str">
        <f aca="false">IF($G390="","",IFERROR(INDEX(LISTS!$P$3:$P$145,MATCH($G390,LISTS!$O$3:$O$145,0)),"Other"))</f>
        <v/>
      </c>
      <c r="I390" s="37"/>
      <c r="J390" s="17"/>
      <c r="K390" s="17"/>
      <c r="L390" s="37"/>
      <c r="M390" s="37"/>
      <c r="N390" s="39"/>
      <c r="O390" s="37"/>
      <c r="P390" s="39"/>
      <c r="Q390" s="37"/>
      <c r="R390" s="39"/>
      <c r="S390" s="17"/>
      <c r="T390" s="17"/>
      <c r="U390" s="37"/>
      <c r="V390" s="37"/>
      <c r="W390" s="17"/>
      <c r="X390" s="37"/>
      <c r="Y390" s="17"/>
      <c r="Z390" s="39"/>
      <c r="AA390" s="39"/>
      <c r="AB390" s="37"/>
      <c r="AC390" s="37"/>
      <c r="AD390" s="38"/>
      <c r="AE390" s="37"/>
      <c r="AF390" s="37"/>
      <c r="AG390" s="37"/>
      <c r="AH390" s="37"/>
      <c r="AI390" s="17"/>
      <c r="AJ390" s="37"/>
      <c r="AK390" s="17"/>
      <c r="AL390" s="39"/>
      <c r="AM390" s="17"/>
      <c r="AN390" s="17"/>
      <c r="AO390" s="37"/>
      <c r="AP390" s="17"/>
      <c r="AQ390" s="37"/>
      <c r="AR390" s="37"/>
      <c r="AS390" s="37"/>
      <c r="AT390" s="17"/>
      <c r="AU390" s="37"/>
      <c r="AV390" s="37"/>
      <c r="AW390" s="38"/>
      <c r="AX390" s="37"/>
      <c r="AY390" s="38"/>
      <c r="AZ390" s="34" t="str">
        <f aca="false">IF($E390="","",COUNTA($E390,$F390,$G390,$J390,$L390,$Q390,$U390,$X390,$AM390,$AN390,$AP390,$AR390)/12)</f>
        <v/>
      </c>
      <c r="BA390" s="32" t="str">
        <f aca="false">IF($E390="","",IF(COUNTIF($E$3:$E$402,$E390)&gt;1,"DUPLICATE",""))</f>
        <v/>
      </c>
      <c r="BB390" s="17"/>
      <c r="BC390" s="35" t="str">
        <f aca="false">IF($E390="","",IFERROR(INDEX(SCORING!$C$6:$C$15,MATCH($J390,SCORING!$B$6:$B$15,0)),0)+IFERROR(INDEX(SCORING!$C$18:$C$20,MATCH($U390,SCORING!$B$18:$B$20,0)),0)+IFERROR(INDEX(SCORING!$C$23:$C$26,MATCH($X390,SCORING!$B$23:$B$26,0)),0)+IFERROR(INDEX(SCORING!$C$29:$C$32,MATCH($Q390,SCORING!$B$29:$B$32,0)),0)+IFERROR(INDEX(SCORING!$C$35:$C$37,MATCH($L390,SCORING!$B$35:$B$37,0)),0)+IF($AP390="",0,IF(AND($AQ390="Valid",$AO390="Decision maker"),SCORING!$C$40,IF($AQ390="Valid",SCORING!$C$41,SCORING!$C$42))))</f>
        <v/>
      </c>
      <c r="BD390" s="36" t="str">
        <f aca="false">IF($BC390="","",IF($BC390&gt;=SCORING!$C$46,"A",IF($BC390&gt;=SCORING!$C$47,"B",IF($BC390&gt;=SCORING!$C$48,"C","D"))))</f>
        <v/>
      </c>
      <c r="BE390" s="37"/>
    </row>
    <row r="391" customFormat="false" ht="15" hidden="false" customHeight="false" outlineLevel="0" collapsed="false">
      <c r="A391" s="37"/>
      <c r="B391" s="38"/>
      <c r="C391" s="37"/>
      <c r="D391" s="37"/>
      <c r="E391" s="17"/>
      <c r="F391" s="17"/>
      <c r="G391" s="37"/>
      <c r="H391" s="32" t="str">
        <f aca="false">IF($G391="","",IFERROR(INDEX(LISTS!$P$3:$P$145,MATCH($G391,LISTS!$O$3:$O$145,0)),"Other"))</f>
        <v/>
      </c>
      <c r="I391" s="37"/>
      <c r="J391" s="17"/>
      <c r="K391" s="17"/>
      <c r="L391" s="37"/>
      <c r="M391" s="37"/>
      <c r="N391" s="39"/>
      <c r="O391" s="37"/>
      <c r="P391" s="39"/>
      <c r="Q391" s="37"/>
      <c r="R391" s="39"/>
      <c r="S391" s="17"/>
      <c r="T391" s="17"/>
      <c r="U391" s="37"/>
      <c r="V391" s="37"/>
      <c r="W391" s="17"/>
      <c r="X391" s="37"/>
      <c r="Y391" s="17"/>
      <c r="Z391" s="39"/>
      <c r="AA391" s="39"/>
      <c r="AB391" s="37"/>
      <c r="AC391" s="37"/>
      <c r="AD391" s="38"/>
      <c r="AE391" s="37"/>
      <c r="AF391" s="37"/>
      <c r="AG391" s="37"/>
      <c r="AH391" s="37"/>
      <c r="AI391" s="17"/>
      <c r="AJ391" s="37"/>
      <c r="AK391" s="17"/>
      <c r="AL391" s="39"/>
      <c r="AM391" s="17"/>
      <c r="AN391" s="17"/>
      <c r="AO391" s="37"/>
      <c r="AP391" s="17"/>
      <c r="AQ391" s="37"/>
      <c r="AR391" s="37"/>
      <c r="AS391" s="37"/>
      <c r="AT391" s="17"/>
      <c r="AU391" s="37"/>
      <c r="AV391" s="37"/>
      <c r="AW391" s="38"/>
      <c r="AX391" s="37"/>
      <c r="AY391" s="38"/>
      <c r="AZ391" s="34" t="str">
        <f aca="false">IF($E391="","",COUNTA($E391,$F391,$G391,$J391,$L391,$Q391,$U391,$X391,$AM391,$AN391,$AP391,$AR391)/12)</f>
        <v/>
      </c>
      <c r="BA391" s="32" t="str">
        <f aca="false">IF($E391="","",IF(COUNTIF($E$3:$E$402,$E391)&gt;1,"DUPLICATE",""))</f>
        <v/>
      </c>
      <c r="BB391" s="17"/>
      <c r="BC391" s="35" t="str">
        <f aca="false">IF($E391="","",IFERROR(INDEX(SCORING!$C$6:$C$15,MATCH($J391,SCORING!$B$6:$B$15,0)),0)+IFERROR(INDEX(SCORING!$C$18:$C$20,MATCH($U391,SCORING!$B$18:$B$20,0)),0)+IFERROR(INDEX(SCORING!$C$23:$C$26,MATCH($X391,SCORING!$B$23:$B$26,0)),0)+IFERROR(INDEX(SCORING!$C$29:$C$32,MATCH($Q391,SCORING!$B$29:$B$32,0)),0)+IFERROR(INDEX(SCORING!$C$35:$C$37,MATCH($L391,SCORING!$B$35:$B$37,0)),0)+IF($AP391="",0,IF(AND($AQ391="Valid",$AO391="Decision maker"),SCORING!$C$40,IF($AQ391="Valid",SCORING!$C$41,SCORING!$C$42))))</f>
        <v/>
      </c>
      <c r="BD391" s="36" t="str">
        <f aca="false">IF($BC391="","",IF($BC391&gt;=SCORING!$C$46,"A",IF($BC391&gt;=SCORING!$C$47,"B",IF($BC391&gt;=SCORING!$C$48,"C","D"))))</f>
        <v/>
      </c>
      <c r="BE391" s="37"/>
    </row>
    <row r="392" customFormat="false" ht="15" hidden="false" customHeight="false" outlineLevel="0" collapsed="false">
      <c r="A392" s="37"/>
      <c r="B392" s="38"/>
      <c r="C392" s="37"/>
      <c r="D392" s="37"/>
      <c r="E392" s="17"/>
      <c r="F392" s="17"/>
      <c r="G392" s="37"/>
      <c r="H392" s="32" t="str">
        <f aca="false">IF($G392="","",IFERROR(INDEX(LISTS!$P$3:$P$145,MATCH($G392,LISTS!$O$3:$O$145,0)),"Other"))</f>
        <v/>
      </c>
      <c r="I392" s="37"/>
      <c r="J392" s="17"/>
      <c r="K392" s="17"/>
      <c r="L392" s="37"/>
      <c r="M392" s="37"/>
      <c r="N392" s="39"/>
      <c r="O392" s="37"/>
      <c r="P392" s="39"/>
      <c r="Q392" s="37"/>
      <c r="R392" s="39"/>
      <c r="S392" s="17"/>
      <c r="T392" s="17"/>
      <c r="U392" s="37"/>
      <c r="V392" s="37"/>
      <c r="W392" s="17"/>
      <c r="X392" s="37"/>
      <c r="Y392" s="17"/>
      <c r="Z392" s="39"/>
      <c r="AA392" s="39"/>
      <c r="AB392" s="37"/>
      <c r="AC392" s="37"/>
      <c r="AD392" s="38"/>
      <c r="AE392" s="37"/>
      <c r="AF392" s="37"/>
      <c r="AG392" s="37"/>
      <c r="AH392" s="37"/>
      <c r="AI392" s="17"/>
      <c r="AJ392" s="37"/>
      <c r="AK392" s="17"/>
      <c r="AL392" s="39"/>
      <c r="AM392" s="17"/>
      <c r="AN392" s="17"/>
      <c r="AO392" s="37"/>
      <c r="AP392" s="17"/>
      <c r="AQ392" s="37"/>
      <c r="AR392" s="37"/>
      <c r="AS392" s="37"/>
      <c r="AT392" s="17"/>
      <c r="AU392" s="37"/>
      <c r="AV392" s="37"/>
      <c r="AW392" s="38"/>
      <c r="AX392" s="37"/>
      <c r="AY392" s="38"/>
      <c r="AZ392" s="34" t="str">
        <f aca="false">IF($E392="","",COUNTA($E392,$F392,$G392,$J392,$L392,$Q392,$U392,$X392,$AM392,$AN392,$AP392,$AR392)/12)</f>
        <v/>
      </c>
      <c r="BA392" s="32" t="str">
        <f aca="false">IF($E392="","",IF(COUNTIF($E$3:$E$402,$E392)&gt;1,"DUPLICATE",""))</f>
        <v/>
      </c>
      <c r="BB392" s="17"/>
      <c r="BC392" s="35" t="str">
        <f aca="false">IF($E392="","",IFERROR(INDEX(SCORING!$C$6:$C$15,MATCH($J392,SCORING!$B$6:$B$15,0)),0)+IFERROR(INDEX(SCORING!$C$18:$C$20,MATCH($U392,SCORING!$B$18:$B$20,0)),0)+IFERROR(INDEX(SCORING!$C$23:$C$26,MATCH($X392,SCORING!$B$23:$B$26,0)),0)+IFERROR(INDEX(SCORING!$C$29:$C$32,MATCH($Q392,SCORING!$B$29:$B$32,0)),0)+IFERROR(INDEX(SCORING!$C$35:$C$37,MATCH($L392,SCORING!$B$35:$B$37,0)),0)+IF($AP392="",0,IF(AND($AQ392="Valid",$AO392="Decision maker"),SCORING!$C$40,IF($AQ392="Valid",SCORING!$C$41,SCORING!$C$42))))</f>
        <v/>
      </c>
      <c r="BD392" s="36" t="str">
        <f aca="false">IF($BC392="","",IF($BC392&gt;=SCORING!$C$46,"A",IF($BC392&gt;=SCORING!$C$47,"B",IF($BC392&gt;=SCORING!$C$48,"C","D"))))</f>
        <v/>
      </c>
      <c r="BE392" s="37"/>
    </row>
    <row r="393" customFormat="false" ht="15" hidden="false" customHeight="false" outlineLevel="0" collapsed="false">
      <c r="A393" s="37"/>
      <c r="B393" s="38"/>
      <c r="C393" s="37"/>
      <c r="D393" s="37"/>
      <c r="E393" s="17"/>
      <c r="F393" s="17"/>
      <c r="G393" s="37"/>
      <c r="H393" s="32" t="str">
        <f aca="false">IF($G393="","",IFERROR(INDEX(LISTS!$P$3:$P$145,MATCH($G393,LISTS!$O$3:$O$145,0)),"Other"))</f>
        <v/>
      </c>
      <c r="I393" s="37"/>
      <c r="J393" s="17"/>
      <c r="K393" s="17"/>
      <c r="L393" s="37"/>
      <c r="M393" s="37"/>
      <c r="N393" s="39"/>
      <c r="O393" s="37"/>
      <c r="P393" s="39"/>
      <c r="Q393" s="37"/>
      <c r="R393" s="39"/>
      <c r="S393" s="17"/>
      <c r="T393" s="17"/>
      <c r="U393" s="37"/>
      <c r="V393" s="37"/>
      <c r="W393" s="17"/>
      <c r="X393" s="37"/>
      <c r="Y393" s="17"/>
      <c r="Z393" s="39"/>
      <c r="AA393" s="39"/>
      <c r="AB393" s="37"/>
      <c r="AC393" s="37"/>
      <c r="AD393" s="38"/>
      <c r="AE393" s="37"/>
      <c r="AF393" s="37"/>
      <c r="AG393" s="37"/>
      <c r="AH393" s="37"/>
      <c r="AI393" s="17"/>
      <c r="AJ393" s="37"/>
      <c r="AK393" s="17"/>
      <c r="AL393" s="39"/>
      <c r="AM393" s="17"/>
      <c r="AN393" s="17"/>
      <c r="AO393" s="37"/>
      <c r="AP393" s="17"/>
      <c r="AQ393" s="37"/>
      <c r="AR393" s="37"/>
      <c r="AS393" s="37"/>
      <c r="AT393" s="17"/>
      <c r="AU393" s="37"/>
      <c r="AV393" s="37"/>
      <c r="AW393" s="38"/>
      <c r="AX393" s="37"/>
      <c r="AY393" s="38"/>
      <c r="AZ393" s="34" t="str">
        <f aca="false">IF($E393="","",COUNTA($E393,$F393,$G393,$J393,$L393,$Q393,$U393,$X393,$AM393,$AN393,$AP393,$AR393)/12)</f>
        <v/>
      </c>
      <c r="BA393" s="32" t="str">
        <f aca="false">IF($E393="","",IF(COUNTIF($E$3:$E$402,$E393)&gt;1,"DUPLICATE",""))</f>
        <v/>
      </c>
      <c r="BB393" s="17"/>
      <c r="BC393" s="35" t="str">
        <f aca="false">IF($E393="","",IFERROR(INDEX(SCORING!$C$6:$C$15,MATCH($J393,SCORING!$B$6:$B$15,0)),0)+IFERROR(INDEX(SCORING!$C$18:$C$20,MATCH($U393,SCORING!$B$18:$B$20,0)),0)+IFERROR(INDEX(SCORING!$C$23:$C$26,MATCH($X393,SCORING!$B$23:$B$26,0)),0)+IFERROR(INDEX(SCORING!$C$29:$C$32,MATCH($Q393,SCORING!$B$29:$B$32,0)),0)+IFERROR(INDEX(SCORING!$C$35:$C$37,MATCH($L393,SCORING!$B$35:$B$37,0)),0)+IF($AP393="",0,IF(AND($AQ393="Valid",$AO393="Decision maker"),SCORING!$C$40,IF($AQ393="Valid",SCORING!$C$41,SCORING!$C$42))))</f>
        <v/>
      </c>
      <c r="BD393" s="36" t="str">
        <f aca="false">IF($BC393="","",IF($BC393&gt;=SCORING!$C$46,"A",IF($BC393&gt;=SCORING!$C$47,"B",IF($BC393&gt;=SCORING!$C$48,"C","D"))))</f>
        <v/>
      </c>
      <c r="BE393" s="37"/>
    </row>
    <row r="394" customFormat="false" ht="15" hidden="false" customHeight="false" outlineLevel="0" collapsed="false">
      <c r="A394" s="37"/>
      <c r="B394" s="38"/>
      <c r="C394" s="37"/>
      <c r="D394" s="37"/>
      <c r="E394" s="17"/>
      <c r="F394" s="17"/>
      <c r="G394" s="37"/>
      <c r="H394" s="32" t="str">
        <f aca="false">IF($G394="","",IFERROR(INDEX(LISTS!$P$3:$P$145,MATCH($G394,LISTS!$O$3:$O$145,0)),"Other"))</f>
        <v/>
      </c>
      <c r="I394" s="37"/>
      <c r="J394" s="17"/>
      <c r="K394" s="17"/>
      <c r="L394" s="37"/>
      <c r="M394" s="37"/>
      <c r="N394" s="39"/>
      <c r="O394" s="37"/>
      <c r="P394" s="39"/>
      <c r="Q394" s="37"/>
      <c r="R394" s="39"/>
      <c r="S394" s="17"/>
      <c r="T394" s="17"/>
      <c r="U394" s="37"/>
      <c r="V394" s="37"/>
      <c r="W394" s="17"/>
      <c r="X394" s="37"/>
      <c r="Y394" s="17"/>
      <c r="Z394" s="39"/>
      <c r="AA394" s="39"/>
      <c r="AB394" s="37"/>
      <c r="AC394" s="37"/>
      <c r="AD394" s="38"/>
      <c r="AE394" s="37"/>
      <c r="AF394" s="37"/>
      <c r="AG394" s="37"/>
      <c r="AH394" s="37"/>
      <c r="AI394" s="17"/>
      <c r="AJ394" s="37"/>
      <c r="AK394" s="17"/>
      <c r="AL394" s="39"/>
      <c r="AM394" s="17"/>
      <c r="AN394" s="17"/>
      <c r="AO394" s="37"/>
      <c r="AP394" s="17"/>
      <c r="AQ394" s="37"/>
      <c r="AR394" s="37"/>
      <c r="AS394" s="37"/>
      <c r="AT394" s="17"/>
      <c r="AU394" s="37"/>
      <c r="AV394" s="37"/>
      <c r="AW394" s="38"/>
      <c r="AX394" s="37"/>
      <c r="AY394" s="38"/>
      <c r="AZ394" s="34" t="str">
        <f aca="false">IF($E394="","",COUNTA($E394,$F394,$G394,$J394,$L394,$Q394,$U394,$X394,$AM394,$AN394,$AP394,$AR394)/12)</f>
        <v/>
      </c>
      <c r="BA394" s="32" t="str">
        <f aca="false">IF($E394="","",IF(COUNTIF($E$3:$E$402,$E394)&gt;1,"DUPLICATE",""))</f>
        <v/>
      </c>
      <c r="BB394" s="17"/>
      <c r="BC394" s="35" t="str">
        <f aca="false">IF($E394="","",IFERROR(INDEX(SCORING!$C$6:$C$15,MATCH($J394,SCORING!$B$6:$B$15,0)),0)+IFERROR(INDEX(SCORING!$C$18:$C$20,MATCH($U394,SCORING!$B$18:$B$20,0)),0)+IFERROR(INDEX(SCORING!$C$23:$C$26,MATCH($X394,SCORING!$B$23:$B$26,0)),0)+IFERROR(INDEX(SCORING!$C$29:$C$32,MATCH($Q394,SCORING!$B$29:$B$32,0)),0)+IFERROR(INDEX(SCORING!$C$35:$C$37,MATCH($L394,SCORING!$B$35:$B$37,0)),0)+IF($AP394="",0,IF(AND($AQ394="Valid",$AO394="Decision maker"),SCORING!$C$40,IF($AQ394="Valid",SCORING!$C$41,SCORING!$C$42))))</f>
        <v/>
      </c>
      <c r="BD394" s="36" t="str">
        <f aca="false">IF($BC394="","",IF($BC394&gt;=SCORING!$C$46,"A",IF($BC394&gt;=SCORING!$C$47,"B",IF($BC394&gt;=SCORING!$C$48,"C","D"))))</f>
        <v/>
      </c>
      <c r="BE394" s="37"/>
    </row>
    <row r="395" customFormat="false" ht="15" hidden="false" customHeight="false" outlineLevel="0" collapsed="false">
      <c r="A395" s="37"/>
      <c r="B395" s="38"/>
      <c r="C395" s="37"/>
      <c r="D395" s="37"/>
      <c r="E395" s="17"/>
      <c r="F395" s="17"/>
      <c r="G395" s="37"/>
      <c r="H395" s="32" t="str">
        <f aca="false">IF($G395="","",IFERROR(INDEX(LISTS!$P$3:$P$145,MATCH($G395,LISTS!$O$3:$O$145,0)),"Other"))</f>
        <v/>
      </c>
      <c r="I395" s="37"/>
      <c r="J395" s="17"/>
      <c r="K395" s="17"/>
      <c r="L395" s="37"/>
      <c r="M395" s="37"/>
      <c r="N395" s="39"/>
      <c r="O395" s="37"/>
      <c r="P395" s="39"/>
      <c r="Q395" s="37"/>
      <c r="R395" s="39"/>
      <c r="S395" s="17"/>
      <c r="T395" s="17"/>
      <c r="U395" s="37"/>
      <c r="V395" s="37"/>
      <c r="W395" s="17"/>
      <c r="X395" s="37"/>
      <c r="Y395" s="17"/>
      <c r="Z395" s="39"/>
      <c r="AA395" s="39"/>
      <c r="AB395" s="37"/>
      <c r="AC395" s="37"/>
      <c r="AD395" s="38"/>
      <c r="AE395" s="37"/>
      <c r="AF395" s="37"/>
      <c r="AG395" s="37"/>
      <c r="AH395" s="37"/>
      <c r="AI395" s="17"/>
      <c r="AJ395" s="37"/>
      <c r="AK395" s="17"/>
      <c r="AL395" s="39"/>
      <c r="AM395" s="17"/>
      <c r="AN395" s="17"/>
      <c r="AO395" s="37"/>
      <c r="AP395" s="17"/>
      <c r="AQ395" s="37"/>
      <c r="AR395" s="37"/>
      <c r="AS395" s="37"/>
      <c r="AT395" s="17"/>
      <c r="AU395" s="37"/>
      <c r="AV395" s="37"/>
      <c r="AW395" s="38"/>
      <c r="AX395" s="37"/>
      <c r="AY395" s="38"/>
      <c r="AZ395" s="34" t="str">
        <f aca="false">IF($E395="","",COUNTA($E395,$F395,$G395,$J395,$L395,$Q395,$U395,$X395,$AM395,$AN395,$AP395,$AR395)/12)</f>
        <v/>
      </c>
      <c r="BA395" s="32" t="str">
        <f aca="false">IF($E395="","",IF(COUNTIF($E$3:$E$402,$E395)&gt;1,"DUPLICATE",""))</f>
        <v/>
      </c>
      <c r="BB395" s="17"/>
      <c r="BC395" s="35" t="str">
        <f aca="false">IF($E395="","",IFERROR(INDEX(SCORING!$C$6:$C$15,MATCH($J395,SCORING!$B$6:$B$15,0)),0)+IFERROR(INDEX(SCORING!$C$18:$C$20,MATCH($U395,SCORING!$B$18:$B$20,0)),0)+IFERROR(INDEX(SCORING!$C$23:$C$26,MATCH($X395,SCORING!$B$23:$B$26,0)),0)+IFERROR(INDEX(SCORING!$C$29:$C$32,MATCH($Q395,SCORING!$B$29:$B$32,0)),0)+IFERROR(INDEX(SCORING!$C$35:$C$37,MATCH($L395,SCORING!$B$35:$B$37,0)),0)+IF($AP395="",0,IF(AND($AQ395="Valid",$AO395="Decision maker"),SCORING!$C$40,IF($AQ395="Valid",SCORING!$C$41,SCORING!$C$42))))</f>
        <v/>
      </c>
      <c r="BD395" s="36" t="str">
        <f aca="false">IF($BC395="","",IF($BC395&gt;=SCORING!$C$46,"A",IF($BC395&gt;=SCORING!$C$47,"B",IF($BC395&gt;=SCORING!$C$48,"C","D"))))</f>
        <v/>
      </c>
      <c r="BE395" s="37"/>
    </row>
    <row r="396" customFormat="false" ht="15" hidden="false" customHeight="false" outlineLevel="0" collapsed="false">
      <c r="A396" s="37"/>
      <c r="B396" s="38"/>
      <c r="C396" s="37"/>
      <c r="D396" s="37"/>
      <c r="E396" s="17"/>
      <c r="F396" s="17"/>
      <c r="G396" s="37"/>
      <c r="H396" s="32" t="str">
        <f aca="false">IF($G396="","",IFERROR(INDEX(LISTS!$P$3:$P$145,MATCH($G396,LISTS!$O$3:$O$145,0)),"Other"))</f>
        <v/>
      </c>
      <c r="I396" s="37"/>
      <c r="J396" s="17"/>
      <c r="K396" s="17"/>
      <c r="L396" s="37"/>
      <c r="M396" s="37"/>
      <c r="N396" s="39"/>
      <c r="O396" s="37"/>
      <c r="P396" s="39"/>
      <c r="Q396" s="37"/>
      <c r="R396" s="39"/>
      <c r="S396" s="17"/>
      <c r="T396" s="17"/>
      <c r="U396" s="37"/>
      <c r="V396" s="37"/>
      <c r="W396" s="17"/>
      <c r="X396" s="37"/>
      <c r="Y396" s="17"/>
      <c r="Z396" s="39"/>
      <c r="AA396" s="39"/>
      <c r="AB396" s="37"/>
      <c r="AC396" s="37"/>
      <c r="AD396" s="38"/>
      <c r="AE396" s="37"/>
      <c r="AF396" s="37"/>
      <c r="AG396" s="37"/>
      <c r="AH396" s="37"/>
      <c r="AI396" s="17"/>
      <c r="AJ396" s="37"/>
      <c r="AK396" s="17"/>
      <c r="AL396" s="39"/>
      <c r="AM396" s="17"/>
      <c r="AN396" s="17"/>
      <c r="AO396" s="37"/>
      <c r="AP396" s="17"/>
      <c r="AQ396" s="37"/>
      <c r="AR396" s="37"/>
      <c r="AS396" s="37"/>
      <c r="AT396" s="17"/>
      <c r="AU396" s="37"/>
      <c r="AV396" s="37"/>
      <c r="AW396" s="38"/>
      <c r="AX396" s="37"/>
      <c r="AY396" s="38"/>
      <c r="AZ396" s="34" t="str">
        <f aca="false">IF($E396="","",COUNTA($E396,$F396,$G396,$J396,$L396,$Q396,$U396,$X396,$AM396,$AN396,$AP396,$AR396)/12)</f>
        <v/>
      </c>
      <c r="BA396" s="32" t="str">
        <f aca="false">IF($E396="","",IF(COUNTIF($E$3:$E$402,$E396)&gt;1,"DUPLICATE",""))</f>
        <v/>
      </c>
      <c r="BB396" s="17"/>
      <c r="BC396" s="35" t="str">
        <f aca="false">IF($E396="","",IFERROR(INDEX(SCORING!$C$6:$C$15,MATCH($J396,SCORING!$B$6:$B$15,0)),0)+IFERROR(INDEX(SCORING!$C$18:$C$20,MATCH($U396,SCORING!$B$18:$B$20,0)),0)+IFERROR(INDEX(SCORING!$C$23:$C$26,MATCH($X396,SCORING!$B$23:$B$26,0)),0)+IFERROR(INDEX(SCORING!$C$29:$C$32,MATCH($Q396,SCORING!$B$29:$B$32,0)),0)+IFERROR(INDEX(SCORING!$C$35:$C$37,MATCH($L396,SCORING!$B$35:$B$37,0)),0)+IF($AP396="",0,IF(AND($AQ396="Valid",$AO396="Decision maker"),SCORING!$C$40,IF($AQ396="Valid",SCORING!$C$41,SCORING!$C$42))))</f>
        <v/>
      </c>
      <c r="BD396" s="36" t="str">
        <f aca="false">IF($BC396="","",IF($BC396&gt;=SCORING!$C$46,"A",IF($BC396&gt;=SCORING!$C$47,"B",IF($BC396&gt;=SCORING!$C$48,"C","D"))))</f>
        <v/>
      </c>
      <c r="BE396" s="37"/>
    </row>
    <row r="397" customFormat="false" ht="15" hidden="false" customHeight="false" outlineLevel="0" collapsed="false">
      <c r="A397" s="37"/>
      <c r="B397" s="38"/>
      <c r="C397" s="37"/>
      <c r="D397" s="37"/>
      <c r="E397" s="17"/>
      <c r="F397" s="17"/>
      <c r="G397" s="37"/>
      <c r="H397" s="32" t="str">
        <f aca="false">IF($G397="","",IFERROR(INDEX(LISTS!$P$3:$P$145,MATCH($G397,LISTS!$O$3:$O$145,0)),"Other"))</f>
        <v/>
      </c>
      <c r="I397" s="37"/>
      <c r="J397" s="17"/>
      <c r="K397" s="17"/>
      <c r="L397" s="37"/>
      <c r="M397" s="37"/>
      <c r="N397" s="39"/>
      <c r="O397" s="37"/>
      <c r="P397" s="39"/>
      <c r="Q397" s="37"/>
      <c r="R397" s="39"/>
      <c r="S397" s="17"/>
      <c r="T397" s="17"/>
      <c r="U397" s="37"/>
      <c r="V397" s="37"/>
      <c r="W397" s="17"/>
      <c r="X397" s="37"/>
      <c r="Y397" s="17"/>
      <c r="Z397" s="39"/>
      <c r="AA397" s="39"/>
      <c r="AB397" s="37"/>
      <c r="AC397" s="37"/>
      <c r="AD397" s="38"/>
      <c r="AE397" s="37"/>
      <c r="AF397" s="37"/>
      <c r="AG397" s="37"/>
      <c r="AH397" s="37"/>
      <c r="AI397" s="17"/>
      <c r="AJ397" s="37"/>
      <c r="AK397" s="17"/>
      <c r="AL397" s="39"/>
      <c r="AM397" s="17"/>
      <c r="AN397" s="17"/>
      <c r="AO397" s="37"/>
      <c r="AP397" s="17"/>
      <c r="AQ397" s="37"/>
      <c r="AR397" s="37"/>
      <c r="AS397" s="37"/>
      <c r="AT397" s="17"/>
      <c r="AU397" s="37"/>
      <c r="AV397" s="37"/>
      <c r="AW397" s="38"/>
      <c r="AX397" s="37"/>
      <c r="AY397" s="38"/>
      <c r="AZ397" s="34" t="str">
        <f aca="false">IF($E397="","",COUNTA($E397,$F397,$G397,$J397,$L397,$Q397,$U397,$X397,$AM397,$AN397,$AP397,$AR397)/12)</f>
        <v/>
      </c>
      <c r="BA397" s="32" t="str">
        <f aca="false">IF($E397="","",IF(COUNTIF($E$3:$E$402,$E397)&gt;1,"DUPLICATE",""))</f>
        <v/>
      </c>
      <c r="BB397" s="17"/>
      <c r="BC397" s="35" t="str">
        <f aca="false">IF($E397="","",IFERROR(INDEX(SCORING!$C$6:$C$15,MATCH($J397,SCORING!$B$6:$B$15,0)),0)+IFERROR(INDEX(SCORING!$C$18:$C$20,MATCH($U397,SCORING!$B$18:$B$20,0)),0)+IFERROR(INDEX(SCORING!$C$23:$C$26,MATCH($X397,SCORING!$B$23:$B$26,0)),0)+IFERROR(INDEX(SCORING!$C$29:$C$32,MATCH($Q397,SCORING!$B$29:$B$32,0)),0)+IFERROR(INDEX(SCORING!$C$35:$C$37,MATCH($L397,SCORING!$B$35:$B$37,0)),0)+IF($AP397="",0,IF(AND($AQ397="Valid",$AO397="Decision maker"),SCORING!$C$40,IF($AQ397="Valid",SCORING!$C$41,SCORING!$C$42))))</f>
        <v/>
      </c>
      <c r="BD397" s="36" t="str">
        <f aca="false">IF($BC397="","",IF($BC397&gt;=SCORING!$C$46,"A",IF($BC397&gt;=SCORING!$C$47,"B",IF($BC397&gt;=SCORING!$C$48,"C","D"))))</f>
        <v/>
      </c>
      <c r="BE397" s="37"/>
    </row>
    <row r="398" customFormat="false" ht="15" hidden="false" customHeight="false" outlineLevel="0" collapsed="false">
      <c r="A398" s="37"/>
      <c r="B398" s="38"/>
      <c r="C398" s="37"/>
      <c r="D398" s="37"/>
      <c r="E398" s="17"/>
      <c r="F398" s="17"/>
      <c r="G398" s="37"/>
      <c r="H398" s="32" t="str">
        <f aca="false">IF($G398="","",IFERROR(INDEX(LISTS!$P$3:$P$145,MATCH($G398,LISTS!$O$3:$O$145,0)),"Other"))</f>
        <v/>
      </c>
      <c r="I398" s="37"/>
      <c r="J398" s="17"/>
      <c r="K398" s="17"/>
      <c r="L398" s="37"/>
      <c r="M398" s="37"/>
      <c r="N398" s="39"/>
      <c r="O398" s="37"/>
      <c r="P398" s="39"/>
      <c r="Q398" s="37"/>
      <c r="R398" s="39"/>
      <c r="S398" s="17"/>
      <c r="T398" s="17"/>
      <c r="U398" s="37"/>
      <c r="V398" s="37"/>
      <c r="W398" s="17"/>
      <c r="X398" s="37"/>
      <c r="Y398" s="17"/>
      <c r="Z398" s="39"/>
      <c r="AA398" s="39"/>
      <c r="AB398" s="37"/>
      <c r="AC398" s="37"/>
      <c r="AD398" s="38"/>
      <c r="AE398" s="37"/>
      <c r="AF398" s="37"/>
      <c r="AG398" s="37"/>
      <c r="AH398" s="37"/>
      <c r="AI398" s="17"/>
      <c r="AJ398" s="37"/>
      <c r="AK398" s="17"/>
      <c r="AL398" s="39"/>
      <c r="AM398" s="17"/>
      <c r="AN398" s="17"/>
      <c r="AO398" s="37"/>
      <c r="AP398" s="17"/>
      <c r="AQ398" s="37"/>
      <c r="AR398" s="37"/>
      <c r="AS398" s="37"/>
      <c r="AT398" s="17"/>
      <c r="AU398" s="37"/>
      <c r="AV398" s="37"/>
      <c r="AW398" s="38"/>
      <c r="AX398" s="37"/>
      <c r="AY398" s="38"/>
      <c r="AZ398" s="34" t="str">
        <f aca="false">IF($E398="","",COUNTA($E398,$F398,$G398,$J398,$L398,$Q398,$U398,$X398,$AM398,$AN398,$AP398,$AR398)/12)</f>
        <v/>
      </c>
      <c r="BA398" s="32" t="str">
        <f aca="false">IF($E398="","",IF(COUNTIF($E$3:$E$402,$E398)&gt;1,"DUPLICATE",""))</f>
        <v/>
      </c>
      <c r="BB398" s="17"/>
      <c r="BC398" s="35" t="str">
        <f aca="false">IF($E398="","",IFERROR(INDEX(SCORING!$C$6:$C$15,MATCH($J398,SCORING!$B$6:$B$15,0)),0)+IFERROR(INDEX(SCORING!$C$18:$C$20,MATCH($U398,SCORING!$B$18:$B$20,0)),0)+IFERROR(INDEX(SCORING!$C$23:$C$26,MATCH($X398,SCORING!$B$23:$B$26,0)),0)+IFERROR(INDEX(SCORING!$C$29:$C$32,MATCH($Q398,SCORING!$B$29:$B$32,0)),0)+IFERROR(INDEX(SCORING!$C$35:$C$37,MATCH($L398,SCORING!$B$35:$B$37,0)),0)+IF($AP398="",0,IF(AND($AQ398="Valid",$AO398="Decision maker"),SCORING!$C$40,IF($AQ398="Valid",SCORING!$C$41,SCORING!$C$42))))</f>
        <v/>
      </c>
      <c r="BD398" s="36" t="str">
        <f aca="false">IF($BC398="","",IF($BC398&gt;=SCORING!$C$46,"A",IF($BC398&gt;=SCORING!$C$47,"B",IF($BC398&gt;=SCORING!$C$48,"C","D"))))</f>
        <v/>
      </c>
      <c r="BE398" s="37"/>
    </row>
    <row r="399" customFormat="false" ht="15" hidden="false" customHeight="false" outlineLevel="0" collapsed="false">
      <c r="A399" s="37"/>
      <c r="B399" s="38"/>
      <c r="C399" s="37"/>
      <c r="D399" s="37"/>
      <c r="E399" s="17"/>
      <c r="F399" s="17"/>
      <c r="G399" s="37"/>
      <c r="H399" s="32" t="str">
        <f aca="false">IF($G399="","",IFERROR(INDEX(LISTS!$P$3:$P$145,MATCH($G399,LISTS!$O$3:$O$145,0)),"Other"))</f>
        <v/>
      </c>
      <c r="I399" s="37"/>
      <c r="J399" s="17"/>
      <c r="K399" s="17"/>
      <c r="L399" s="37"/>
      <c r="M399" s="37"/>
      <c r="N399" s="39"/>
      <c r="O399" s="37"/>
      <c r="P399" s="39"/>
      <c r="Q399" s="37"/>
      <c r="R399" s="39"/>
      <c r="S399" s="17"/>
      <c r="T399" s="17"/>
      <c r="U399" s="37"/>
      <c r="V399" s="37"/>
      <c r="W399" s="17"/>
      <c r="X399" s="37"/>
      <c r="Y399" s="17"/>
      <c r="Z399" s="39"/>
      <c r="AA399" s="39"/>
      <c r="AB399" s="37"/>
      <c r="AC399" s="37"/>
      <c r="AD399" s="38"/>
      <c r="AE399" s="37"/>
      <c r="AF399" s="37"/>
      <c r="AG399" s="37"/>
      <c r="AH399" s="37"/>
      <c r="AI399" s="17"/>
      <c r="AJ399" s="37"/>
      <c r="AK399" s="17"/>
      <c r="AL399" s="39"/>
      <c r="AM399" s="17"/>
      <c r="AN399" s="17"/>
      <c r="AO399" s="37"/>
      <c r="AP399" s="17"/>
      <c r="AQ399" s="37"/>
      <c r="AR399" s="37"/>
      <c r="AS399" s="37"/>
      <c r="AT399" s="17"/>
      <c r="AU399" s="37"/>
      <c r="AV399" s="37"/>
      <c r="AW399" s="38"/>
      <c r="AX399" s="37"/>
      <c r="AY399" s="38"/>
      <c r="AZ399" s="34" t="str">
        <f aca="false">IF($E399="","",COUNTA($E399,$F399,$G399,$J399,$L399,$Q399,$U399,$X399,$AM399,$AN399,$AP399,$AR399)/12)</f>
        <v/>
      </c>
      <c r="BA399" s="32" t="str">
        <f aca="false">IF($E399="","",IF(COUNTIF($E$3:$E$402,$E399)&gt;1,"DUPLICATE",""))</f>
        <v/>
      </c>
      <c r="BB399" s="17"/>
      <c r="BC399" s="35" t="str">
        <f aca="false">IF($E399="","",IFERROR(INDEX(SCORING!$C$6:$C$15,MATCH($J399,SCORING!$B$6:$B$15,0)),0)+IFERROR(INDEX(SCORING!$C$18:$C$20,MATCH($U399,SCORING!$B$18:$B$20,0)),0)+IFERROR(INDEX(SCORING!$C$23:$C$26,MATCH($X399,SCORING!$B$23:$B$26,0)),0)+IFERROR(INDEX(SCORING!$C$29:$C$32,MATCH($Q399,SCORING!$B$29:$B$32,0)),0)+IFERROR(INDEX(SCORING!$C$35:$C$37,MATCH($L399,SCORING!$B$35:$B$37,0)),0)+IF($AP399="",0,IF(AND($AQ399="Valid",$AO399="Decision maker"),SCORING!$C$40,IF($AQ399="Valid",SCORING!$C$41,SCORING!$C$42))))</f>
        <v/>
      </c>
      <c r="BD399" s="36" t="str">
        <f aca="false">IF($BC399="","",IF($BC399&gt;=SCORING!$C$46,"A",IF($BC399&gt;=SCORING!$C$47,"B",IF($BC399&gt;=SCORING!$C$48,"C","D"))))</f>
        <v/>
      </c>
      <c r="BE399" s="37"/>
    </row>
    <row r="400" customFormat="false" ht="15" hidden="false" customHeight="false" outlineLevel="0" collapsed="false">
      <c r="A400" s="37"/>
      <c r="B400" s="38"/>
      <c r="C400" s="37"/>
      <c r="D400" s="37"/>
      <c r="E400" s="17"/>
      <c r="F400" s="17"/>
      <c r="G400" s="37"/>
      <c r="H400" s="32" t="str">
        <f aca="false">IF($G400="","",IFERROR(INDEX(LISTS!$P$3:$P$145,MATCH($G400,LISTS!$O$3:$O$145,0)),"Other"))</f>
        <v/>
      </c>
      <c r="I400" s="37"/>
      <c r="J400" s="17"/>
      <c r="K400" s="17"/>
      <c r="L400" s="37"/>
      <c r="M400" s="37"/>
      <c r="N400" s="39"/>
      <c r="O400" s="37"/>
      <c r="P400" s="39"/>
      <c r="Q400" s="37"/>
      <c r="R400" s="39"/>
      <c r="S400" s="17"/>
      <c r="T400" s="17"/>
      <c r="U400" s="37"/>
      <c r="V400" s="37"/>
      <c r="W400" s="17"/>
      <c r="X400" s="37"/>
      <c r="Y400" s="17"/>
      <c r="Z400" s="39"/>
      <c r="AA400" s="39"/>
      <c r="AB400" s="37"/>
      <c r="AC400" s="37"/>
      <c r="AD400" s="38"/>
      <c r="AE400" s="37"/>
      <c r="AF400" s="37"/>
      <c r="AG400" s="37"/>
      <c r="AH400" s="37"/>
      <c r="AI400" s="17"/>
      <c r="AJ400" s="37"/>
      <c r="AK400" s="17"/>
      <c r="AL400" s="39"/>
      <c r="AM400" s="17"/>
      <c r="AN400" s="17"/>
      <c r="AO400" s="37"/>
      <c r="AP400" s="17"/>
      <c r="AQ400" s="37"/>
      <c r="AR400" s="37"/>
      <c r="AS400" s="37"/>
      <c r="AT400" s="17"/>
      <c r="AU400" s="37"/>
      <c r="AV400" s="37"/>
      <c r="AW400" s="38"/>
      <c r="AX400" s="37"/>
      <c r="AY400" s="38"/>
      <c r="AZ400" s="34" t="str">
        <f aca="false">IF($E400="","",COUNTA($E400,$F400,$G400,$J400,$L400,$Q400,$U400,$X400,$AM400,$AN400,$AP400,$AR400)/12)</f>
        <v/>
      </c>
      <c r="BA400" s="32" t="str">
        <f aca="false">IF($E400="","",IF(COUNTIF($E$3:$E$402,$E400)&gt;1,"DUPLICATE",""))</f>
        <v/>
      </c>
      <c r="BB400" s="17"/>
      <c r="BC400" s="35" t="str">
        <f aca="false">IF($E400="","",IFERROR(INDEX(SCORING!$C$6:$C$15,MATCH($J400,SCORING!$B$6:$B$15,0)),0)+IFERROR(INDEX(SCORING!$C$18:$C$20,MATCH($U400,SCORING!$B$18:$B$20,0)),0)+IFERROR(INDEX(SCORING!$C$23:$C$26,MATCH($X400,SCORING!$B$23:$B$26,0)),0)+IFERROR(INDEX(SCORING!$C$29:$C$32,MATCH($Q400,SCORING!$B$29:$B$32,0)),0)+IFERROR(INDEX(SCORING!$C$35:$C$37,MATCH($L400,SCORING!$B$35:$B$37,0)),0)+IF($AP400="",0,IF(AND($AQ400="Valid",$AO400="Decision maker"),SCORING!$C$40,IF($AQ400="Valid",SCORING!$C$41,SCORING!$C$42))))</f>
        <v/>
      </c>
      <c r="BD400" s="36" t="str">
        <f aca="false">IF($BC400="","",IF($BC400&gt;=SCORING!$C$46,"A",IF($BC400&gt;=SCORING!$C$47,"B",IF($BC400&gt;=SCORING!$C$48,"C","D"))))</f>
        <v/>
      </c>
      <c r="BE400" s="37"/>
    </row>
    <row r="401" customFormat="false" ht="15" hidden="false" customHeight="false" outlineLevel="0" collapsed="false">
      <c r="A401" s="37"/>
      <c r="B401" s="38"/>
      <c r="C401" s="37"/>
      <c r="D401" s="37"/>
      <c r="E401" s="17"/>
      <c r="F401" s="17"/>
      <c r="G401" s="37"/>
      <c r="H401" s="32" t="str">
        <f aca="false">IF($G401="","",IFERROR(INDEX(LISTS!$P$3:$P$145,MATCH($G401,LISTS!$O$3:$O$145,0)),"Other"))</f>
        <v/>
      </c>
      <c r="I401" s="37"/>
      <c r="J401" s="17"/>
      <c r="K401" s="17"/>
      <c r="L401" s="37"/>
      <c r="M401" s="37"/>
      <c r="N401" s="39"/>
      <c r="O401" s="37"/>
      <c r="P401" s="39"/>
      <c r="Q401" s="37"/>
      <c r="R401" s="39"/>
      <c r="S401" s="17"/>
      <c r="T401" s="17"/>
      <c r="U401" s="37"/>
      <c r="V401" s="37"/>
      <c r="W401" s="17"/>
      <c r="X401" s="37"/>
      <c r="Y401" s="17"/>
      <c r="Z401" s="39"/>
      <c r="AA401" s="39"/>
      <c r="AB401" s="37"/>
      <c r="AC401" s="37"/>
      <c r="AD401" s="38"/>
      <c r="AE401" s="37"/>
      <c r="AF401" s="37"/>
      <c r="AG401" s="37"/>
      <c r="AH401" s="37"/>
      <c r="AI401" s="17"/>
      <c r="AJ401" s="37"/>
      <c r="AK401" s="17"/>
      <c r="AL401" s="39"/>
      <c r="AM401" s="17"/>
      <c r="AN401" s="17"/>
      <c r="AO401" s="37"/>
      <c r="AP401" s="17"/>
      <c r="AQ401" s="37"/>
      <c r="AR401" s="37"/>
      <c r="AS401" s="37"/>
      <c r="AT401" s="17"/>
      <c r="AU401" s="37"/>
      <c r="AV401" s="37"/>
      <c r="AW401" s="38"/>
      <c r="AX401" s="37"/>
      <c r="AY401" s="38"/>
      <c r="AZ401" s="34" t="str">
        <f aca="false">IF($E401="","",COUNTA($E401,$F401,$G401,$J401,$L401,$Q401,$U401,$X401,$AM401,$AN401,$AP401,$AR401)/12)</f>
        <v/>
      </c>
      <c r="BA401" s="32" t="str">
        <f aca="false">IF($E401="","",IF(COUNTIF($E$3:$E$402,$E401)&gt;1,"DUPLICATE",""))</f>
        <v/>
      </c>
      <c r="BB401" s="17"/>
      <c r="BC401" s="35" t="str">
        <f aca="false">IF($E401="","",IFERROR(INDEX(SCORING!$C$6:$C$15,MATCH($J401,SCORING!$B$6:$B$15,0)),0)+IFERROR(INDEX(SCORING!$C$18:$C$20,MATCH($U401,SCORING!$B$18:$B$20,0)),0)+IFERROR(INDEX(SCORING!$C$23:$C$26,MATCH($X401,SCORING!$B$23:$B$26,0)),0)+IFERROR(INDEX(SCORING!$C$29:$C$32,MATCH($Q401,SCORING!$B$29:$B$32,0)),0)+IFERROR(INDEX(SCORING!$C$35:$C$37,MATCH($L401,SCORING!$B$35:$B$37,0)),0)+IF($AP401="",0,IF(AND($AQ401="Valid",$AO401="Decision maker"),SCORING!$C$40,IF($AQ401="Valid",SCORING!$C$41,SCORING!$C$42))))</f>
        <v/>
      </c>
      <c r="BD401" s="36" t="str">
        <f aca="false">IF($BC401="","",IF($BC401&gt;=SCORING!$C$46,"A",IF($BC401&gt;=SCORING!$C$47,"B",IF($BC401&gt;=SCORING!$C$48,"C","D"))))</f>
        <v/>
      </c>
      <c r="BE401" s="37"/>
    </row>
    <row r="402" customFormat="false" ht="15" hidden="false" customHeight="false" outlineLevel="0" collapsed="false">
      <c r="A402" s="37"/>
      <c r="B402" s="38"/>
      <c r="C402" s="37"/>
      <c r="D402" s="37"/>
      <c r="E402" s="17"/>
      <c r="F402" s="17"/>
      <c r="G402" s="37"/>
      <c r="H402" s="32" t="str">
        <f aca="false">IF($G402="","",IFERROR(INDEX(LISTS!$P$3:$P$145,MATCH($G402,LISTS!$O$3:$O$145,0)),"Other"))</f>
        <v/>
      </c>
      <c r="I402" s="37"/>
      <c r="J402" s="17"/>
      <c r="K402" s="17"/>
      <c r="L402" s="37"/>
      <c r="M402" s="37"/>
      <c r="N402" s="39"/>
      <c r="O402" s="37"/>
      <c r="P402" s="39"/>
      <c r="Q402" s="37"/>
      <c r="R402" s="39"/>
      <c r="S402" s="17"/>
      <c r="T402" s="17"/>
      <c r="U402" s="37"/>
      <c r="V402" s="37"/>
      <c r="W402" s="17"/>
      <c r="X402" s="37"/>
      <c r="Y402" s="17"/>
      <c r="Z402" s="39"/>
      <c r="AA402" s="39"/>
      <c r="AB402" s="37"/>
      <c r="AC402" s="37"/>
      <c r="AD402" s="38"/>
      <c r="AE402" s="37"/>
      <c r="AF402" s="37"/>
      <c r="AG402" s="37"/>
      <c r="AH402" s="37"/>
      <c r="AI402" s="17"/>
      <c r="AJ402" s="37"/>
      <c r="AK402" s="17"/>
      <c r="AL402" s="39"/>
      <c r="AM402" s="17"/>
      <c r="AN402" s="17"/>
      <c r="AO402" s="37"/>
      <c r="AP402" s="17"/>
      <c r="AQ402" s="37"/>
      <c r="AR402" s="37"/>
      <c r="AS402" s="37"/>
      <c r="AT402" s="17"/>
      <c r="AU402" s="37"/>
      <c r="AV402" s="37"/>
      <c r="AW402" s="38"/>
      <c r="AX402" s="37"/>
      <c r="AY402" s="38"/>
      <c r="AZ402" s="34" t="str">
        <f aca="false">IF($E402="","",COUNTA($E402,$F402,$G402,$J402,$L402,$Q402,$U402,$X402,$AM402,$AN402,$AP402,$AR402)/12)</f>
        <v/>
      </c>
      <c r="BA402" s="32" t="str">
        <f aca="false">IF($E402="","",IF(COUNTIF($E$3:$E$402,$E402)&gt;1,"DUPLICATE",""))</f>
        <v/>
      </c>
      <c r="BB402" s="17"/>
      <c r="BC402" s="35" t="str">
        <f aca="false">IF($E402="","",IFERROR(INDEX(SCORING!$C$6:$C$15,MATCH($J402,SCORING!$B$6:$B$15,0)),0)+IFERROR(INDEX(SCORING!$C$18:$C$20,MATCH($U402,SCORING!$B$18:$B$20,0)),0)+IFERROR(INDEX(SCORING!$C$23:$C$26,MATCH($X402,SCORING!$B$23:$B$26,0)),0)+IFERROR(INDEX(SCORING!$C$29:$C$32,MATCH($Q402,SCORING!$B$29:$B$32,0)),0)+IFERROR(INDEX(SCORING!$C$35:$C$37,MATCH($L402,SCORING!$B$35:$B$37,0)),0)+IF($AP402="",0,IF(AND($AQ402="Valid",$AO402="Decision maker"),SCORING!$C$40,IF($AQ402="Valid",SCORING!$C$41,SCORING!$C$42))))</f>
        <v/>
      </c>
      <c r="BD402" s="36" t="str">
        <f aca="false">IF($BC402="","",IF($BC402&gt;=SCORING!$C$46,"A",IF($BC402&gt;=SCORING!$C$47,"B",IF($BC402&gt;=SCORING!$C$48,"C","D"))))</f>
        <v/>
      </c>
      <c r="BE402" s="37"/>
    </row>
  </sheetData>
  <autoFilter ref="A2:BE402"/>
  <mergeCells count="7">
    <mergeCell ref="A1:D1"/>
    <mergeCell ref="E1:T1"/>
    <mergeCell ref="U1:AF1"/>
    <mergeCell ref="AG1:AL1"/>
    <mergeCell ref="AM1:AU1"/>
    <mergeCell ref="AV1:BB1"/>
    <mergeCell ref="BC1:BE1"/>
  </mergeCells>
  <conditionalFormatting sqref="BD3:BD402">
    <cfRule type="expression" priority="2" aboveAverage="0" equalAverage="0" bottom="0" percent="0" rank="0" text="" dxfId="11">
      <formula>$BD3="A"</formula>
    </cfRule>
    <cfRule type="expression" priority="3" aboveAverage="0" equalAverage="0" bottom="0" percent="0" rank="0" text="" dxfId="12">
      <formula>$BD3="B"</formula>
    </cfRule>
    <cfRule type="expression" priority="4" aboveAverage="0" equalAverage="0" bottom="0" percent="0" rank="0" text="" dxfId="13">
      <formula>$BD3="C"</formula>
    </cfRule>
    <cfRule type="expression" priority="5" aboveAverage="0" equalAverage="0" bottom="0" percent="0" rank="0" text="" dxfId="14">
      <formula>$BD3="D"</formula>
    </cfRule>
  </conditionalFormatting>
  <conditionalFormatting sqref="BA3:BA402">
    <cfRule type="expression" priority="6" aboveAverage="0" equalAverage="0" bottom="0" percent="0" rank="0" text="" dxfId="14">
      <formula>$BA3="DUPLICATE"</formula>
    </cfRule>
  </conditionalFormatting>
  <conditionalFormatting sqref="AZ3:AZ402">
    <cfRule type="expression" priority="7" aboveAverage="0" equalAverage="0" bottom="0" percent="0" rank="0" text="" dxfId="15">
      <formula>AND($AZ3&lt;&gt;"",$AZ3&lt;0.7)</formula>
    </cfRule>
  </conditionalFormatting>
  <dataValidations count="20">
    <dataValidation allowBlank="true" errorStyle="stop" operator="between" showDropDown="false" showErrorMessage="false" showInputMessage="false" sqref="D3:D402" type="list">
      <formula1>LISTS!$B$3:$B$10</formula1>
      <formula2>0</formula2>
    </dataValidation>
    <dataValidation allowBlank="true" errorStyle="stop" operator="between" showDropDown="false" showErrorMessage="false" showInputMessage="false" sqref="J3:J402" type="list">
      <formula1>LISTS!$C$3:$C$12</formula1>
      <formula2>0</formula2>
    </dataValidation>
    <dataValidation allowBlank="true" errorStyle="stop" operator="between" showDropDown="false" showErrorMessage="false" showInputMessage="false" sqref="K3:K402" type="list">
      <formula1>LISTS!$D$3:$D$14</formula1>
      <formula2>0</formula2>
    </dataValidation>
    <dataValidation allowBlank="true" errorStyle="stop" operator="between" showDropDown="false" showErrorMessage="false" showInputMessage="false" sqref="L3:L402" type="list">
      <formula1>LISTS!$E$3:$E$5</formula1>
      <formula2>0</formula2>
    </dataValidation>
    <dataValidation allowBlank="true" errorStyle="stop" operator="between" showDropDown="false" showErrorMessage="false" showInputMessage="false" sqref="M3:M402" type="list">
      <formula1>LISTS!$F$3:$F$6</formula1>
      <formula2>0</formula2>
    </dataValidation>
    <dataValidation allowBlank="true" errorStyle="stop" operator="between" showDropDown="false" showErrorMessage="false" showInputMessage="false" sqref="O3:O402" type="list">
      <formula1>LISTS!$G$3:$G$9</formula1>
      <formula2>0</formula2>
    </dataValidation>
    <dataValidation allowBlank="true" errorStyle="stop" operator="between" showDropDown="false" showErrorMessage="false" showInputMessage="false" sqref="Q3:Q402" type="list">
      <formula1>LISTS!$H$3:$H$6</formula1>
      <formula2>0</formula2>
    </dataValidation>
    <dataValidation allowBlank="true" errorStyle="stop" operator="between" showDropDown="false" showErrorMessage="false" showInputMessage="false" sqref="U3:U402" type="list">
      <formula1>LISTS!$I$3:$I$5</formula1>
      <formula2>0</formula2>
    </dataValidation>
    <dataValidation allowBlank="true" errorStyle="stop" operator="between" showDropDown="false" showErrorMessage="false" showInputMessage="false" sqref="X3:X402" type="list">
      <formula1>LISTS!$J$3:$J$6</formula1>
      <formula2>0</formula2>
    </dataValidation>
    <dataValidation allowBlank="true" errorStyle="stop" operator="between" showDropDown="false" showErrorMessage="false" showInputMessage="false" sqref="AC3:AC402" type="list">
      <formula1>LISTS!$K$3:$K$9</formula1>
      <formula2>0</formula2>
    </dataValidation>
    <dataValidation allowBlank="true" errorStyle="stop" operator="between" showDropDown="false" showErrorMessage="false" showInputMessage="false" sqref="AE3:AE402" type="list">
      <formula1>LISTS!$L$3:$L$6</formula1>
      <formula2>0</formula2>
    </dataValidation>
    <dataValidation allowBlank="true" errorStyle="stop" operator="between" showDropDown="false" showErrorMessage="false" showInputMessage="false" sqref="AF3:AF402" type="list">
      <formula1>LISTS!$M$3:$M$10</formula1>
      <formula2>0</formula2>
    </dataValidation>
    <dataValidation allowBlank="true" errorStyle="stop" operator="between" showDropDown="false" showErrorMessage="false" showInputMessage="false" sqref="AB3:AB402" type="list">
      <formula1>LISTS!$N$3:$N$8</formula1>
      <formula2>0</formula2>
    </dataValidation>
    <dataValidation allowBlank="true" errorStyle="stop" operator="between" showDropDown="false" showErrorMessage="false" showInputMessage="false" sqref="AH3:AH402" type="list">
      <formula1>LISTS!$Q$3:$Q$8</formula1>
      <formula2>0</formula2>
    </dataValidation>
    <dataValidation allowBlank="true" errorStyle="stop" operator="between" showDropDown="false" showErrorMessage="false" showInputMessage="false" sqref="AO3:AO402" type="list">
      <formula1>LISTS!$R$3:$R$7</formula1>
      <formula2>0</formula2>
    </dataValidation>
    <dataValidation allowBlank="true" errorStyle="stop" operator="between" showDropDown="false" showErrorMessage="false" showInputMessage="false" sqref="AQ3:AQ402" type="list">
      <formula1>LISTS!$S$3:$S$7</formula1>
      <formula2>0</formula2>
    </dataValidation>
    <dataValidation allowBlank="true" errorStyle="stop" operator="between" showDropDown="false" showErrorMessage="false" showInputMessage="false" sqref="AU3:AU402" type="list">
      <formula1>LISTS!$T$3:$T$12</formula1>
      <formula2>0</formula2>
    </dataValidation>
    <dataValidation allowBlank="true" errorStyle="stop" operator="between" showDropDown="false" showErrorMessage="false" showInputMessage="false" sqref="AV3:AV402" type="list">
      <formula1>LISTS!$T$3:$T$12</formula1>
      <formula2>0</formula2>
    </dataValidation>
    <dataValidation allowBlank="true" errorStyle="stop" operator="between" showDropDown="false" showErrorMessage="false" showInputMessage="false" sqref="BE3:BE402" type="list">
      <formula1>LISTS!$W$3:$W$9</formula1>
      <formula2>0</formula2>
    </dataValidation>
    <dataValidation allowBlank="true" errorStyle="stop" operator="between" showDropDown="false" showErrorMessage="false" showInputMessage="false" sqref="G3:G402" type="list">
      <formula1>LISTS!$O$3:$O$145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R6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5"/>
    <col collapsed="false" customWidth="true" hidden="false" outlineLevel="0" max="3" min="3" style="0" width="28"/>
    <col collapsed="false" customWidth="true" hidden="false" outlineLevel="0" max="5" min="4" style="0" width="22"/>
    <col collapsed="false" customWidth="true" hidden="false" outlineLevel="0" max="6" min="6" style="0" width="18"/>
    <col collapsed="false" customWidth="true" hidden="false" outlineLevel="0" max="7" min="7" style="0" width="14"/>
    <col collapsed="false" customWidth="true" hidden="false" outlineLevel="0" max="8" min="8" style="0" width="26"/>
    <col collapsed="false" customWidth="true" hidden="false" outlineLevel="0" max="9" min="9" style="0" width="14"/>
    <col collapsed="false" customWidth="true" hidden="false" outlineLevel="0" max="10" min="10" style="0" width="18"/>
    <col collapsed="false" customWidth="true" hidden="false" outlineLevel="0" max="11" min="11" style="0" width="16"/>
    <col collapsed="false" customWidth="true" hidden="false" outlineLevel="0" max="12" min="12" style="0" width="26"/>
    <col collapsed="false" customWidth="true" hidden="false" outlineLevel="0" max="13" min="13" style="0" width="13"/>
    <col collapsed="false" customWidth="true" hidden="false" outlineLevel="0" max="14" min="14" style="0" width="15"/>
    <col collapsed="false" customWidth="true" hidden="false" outlineLevel="0" max="15" min="15" style="0" width="18"/>
    <col collapsed="false" customWidth="true" hidden="false" outlineLevel="0" max="16" min="16" style="0" width="12"/>
    <col collapsed="false" customWidth="true" hidden="false" outlineLevel="0" max="17" min="17" style="0" width="11"/>
    <col collapsed="false" customWidth="true" hidden="false" outlineLevel="0" max="18" min="18" style="0" width="30"/>
  </cols>
  <sheetData>
    <row r="1" customFormat="false" ht="16.15" hidden="false" customHeight="false" outlineLevel="0" collapsed="false">
      <c r="A1" s="12" t="s">
        <v>490</v>
      </c>
    </row>
    <row r="2" customFormat="false" ht="27.75" hidden="false" customHeight="true" outlineLevel="0" collapsed="false">
      <c r="A2" s="13" t="s">
        <v>491</v>
      </c>
      <c r="B2" s="13"/>
      <c r="C2" s="13"/>
      <c r="D2" s="13"/>
      <c r="E2" s="13"/>
      <c r="F2" s="13"/>
      <c r="G2" s="13"/>
      <c r="H2" s="13"/>
      <c r="I2" s="13"/>
      <c r="J2" s="13"/>
      <c r="K2" s="13"/>
      <c r="L2" s="13"/>
      <c r="M2" s="13"/>
      <c r="N2" s="13"/>
      <c r="O2" s="13"/>
      <c r="P2" s="13"/>
      <c r="Q2" s="13"/>
      <c r="R2" s="13"/>
    </row>
    <row r="4" customFormat="false" ht="30" hidden="false" customHeight="true" outlineLevel="0" collapsed="false">
      <c r="A4" s="40" t="s">
        <v>492</v>
      </c>
      <c r="B4" s="40" t="s">
        <v>387</v>
      </c>
      <c r="C4" s="40" t="s">
        <v>493</v>
      </c>
      <c r="D4" s="40" t="s">
        <v>494</v>
      </c>
      <c r="E4" s="40" t="s">
        <v>495</v>
      </c>
      <c r="F4" s="40" t="s">
        <v>496</v>
      </c>
      <c r="G4" s="40" t="s">
        <v>427</v>
      </c>
      <c r="H4" s="40" t="s">
        <v>497</v>
      </c>
      <c r="I4" s="40" t="s">
        <v>429</v>
      </c>
      <c r="J4" s="40" t="s">
        <v>498</v>
      </c>
      <c r="K4" s="40" t="s">
        <v>431</v>
      </c>
      <c r="L4" s="40" t="s">
        <v>432</v>
      </c>
      <c r="M4" s="40" t="s">
        <v>422</v>
      </c>
      <c r="N4" s="40" t="s">
        <v>499</v>
      </c>
      <c r="O4" s="40" t="s">
        <v>500</v>
      </c>
      <c r="P4" s="40" t="s">
        <v>435</v>
      </c>
      <c r="Q4" s="40" t="s">
        <v>501</v>
      </c>
      <c r="R4" s="40" t="s">
        <v>440</v>
      </c>
    </row>
    <row r="5" customFormat="false" ht="22.35" hidden="false" customHeight="false" outlineLevel="0" collapsed="false">
      <c r="A5" s="29" t="s">
        <v>502</v>
      </c>
      <c r="B5" s="29" t="s">
        <v>444</v>
      </c>
      <c r="C5" s="41" t="str">
        <f aca="false">IF($B5="","",IFERROR(INDEX('LEAD MASTER'!$E$3:$E$402,MATCH($B5,'LEAD MASTER'!$A$3:$A$402,0)),"Lead ID not found"))</f>
        <v>Kenmart Distributors Ltd</v>
      </c>
      <c r="D5" s="31" t="s">
        <v>503</v>
      </c>
      <c r="E5" s="31" t="s">
        <v>504</v>
      </c>
      <c r="F5" s="29" t="s">
        <v>179</v>
      </c>
      <c r="G5" s="29" t="s">
        <v>100</v>
      </c>
      <c r="H5" s="31" t="s">
        <v>505</v>
      </c>
      <c r="I5" s="29" t="s">
        <v>101</v>
      </c>
      <c r="J5" s="29" t="s">
        <v>506</v>
      </c>
      <c r="K5" s="29"/>
      <c r="L5" s="31"/>
      <c r="M5" s="29" t="s">
        <v>457</v>
      </c>
      <c r="N5" s="29" t="s">
        <v>507</v>
      </c>
      <c r="O5" s="29" t="s">
        <v>140</v>
      </c>
      <c r="P5" s="30" t="n">
        <v>46248</v>
      </c>
      <c r="Q5" s="29" t="s">
        <v>92</v>
      </c>
      <c r="R5" s="31" t="s">
        <v>508</v>
      </c>
    </row>
    <row r="6" customFormat="false" ht="15" hidden="false" customHeight="false" outlineLevel="0" collapsed="false">
      <c r="A6" s="29" t="s">
        <v>509</v>
      </c>
      <c r="B6" s="29" t="s">
        <v>466</v>
      </c>
      <c r="C6" s="41" t="str">
        <f aca="false">IF($B6="","",IFERROR(INDEX('LEAD MASTER'!$E$3:$E$402,MATCH($B6,'LEAD MASTER'!$A$3:$A$402,0)),"Lead ID not found"))</f>
        <v>Gulf Home Trading LLC</v>
      </c>
      <c r="D6" s="31" t="s">
        <v>510</v>
      </c>
      <c r="E6" s="31" t="s">
        <v>511</v>
      </c>
      <c r="F6" s="29" t="s">
        <v>141</v>
      </c>
      <c r="G6" s="29" t="s">
        <v>119</v>
      </c>
      <c r="H6" s="31" t="s">
        <v>512</v>
      </c>
      <c r="I6" s="29" t="s">
        <v>101</v>
      </c>
      <c r="J6" s="29" t="s">
        <v>513</v>
      </c>
      <c r="K6" s="29"/>
      <c r="L6" s="31"/>
      <c r="M6" s="29" t="s">
        <v>475</v>
      </c>
      <c r="N6" s="29" t="s">
        <v>514</v>
      </c>
      <c r="O6" s="29" t="s">
        <v>121</v>
      </c>
      <c r="P6" s="30" t="n">
        <v>46251</v>
      </c>
      <c r="Q6" s="29" t="s">
        <v>112</v>
      </c>
      <c r="R6" s="31" t="s">
        <v>515</v>
      </c>
    </row>
    <row r="7" customFormat="false" ht="15" hidden="false" customHeight="false" outlineLevel="0" collapsed="false">
      <c r="A7" s="37"/>
      <c r="B7" s="37"/>
      <c r="C7" s="41" t="str">
        <f aca="false">IF($B7="","",IFERROR(INDEX('LEAD MASTER'!$E$3:$E$402,MATCH($B7,'LEAD MASTER'!$A$3:$A$402,0)),"Lead ID not found"))</f>
        <v/>
      </c>
      <c r="D7" s="17"/>
      <c r="E7" s="17"/>
      <c r="F7" s="37"/>
      <c r="G7" s="37"/>
      <c r="H7" s="17"/>
      <c r="I7" s="37"/>
      <c r="J7" s="37"/>
      <c r="K7" s="37"/>
      <c r="L7" s="17"/>
      <c r="M7" s="37"/>
      <c r="N7" s="37"/>
      <c r="O7" s="37"/>
      <c r="P7" s="38"/>
      <c r="Q7" s="37"/>
      <c r="R7" s="17"/>
    </row>
    <row r="8" customFormat="false" ht="15" hidden="false" customHeight="false" outlineLevel="0" collapsed="false">
      <c r="A8" s="37"/>
      <c r="B8" s="37"/>
      <c r="C8" s="41" t="str">
        <f aca="false">IF($B8="","",IFERROR(INDEX('LEAD MASTER'!$E$3:$E$402,MATCH($B8,'LEAD MASTER'!$A$3:$A$402,0)),"Lead ID not found"))</f>
        <v/>
      </c>
      <c r="D8" s="17"/>
      <c r="E8" s="17"/>
      <c r="F8" s="37"/>
      <c r="G8" s="37"/>
      <c r="H8" s="17"/>
      <c r="I8" s="37"/>
      <c r="J8" s="37"/>
      <c r="K8" s="37"/>
      <c r="L8" s="17"/>
      <c r="M8" s="37"/>
      <c r="N8" s="37"/>
      <c r="O8" s="37"/>
      <c r="P8" s="38"/>
      <c r="Q8" s="37"/>
      <c r="R8" s="17"/>
    </row>
    <row r="9" customFormat="false" ht="15" hidden="false" customHeight="false" outlineLevel="0" collapsed="false">
      <c r="A9" s="37"/>
      <c r="B9" s="37"/>
      <c r="C9" s="41" t="str">
        <f aca="false">IF($B9="","",IFERROR(INDEX('LEAD MASTER'!$E$3:$E$402,MATCH($B9,'LEAD MASTER'!$A$3:$A$402,0)),"Lead ID not found"))</f>
        <v/>
      </c>
      <c r="D9" s="17"/>
      <c r="E9" s="17"/>
      <c r="F9" s="37"/>
      <c r="G9" s="37"/>
      <c r="H9" s="17"/>
      <c r="I9" s="37"/>
      <c r="J9" s="37"/>
      <c r="K9" s="37"/>
      <c r="L9" s="17"/>
      <c r="M9" s="37"/>
      <c r="N9" s="37"/>
      <c r="O9" s="37"/>
      <c r="P9" s="38"/>
      <c r="Q9" s="37"/>
      <c r="R9" s="17"/>
    </row>
    <row r="10" customFormat="false" ht="15" hidden="false" customHeight="false" outlineLevel="0" collapsed="false">
      <c r="A10" s="37"/>
      <c r="B10" s="37"/>
      <c r="C10" s="41" t="str">
        <f aca="false">IF($B10="","",IFERROR(INDEX('LEAD MASTER'!$E$3:$E$402,MATCH($B10,'LEAD MASTER'!$A$3:$A$402,0)),"Lead ID not found"))</f>
        <v/>
      </c>
      <c r="D10" s="17"/>
      <c r="E10" s="17"/>
      <c r="F10" s="37"/>
      <c r="G10" s="37"/>
      <c r="H10" s="17"/>
      <c r="I10" s="37"/>
      <c r="J10" s="37"/>
      <c r="K10" s="37"/>
      <c r="L10" s="17"/>
      <c r="M10" s="37"/>
      <c r="N10" s="37"/>
      <c r="O10" s="37"/>
      <c r="P10" s="38"/>
      <c r="Q10" s="37"/>
      <c r="R10" s="17"/>
    </row>
    <row r="11" customFormat="false" ht="15" hidden="false" customHeight="false" outlineLevel="0" collapsed="false">
      <c r="A11" s="37"/>
      <c r="B11" s="37"/>
      <c r="C11" s="41" t="str">
        <f aca="false">IF($B11="","",IFERROR(INDEX('LEAD MASTER'!$E$3:$E$402,MATCH($B11,'LEAD MASTER'!$A$3:$A$402,0)),"Lead ID not found"))</f>
        <v/>
      </c>
      <c r="D11" s="17"/>
      <c r="E11" s="17"/>
      <c r="F11" s="37"/>
      <c r="G11" s="37"/>
      <c r="H11" s="17"/>
      <c r="I11" s="37"/>
      <c r="J11" s="37"/>
      <c r="K11" s="37"/>
      <c r="L11" s="17"/>
      <c r="M11" s="37"/>
      <c r="N11" s="37"/>
      <c r="O11" s="37"/>
      <c r="P11" s="38"/>
      <c r="Q11" s="37"/>
      <c r="R11" s="17"/>
    </row>
    <row r="12" customFormat="false" ht="15" hidden="false" customHeight="false" outlineLevel="0" collapsed="false">
      <c r="A12" s="37"/>
      <c r="B12" s="37"/>
      <c r="C12" s="41" t="str">
        <f aca="false">IF($B12="","",IFERROR(INDEX('LEAD MASTER'!$E$3:$E$402,MATCH($B12,'LEAD MASTER'!$A$3:$A$402,0)),"Lead ID not found"))</f>
        <v/>
      </c>
      <c r="D12" s="17"/>
      <c r="E12" s="17"/>
      <c r="F12" s="37"/>
      <c r="G12" s="37"/>
      <c r="H12" s="17"/>
      <c r="I12" s="37"/>
      <c r="J12" s="37"/>
      <c r="K12" s="37"/>
      <c r="L12" s="17"/>
      <c r="M12" s="37"/>
      <c r="N12" s="37"/>
      <c r="O12" s="37"/>
      <c r="P12" s="38"/>
      <c r="Q12" s="37"/>
      <c r="R12" s="17"/>
    </row>
    <row r="13" customFormat="false" ht="15" hidden="false" customHeight="false" outlineLevel="0" collapsed="false">
      <c r="A13" s="37"/>
      <c r="B13" s="37"/>
      <c r="C13" s="41" t="str">
        <f aca="false">IF($B13="","",IFERROR(INDEX('LEAD MASTER'!$E$3:$E$402,MATCH($B13,'LEAD MASTER'!$A$3:$A$402,0)),"Lead ID not found"))</f>
        <v/>
      </c>
      <c r="D13" s="17"/>
      <c r="E13" s="17"/>
      <c r="F13" s="37"/>
      <c r="G13" s="37"/>
      <c r="H13" s="17"/>
      <c r="I13" s="37"/>
      <c r="J13" s="37"/>
      <c r="K13" s="37"/>
      <c r="L13" s="17"/>
      <c r="M13" s="37"/>
      <c r="N13" s="37"/>
      <c r="O13" s="37"/>
      <c r="P13" s="38"/>
      <c r="Q13" s="37"/>
      <c r="R13" s="17"/>
    </row>
    <row r="14" customFormat="false" ht="15" hidden="false" customHeight="false" outlineLevel="0" collapsed="false">
      <c r="A14" s="37"/>
      <c r="B14" s="37"/>
      <c r="C14" s="41" t="str">
        <f aca="false">IF($B14="","",IFERROR(INDEX('LEAD MASTER'!$E$3:$E$402,MATCH($B14,'LEAD MASTER'!$A$3:$A$402,0)),"Lead ID not found"))</f>
        <v/>
      </c>
      <c r="D14" s="17"/>
      <c r="E14" s="17"/>
      <c r="F14" s="37"/>
      <c r="G14" s="37"/>
      <c r="H14" s="17"/>
      <c r="I14" s="37"/>
      <c r="J14" s="37"/>
      <c r="K14" s="37"/>
      <c r="L14" s="17"/>
      <c r="M14" s="37"/>
      <c r="N14" s="37"/>
      <c r="O14" s="37"/>
      <c r="P14" s="38"/>
      <c r="Q14" s="37"/>
      <c r="R14" s="17"/>
    </row>
    <row r="15" customFormat="false" ht="15" hidden="false" customHeight="false" outlineLevel="0" collapsed="false">
      <c r="A15" s="37"/>
      <c r="B15" s="37"/>
      <c r="C15" s="41" t="str">
        <f aca="false">IF($B15="","",IFERROR(INDEX('LEAD MASTER'!$E$3:$E$402,MATCH($B15,'LEAD MASTER'!$A$3:$A$402,0)),"Lead ID not found"))</f>
        <v/>
      </c>
      <c r="D15" s="17"/>
      <c r="E15" s="17"/>
      <c r="F15" s="37"/>
      <c r="G15" s="37"/>
      <c r="H15" s="17"/>
      <c r="I15" s="37"/>
      <c r="J15" s="37"/>
      <c r="K15" s="37"/>
      <c r="L15" s="17"/>
      <c r="M15" s="37"/>
      <c r="N15" s="37"/>
      <c r="O15" s="37"/>
      <c r="P15" s="38"/>
      <c r="Q15" s="37"/>
      <c r="R15" s="17"/>
    </row>
    <row r="16" customFormat="false" ht="15" hidden="false" customHeight="false" outlineLevel="0" collapsed="false">
      <c r="A16" s="37"/>
      <c r="B16" s="37"/>
      <c r="C16" s="41" t="str">
        <f aca="false">IF($B16="","",IFERROR(INDEX('LEAD MASTER'!$E$3:$E$402,MATCH($B16,'LEAD MASTER'!$A$3:$A$402,0)),"Lead ID not found"))</f>
        <v/>
      </c>
      <c r="D16" s="17"/>
      <c r="E16" s="17"/>
      <c r="F16" s="37"/>
      <c r="G16" s="37"/>
      <c r="H16" s="17"/>
      <c r="I16" s="37"/>
      <c r="J16" s="37"/>
      <c r="K16" s="37"/>
      <c r="L16" s="17"/>
      <c r="M16" s="37"/>
      <c r="N16" s="37"/>
      <c r="O16" s="37"/>
      <c r="P16" s="38"/>
      <c r="Q16" s="37"/>
      <c r="R16" s="17"/>
    </row>
    <row r="17" customFormat="false" ht="15" hidden="false" customHeight="false" outlineLevel="0" collapsed="false">
      <c r="A17" s="37"/>
      <c r="B17" s="37"/>
      <c r="C17" s="41" t="str">
        <f aca="false">IF($B17="","",IFERROR(INDEX('LEAD MASTER'!$E$3:$E$402,MATCH($B17,'LEAD MASTER'!$A$3:$A$402,0)),"Lead ID not found"))</f>
        <v/>
      </c>
      <c r="D17" s="17"/>
      <c r="E17" s="17"/>
      <c r="F17" s="37"/>
      <c r="G17" s="37"/>
      <c r="H17" s="17"/>
      <c r="I17" s="37"/>
      <c r="J17" s="37"/>
      <c r="K17" s="37"/>
      <c r="L17" s="17"/>
      <c r="M17" s="37"/>
      <c r="N17" s="37"/>
      <c r="O17" s="37"/>
      <c r="P17" s="38"/>
      <c r="Q17" s="37"/>
      <c r="R17" s="17"/>
    </row>
    <row r="18" customFormat="false" ht="15" hidden="false" customHeight="false" outlineLevel="0" collapsed="false">
      <c r="A18" s="37"/>
      <c r="B18" s="37"/>
      <c r="C18" s="41" t="str">
        <f aca="false">IF($B18="","",IFERROR(INDEX('LEAD MASTER'!$E$3:$E$402,MATCH($B18,'LEAD MASTER'!$A$3:$A$402,0)),"Lead ID not found"))</f>
        <v/>
      </c>
      <c r="D18" s="17"/>
      <c r="E18" s="17"/>
      <c r="F18" s="37"/>
      <c r="G18" s="37"/>
      <c r="H18" s="17"/>
      <c r="I18" s="37"/>
      <c r="J18" s="37"/>
      <c r="K18" s="37"/>
      <c r="L18" s="17"/>
      <c r="M18" s="37"/>
      <c r="N18" s="37"/>
      <c r="O18" s="37"/>
      <c r="P18" s="38"/>
      <c r="Q18" s="37"/>
      <c r="R18" s="17"/>
    </row>
    <row r="19" customFormat="false" ht="15" hidden="false" customHeight="false" outlineLevel="0" collapsed="false">
      <c r="A19" s="37"/>
      <c r="B19" s="37"/>
      <c r="C19" s="41" t="str">
        <f aca="false">IF($B19="","",IFERROR(INDEX('LEAD MASTER'!$E$3:$E$402,MATCH($B19,'LEAD MASTER'!$A$3:$A$402,0)),"Lead ID not found"))</f>
        <v/>
      </c>
      <c r="D19" s="17"/>
      <c r="E19" s="17"/>
      <c r="F19" s="37"/>
      <c r="G19" s="37"/>
      <c r="H19" s="17"/>
      <c r="I19" s="37"/>
      <c r="J19" s="37"/>
      <c r="K19" s="37"/>
      <c r="L19" s="17"/>
      <c r="M19" s="37"/>
      <c r="N19" s="37"/>
      <c r="O19" s="37"/>
      <c r="P19" s="38"/>
      <c r="Q19" s="37"/>
      <c r="R19" s="17"/>
    </row>
    <row r="20" customFormat="false" ht="15" hidden="false" customHeight="false" outlineLevel="0" collapsed="false">
      <c r="A20" s="37"/>
      <c r="B20" s="37"/>
      <c r="C20" s="41" t="str">
        <f aca="false">IF($B20="","",IFERROR(INDEX('LEAD MASTER'!$E$3:$E$402,MATCH($B20,'LEAD MASTER'!$A$3:$A$402,0)),"Lead ID not found"))</f>
        <v/>
      </c>
      <c r="D20" s="17"/>
      <c r="E20" s="17"/>
      <c r="F20" s="37"/>
      <c r="G20" s="37"/>
      <c r="H20" s="17"/>
      <c r="I20" s="37"/>
      <c r="J20" s="37"/>
      <c r="K20" s="37"/>
      <c r="L20" s="17"/>
      <c r="M20" s="37"/>
      <c r="N20" s="37"/>
      <c r="O20" s="37"/>
      <c r="P20" s="38"/>
      <c r="Q20" s="37"/>
      <c r="R20" s="17"/>
    </row>
    <row r="21" customFormat="false" ht="15" hidden="false" customHeight="false" outlineLevel="0" collapsed="false">
      <c r="A21" s="37"/>
      <c r="B21" s="37"/>
      <c r="C21" s="41" t="str">
        <f aca="false">IF($B21="","",IFERROR(INDEX('LEAD MASTER'!$E$3:$E$402,MATCH($B21,'LEAD MASTER'!$A$3:$A$402,0)),"Lead ID not found"))</f>
        <v/>
      </c>
      <c r="D21" s="17"/>
      <c r="E21" s="17"/>
      <c r="F21" s="37"/>
      <c r="G21" s="37"/>
      <c r="H21" s="17"/>
      <c r="I21" s="37"/>
      <c r="J21" s="37"/>
      <c r="K21" s="37"/>
      <c r="L21" s="17"/>
      <c r="M21" s="37"/>
      <c r="N21" s="37"/>
      <c r="O21" s="37"/>
      <c r="P21" s="38"/>
      <c r="Q21" s="37"/>
      <c r="R21" s="17"/>
    </row>
    <row r="22" customFormat="false" ht="15" hidden="false" customHeight="false" outlineLevel="0" collapsed="false">
      <c r="A22" s="37"/>
      <c r="B22" s="37"/>
      <c r="C22" s="41" t="str">
        <f aca="false">IF($B22="","",IFERROR(INDEX('LEAD MASTER'!$E$3:$E$402,MATCH($B22,'LEAD MASTER'!$A$3:$A$402,0)),"Lead ID not found"))</f>
        <v/>
      </c>
      <c r="D22" s="17"/>
      <c r="E22" s="17"/>
      <c r="F22" s="37"/>
      <c r="G22" s="37"/>
      <c r="H22" s="17"/>
      <c r="I22" s="37"/>
      <c r="J22" s="37"/>
      <c r="K22" s="37"/>
      <c r="L22" s="17"/>
      <c r="M22" s="37"/>
      <c r="N22" s="37"/>
      <c r="O22" s="37"/>
      <c r="P22" s="38"/>
      <c r="Q22" s="37"/>
      <c r="R22" s="17"/>
    </row>
    <row r="23" customFormat="false" ht="15" hidden="false" customHeight="false" outlineLevel="0" collapsed="false">
      <c r="A23" s="37"/>
      <c r="B23" s="37"/>
      <c r="C23" s="41" t="str">
        <f aca="false">IF($B23="","",IFERROR(INDEX('LEAD MASTER'!$E$3:$E$402,MATCH($B23,'LEAD MASTER'!$A$3:$A$402,0)),"Lead ID not found"))</f>
        <v/>
      </c>
      <c r="D23" s="17"/>
      <c r="E23" s="17"/>
      <c r="F23" s="37"/>
      <c r="G23" s="37"/>
      <c r="H23" s="17"/>
      <c r="I23" s="37"/>
      <c r="J23" s="37"/>
      <c r="K23" s="37"/>
      <c r="L23" s="17"/>
      <c r="M23" s="37"/>
      <c r="N23" s="37"/>
      <c r="O23" s="37"/>
      <c r="P23" s="38"/>
      <c r="Q23" s="37"/>
      <c r="R23" s="17"/>
    </row>
    <row r="24" customFormat="false" ht="15" hidden="false" customHeight="false" outlineLevel="0" collapsed="false">
      <c r="A24" s="37"/>
      <c r="B24" s="37"/>
      <c r="C24" s="41" t="str">
        <f aca="false">IF($B24="","",IFERROR(INDEX('LEAD MASTER'!$E$3:$E$402,MATCH($B24,'LEAD MASTER'!$A$3:$A$402,0)),"Lead ID not found"))</f>
        <v/>
      </c>
      <c r="D24" s="17"/>
      <c r="E24" s="17"/>
      <c r="F24" s="37"/>
      <c r="G24" s="37"/>
      <c r="H24" s="17"/>
      <c r="I24" s="37"/>
      <c r="J24" s="37"/>
      <c r="K24" s="37"/>
      <c r="L24" s="17"/>
      <c r="M24" s="37"/>
      <c r="N24" s="37"/>
      <c r="O24" s="37"/>
      <c r="P24" s="38"/>
      <c r="Q24" s="37"/>
      <c r="R24" s="17"/>
    </row>
    <row r="25" customFormat="false" ht="15" hidden="false" customHeight="false" outlineLevel="0" collapsed="false">
      <c r="A25" s="37"/>
      <c r="B25" s="37"/>
      <c r="C25" s="41" t="str">
        <f aca="false">IF($B25="","",IFERROR(INDEX('LEAD MASTER'!$E$3:$E$402,MATCH($B25,'LEAD MASTER'!$A$3:$A$402,0)),"Lead ID not found"))</f>
        <v/>
      </c>
      <c r="D25" s="17"/>
      <c r="E25" s="17"/>
      <c r="F25" s="37"/>
      <c r="G25" s="37"/>
      <c r="H25" s="17"/>
      <c r="I25" s="37"/>
      <c r="J25" s="37"/>
      <c r="K25" s="37"/>
      <c r="L25" s="17"/>
      <c r="M25" s="37"/>
      <c r="N25" s="37"/>
      <c r="O25" s="37"/>
      <c r="P25" s="38"/>
      <c r="Q25" s="37"/>
      <c r="R25" s="17"/>
    </row>
    <row r="26" customFormat="false" ht="15" hidden="false" customHeight="false" outlineLevel="0" collapsed="false">
      <c r="A26" s="37"/>
      <c r="B26" s="37"/>
      <c r="C26" s="41" t="str">
        <f aca="false">IF($B26="","",IFERROR(INDEX('LEAD MASTER'!$E$3:$E$402,MATCH($B26,'LEAD MASTER'!$A$3:$A$402,0)),"Lead ID not found"))</f>
        <v/>
      </c>
      <c r="D26" s="17"/>
      <c r="E26" s="17"/>
      <c r="F26" s="37"/>
      <c r="G26" s="37"/>
      <c r="H26" s="17"/>
      <c r="I26" s="37"/>
      <c r="J26" s="37"/>
      <c r="K26" s="37"/>
      <c r="L26" s="17"/>
      <c r="M26" s="37"/>
      <c r="N26" s="37"/>
      <c r="O26" s="37"/>
      <c r="P26" s="38"/>
      <c r="Q26" s="37"/>
      <c r="R26" s="17"/>
    </row>
    <row r="27" customFormat="false" ht="15" hidden="false" customHeight="false" outlineLevel="0" collapsed="false">
      <c r="A27" s="37"/>
      <c r="B27" s="37"/>
      <c r="C27" s="41" t="str">
        <f aca="false">IF($B27="","",IFERROR(INDEX('LEAD MASTER'!$E$3:$E$402,MATCH($B27,'LEAD MASTER'!$A$3:$A$402,0)),"Lead ID not found"))</f>
        <v/>
      </c>
      <c r="D27" s="17"/>
      <c r="E27" s="17"/>
      <c r="F27" s="37"/>
      <c r="G27" s="37"/>
      <c r="H27" s="17"/>
      <c r="I27" s="37"/>
      <c r="J27" s="37"/>
      <c r="K27" s="37"/>
      <c r="L27" s="17"/>
      <c r="M27" s="37"/>
      <c r="N27" s="37"/>
      <c r="O27" s="37"/>
      <c r="P27" s="38"/>
      <c r="Q27" s="37"/>
      <c r="R27" s="17"/>
    </row>
    <row r="28" customFormat="false" ht="15" hidden="false" customHeight="false" outlineLevel="0" collapsed="false">
      <c r="A28" s="37"/>
      <c r="B28" s="37"/>
      <c r="C28" s="41" t="str">
        <f aca="false">IF($B28="","",IFERROR(INDEX('LEAD MASTER'!$E$3:$E$402,MATCH($B28,'LEAD MASTER'!$A$3:$A$402,0)),"Lead ID not found"))</f>
        <v/>
      </c>
      <c r="D28" s="17"/>
      <c r="E28" s="17"/>
      <c r="F28" s="37"/>
      <c r="G28" s="37"/>
      <c r="H28" s="17"/>
      <c r="I28" s="37"/>
      <c r="J28" s="37"/>
      <c r="K28" s="37"/>
      <c r="L28" s="17"/>
      <c r="M28" s="37"/>
      <c r="N28" s="37"/>
      <c r="O28" s="37"/>
      <c r="P28" s="38"/>
      <c r="Q28" s="37"/>
      <c r="R28" s="17"/>
    </row>
    <row r="29" customFormat="false" ht="15" hidden="false" customHeight="false" outlineLevel="0" collapsed="false">
      <c r="A29" s="37"/>
      <c r="B29" s="37"/>
      <c r="C29" s="41" t="str">
        <f aca="false">IF($B29="","",IFERROR(INDEX('LEAD MASTER'!$E$3:$E$402,MATCH($B29,'LEAD MASTER'!$A$3:$A$402,0)),"Lead ID not found"))</f>
        <v/>
      </c>
      <c r="D29" s="17"/>
      <c r="E29" s="17"/>
      <c r="F29" s="37"/>
      <c r="G29" s="37"/>
      <c r="H29" s="17"/>
      <c r="I29" s="37"/>
      <c r="J29" s="37"/>
      <c r="K29" s="37"/>
      <c r="L29" s="17"/>
      <c r="M29" s="37"/>
      <c r="N29" s="37"/>
      <c r="O29" s="37"/>
      <c r="P29" s="38"/>
      <c r="Q29" s="37"/>
      <c r="R29" s="17"/>
    </row>
    <row r="30" customFormat="false" ht="15" hidden="false" customHeight="false" outlineLevel="0" collapsed="false">
      <c r="A30" s="37"/>
      <c r="B30" s="37"/>
      <c r="C30" s="41" t="str">
        <f aca="false">IF($B30="","",IFERROR(INDEX('LEAD MASTER'!$E$3:$E$402,MATCH($B30,'LEAD MASTER'!$A$3:$A$402,0)),"Lead ID not found"))</f>
        <v/>
      </c>
      <c r="D30" s="17"/>
      <c r="E30" s="17"/>
      <c r="F30" s="37"/>
      <c r="G30" s="37"/>
      <c r="H30" s="17"/>
      <c r="I30" s="37"/>
      <c r="J30" s="37"/>
      <c r="K30" s="37"/>
      <c r="L30" s="17"/>
      <c r="M30" s="37"/>
      <c r="N30" s="37"/>
      <c r="O30" s="37"/>
      <c r="P30" s="38"/>
      <c r="Q30" s="37"/>
      <c r="R30" s="17"/>
    </row>
    <row r="31" customFormat="false" ht="15" hidden="false" customHeight="false" outlineLevel="0" collapsed="false">
      <c r="A31" s="37"/>
      <c r="B31" s="37"/>
      <c r="C31" s="41" t="str">
        <f aca="false">IF($B31="","",IFERROR(INDEX('LEAD MASTER'!$E$3:$E$402,MATCH($B31,'LEAD MASTER'!$A$3:$A$402,0)),"Lead ID not found"))</f>
        <v/>
      </c>
      <c r="D31" s="17"/>
      <c r="E31" s="17"/>
      <c r="F31" s="37"/>
      <c r="G31" s="37"/>
      <c r="H31" s="17"/>
      <c r="I31" s="37"/>
      <c r="J31" s="37"/>
      <c r="K31" s="37"/>
      <c r="L31" s="17"/>
      <c r="M31" s="37"/>
      <c r="N31" s="37"/>
      <c r="O31" s="37"/>
      <c r="P31" s="38"/>
      <c r="Q31" s="37"/>
      <c r="R31" s="17"/>
    </row>
    <row r="32" customFormat="false" ht="15" hidden="false" customHeight="false" outlineLevel="0" collapsed="false">
      <c r="A32" s="37"/>
      <c r="B32" s="37"/>
      <c r="C32" s="41" t="str">
        <f aca="false">IF($B32="","",IFERROR(INDEX('LEAD MASTER'!$E$3:$E$402,MATCH($B32,'LEAD MASTER'!$A$3:$A$402,0)),"Lead ID not found"))</f>
        <v/>
      </c>
      <c r="D32" s="17"/>
      <c r="E32" s="17"/>
      <c r="F32" s="37"/>
      <c r="G32" s="37"/>
      <c r="H32" s="17"/>
      <c r="I32" s="37"/>
      <c r="J32" s="37"/>
      <c r="K32" s="37"/>
      <c r="L32" s="17"/>
      <c r="M32" s="37"/>
      <c r="N32" s="37"/>
      <c r="O32" s="37"/>
      <c r="P32" s="38"/>
      <c r="Q32" s="37"/>
      <c r="R32" s="17"/>
    </row>
    <row r="33" customFormat="false" ht="15" hidden="false" customHeight="false" outlineLevel="0" collapsed="false">
      <c r="A33" s="37"/>
      <c r="B33" s="37"/>
      <c r="C33" s="41" t="str">
        <f aca="false">IF($B33="","",IFERROR(INDEX('LEAD MASTER'!$E$3:$E$402,MATCH($B33,'LEAD MASTER'!$A$3:$A$402,0)),"Lead ID not found"))</f>
        <v/>
      </c>
      <c r="D33" s="17"/>
      <c r="E33" s="17"/>
      <c r="F33" s="37"/>
      <c r="G33" s="37"/>
      <c r="H33" s="17"/>
      <c r="I33" s="37"/>
      <c r="J33" s="37"/>
      <c r="K33" s="37"/>
      <c r="L33" s="17"/>
      <c r="M33" s="37"/>
      <c r="N33" s="37"/>
      <c r="O33" s="37"/>
      <c r="P33" s="38"/>
      <c r="Q33" s="37"/>
      <c r="R33" s="17"/>
    </row>
    <row r="34" customFormat="false" ht="15" hidden="false" customHeight="false" outlineLevel="0" collapsed="false">
      <c r="A34" s="37"/>
      <c r="B34" s="37"/>
      <c r="C34" s="41" t="str">
        <f aca="false">IF($B34="","",IFERROR(INDEX('LEAD MASTER'!$E$3:$E$402,MATCH($B34,'LEAD MASTER'!$A$3:$A$402,0)),"Lead ID not found"))</f>
        <v/>
      </c>
      <c r="D34" s="17"/>
      <c r="E34" s="17"/>
      <c r="F34" s="37"/>
      <c r="G34" s="37"/>
      <c r="H34" s="17"/>
      <c r="I34" s="37"/>
      <c r="J34" s="37"/>
      <c r="K34" s="37"/>
      <c r="L34" s="17"/>
      <c r="M34" s="37"/>
      <c r="N34" s="37"/>
      <c r="O34" s="37"/>
      <c r="P34" s="38"/>
      <c r="Q34" s="37"/>
      <c r="R34" s="17"/>
    </row>
    <row r="35" customFormat="false" ht="15" hidden="false" customHeight="false" outlineLevel="0" collapsed="false">
      <c r="A35" s="37"/>
      <c r="B35" s="37"/>
      <c r="C35" s="41" t="str">
        <f aca="false">IF($B35="","",IFERROR(INDEX('LEAD MASTER'!$E$3:$E$402,MATCH($B35,'LEAD MASTER'!$A$3:$A$402,0)),"Lead ID not found"))</f>
        <v/>
      </c>
      <c r="D35" s="17"/>
      <c r="E35" s="17"/>
      <c r="F35" s="37"/>
      <c r="G35" s="37"/>
      <c r="H35" s="17"/>
      <c r="I35" s="37"/>
      <c r="J35" s="37"/>
      <c r="K35" s="37"/>
      <c r="L35" s="17"/>
      <c r="M35" s="37"/>
      <c r="N35" s="37"/>
      <c r="O35" s="37"/>
      <c r="P35" s="38"/>
      <c r="Q35" s="37"/>
      <c r="R35" s="17"/>
    </row>
    <row r="36" customFormat="false" ht="15" hidden="false" customHeight="false" outlineLevel="0" collapsed="false">
      <c r="A36" s="37"/>
      <c r="B36" s="37"/>
      <c r="C36" s="41" t="str">
        <f aca="false">IF($B36="","",IFERROR(INDEX('LEAD MASTER'!$E$3:$E$402,MATCH($B36,'LEAD MASTER'!$A$3:$A$402,0)),"Lead ID not found"))</f>
        <v/>
      </c>
      <c r="D36" s="17"/>
      <c r="E36" s="17"/>
      <c r="F36" s="37"/>
      <c r="G36" s="37"/>
      <c r="H36" s="17"/>
      <c r="I36" s="37"/>
      <c r="J36" s="37"/>
      <c r="K36" s="37"/>
      <c r="L36" s="17"/>
      <c r="M36" s="37"/>
      <c r="N36" s="37"/>
      <c r="O36" s="37"/>
      <c r="P36" s="38"/>
      <c r="Q36" s="37"/>
      <c r="R36" s="17"/>
    </row>
    <row r="37" customFormat="false" ht="15" hidden="false" customHeight="false" outlineLevel="0" collapsed="false">
      <c r="A37" s="37"/>
      <c r="B37" s="37"/>
      <c r="C37" s="41" t="str">
        <f aca="false">IF($B37="","",IFERROR(INDEX('LEAD MASTER'!$E$3:$E$402,MATCH($B37,'LEAD MASTER'!$A$3:$A$402,0)),"Lead ID not found"))</f>
        <v/>
      </c>
      <c r="D37" s="17"/>
      <c r="E37" s="17"/>
      <c r="F37" s="37"/>
      <c r="G37" s="37"/>
      <c r="H37" s="17"/>
      <c r="I37" s="37"/>
      <c r="J37" s="37"/>
      <c r="K37" s="37"/>
      <c r="L37" s="17"/>
      <c r="M37" s="37"/>
      <c r="N37" s="37"/>
      <c r="O37" s="37"/>
      <c r="P37" s="38"/>
      <c r="Q37" s="37"/>
      <c r="R37" s="17"/>
    </row>
    <row r="38" customFormat="false" ht="15" hidden="false" customHeight="false" outlineLevel="0" collapsed="false">
      <c r="A38" s="37"/>
      <c r="B38" s="37"/>
      <c r="C38" s="41" t="str">
        <f aca="false">IF($B38="","",IFERROR(INDEX('LEAD MASTER'!$E$3:$E$402,MATCH($B38,'LEAD MASTER'!$A$3:$A$402,0)),"Lead ID not found"))</f>
        <v/>
      </c>
      <c r="D38" s="17"/>
      <c r="E38" s="17"/>
      <c r="F38" s="37"/>
      <c r="G38" s="37"/>
      <c r="H38" s="17"/>
      <c r="I38" s="37"/>
      <c r="J38" s="37"/>
      <c r="K38" s="37"/>
      <c r="L38" s="17"/>
      <c r="M38" s="37"/>
      <c r="N38" s="37"/>
      <c r="O38" s="37"/>
      <c r="P38" s="38"/>
      <c r="Q38" s="37"/>
      <c r="R38" s="17"/>
    </row>
    <row r="39" customFormat="false" ht="15" hidden="false" customHeight="false" outlineLevel="0" collapsed="false">
      <c r="A39" s="37"/>
      <c r="B39" s="37"/>
      <c r="C39" s="41" t="str">
        <f aca="false">IF($B39="","",IFERROR(INDEX('LEAD MASTER'!$E$3:$E$402,MATCH($B39,'LEAD MASTER'!$A$3:$A$402,0)),"Lead ID not found"))</f>
        <v/>
      </c>
      <c r="D39" s="17"/>
      <c r="E39" s="17"/>
      <c r="F39" s="37"/>
      <c r="G39" s="37"/>
      <c r="H39" s="17"/>
      <c r="I39" s="37"/>
      <c r="J39" s="37"/>
      <c r="K39" s="37"/>
      <c r="L39" s="17"/>
      <c r="M39" s="37"/>
      <c r="N39" s="37"/>
      <c r="O39" s="37"/>
      <c r="P39" s="38"/>
      <c r="Q39" s="37"/>
      <c r="R39" s="17"/>
    </row>
    <row r="40" customFormat="false" ht="15" hidden="false" customHeight="false" outlineLevel="0" collapsed="false">
      <c r="A40" s="37"/>
      <c r="B40" s="37"/>
      <c r="C40" s="41" t="str">
        <f aca="false">IF($B40="","",IFERROR(INDEX('LEAD MASTER'!$E$3:$E$402,MATCH($B40,'LEAD MASTER'!$A$3:$A$402,0)),"Lead ID not found"))</f>
        <v/>
      </c>
      <c r="D40" s="17"/>
      <c r="E40" s="17"/>
      <c r="F40" s="37"/>
      <c r="G40" s="37"/>
      <c r="H40" s="17"/>
      <c r="I40" s="37"/>
      <c r="J40" s="37"/>
      <c r="K40" s="37"/>
      <c r="L40" s="17"/>
      <c r="M40" s="37"/>
      <c r="N40" s="37"/>
      <c r="O40" s="37"/>
      <c r="P40" s="38"/>
      <c r="Q40" s="37"/>
      <c r="R40" s="17"/>
    </row>
    <row r="41" customFormat="false" ht="15" hidden="false" customHeight="false" outlineLevel="0" collapsed="false">
      <c r="A41" s="37"/>
      <c r="B41" s="37"/>
      <c r="C41" s="41" t="str">
        <f aca="false">IF($B41="","",IFERROR(INDEX('LEAD MASTER'!$E$3:$E$402,MATCH($B41,'LEAD MASTER'!$A$3:$A$402,0)),"Lead ID not found"))</f>
        <v/>
      </c>
      <c r="D41" s="17"/>
      <c r="E41" s="17"/>
      <c r="F41" s="37"/>
      <c r="G41" s="37"/>
      <c r="H41" s="17"/>
      <c r="I41" s="37"/>
      <c r="J41" s="37"/>
      <c r="K41" s="37"/>
      <c r="L41" s="17"/>
      <c r="M41" s="37"/>
      <c r="N41" s="37"/>
      <c r="O41" s="37"/>
      <c r="P41" s="38"/>
      <c r="Q41" s="37"/>
      <c r="R41" s="17"/>
    </row>
    <row r="42" customFormat="false" ht="15" hidden="false" customHeight="false" outlineLevel="0" collapsed="false">
      <c r="A42" s="37"/>
      <c r="B42" s="37"/>
      <c r="C42" s="41" t="str">
        <f aca="false">IF($B42="","",IFERROR(INDEX('LEAD MASTER'!$E$3:$E$402,MATCH($B42,'LEAD MASTER'!$A$3:$A$402,0)),"Lead ID not found"))</f>
        <v/>
      </c>
      <c r="D42" s="17"/>
      <c r="E42" s="17"/>
      <c r="F42" s="37"/>
      <c r="G42" s="37"/>
      <c r="H42" s="17"/>
      <c r="I42" s="37"/>
      <c r="J42" s="37"/>
      <c r="K42" s="37"/>
      <c r="L42" s="17"/>
      <c r="M42" s="37"/>
      <c r="N42" s="37"/>
      <c r="O42" s="37"/>
      <c r="P42" s="38"/>
      <c r="Q42" s="37"/>
      <c r="R42" s="17"/>
    </row>
    <row r="43" customFormat="false" ht="15" hidden="false" customHeight="false" outlineLevel="0" collapsed="false">
      <c r="A43" s="37"/>
      <c r="B43" s="37"/>
      <c r="C43" s="41" t="str">
        <f aca="false">IF($B43="","",IFERROR(INDEX('LEAD MASTER'!$E$3:$E$402,MATCH($B43,'LEAD MASTER'!$A$3:$A$402,0)),"Lead ID not found"))</f>
        <v/>
      </c>
      <c r="D43" s="17"/>
      <c r="E43" s="17"/>
      <c r="F43" s="37"/>
      <c r="G43" s="37"/>
      <c r="H43" s="17"/>
      <c r="I43" s="37"/>
      <c r="J43" s="37"/>
      <c r="K43" s="37"/>
      <c r="L43" s="17"/>
      <c r="M43" s="37"/>
      <c r="N43" s="37"/>
      <c r="O43" s="37"/>
      <c r="P43" s="38"/>
      <c r="Q43" s="37"/>
      <c r="R43" s="17"/>
    </row>
    <row r="44" customFormat="false" ht="15" hidden="false" customHeight="false" outlineLevel="0" collapsed="false">
      <c r="A44" s="37"/>
      <c r="B44" s="37"/>
      <c r="C44" s="41" t="str">
        <f aca="false">IF($B44="","",IFERROR(INDEX('LEAD MASTER'!$E$3:$E$402,MATCH($B44,'LEAD MASTER'!$A$3:$A$402,0)),"Lead ID not found"))</f>
        <v/>
      </c>
      <c r="D44" s="17"/>
      <c r="E44" s="17"/>
      <c r="F44" s="37"/>
      <c r="G44" s="37"/>
      <c r="H44" s="17"/>
      <c r="I44" s="37"/>
      <c r="J44" s="37"/>
      <c r="K44" s="37"/>
      <c r="L44" s="17"/>
      <c r="M44" s="37"/>
      <c r="N44" s="37"/>
      <c r="O44" s="37"/>
      <c r="P44" s="38"/>
      <c r="Q44" s="37"/>
      <c r="R44" s="17"/>
    </row>
    <row r="45" customFormat="false" ht="15" hidden="false" customHeight="false" outlineLevel="0" collapsed="false">
      <c r="A45" s="37"/>
      <c r="B45" s="37"/>
      <c r="C45" s="41" t="str">
        <f aca="false">IF($B45="","",IFERROR(INDEX('LEAD MASTER'!$E$3:$E$402,MATCH($B45,'LEAD MASTER'!$A$3:$A$402,0)),"Lead ID not found"))</f>
        <v/>
      </c>
      <c r="D45" s="17"/>
      <c r="E45" s="17"/>
      <c r="F45" s="37"/>
      <c r="G45" s="37"/>
      <c r="H45" s="17"/>
      <c r="I45" s="37"/>
      <c r="J45" s="37"/>
      <c r="K45" s="37"/>
      <c r="L45" s="17"/>
      <c r="M45" s="37"/>
      <c r="N45" s="37"/>
      <c r="O45" s="37"/>
      <c r="P45" s="38"/>
      <c r="Q45" s="37"/>
      <c r="R45" s="17"/>
    </row>
    <row r="46" customFormat="false" ht="15" hidden="false" customHeight="false" outlineLevel="0" collapsed="false">
      <c r="A46" s="37"/>
      <c r="B46" s="37"/>
      <c r="C46" s="41" t="str">
        <f aca="false">IF($B46="","",IFERROR(INDEX('LEAD MASTER'!$E$3:$E$402,MATCH($B46,'LEAD MASTER'!$A$3:$A$402,0)),"Lead ID not found"))</f>
        <v/>
      </c>
      <c r="D46" s="17"/>
      <c r="E46" s="17"/>
      <c r="F46" s="37"/>
      <c r="G46" s="37"/>
      <c r="H46" s="17"/>
      <c r="I46" s="37"/>
      <c r="J46" s="37"/>
      <c r="K46" s="37"/>
      <c r="L46" s="17"/>
      <c r="M46" s="37"/>
      <c r="N46" s="37"/>
      <c r="O46" s="37"/>
      <c r="P46" s="38"/>
      <c r="Q46" s="37"/>
      <c r="R46" s="17"/>
    </row>
    <row r="47" customFormat="false" ht="15" hidden="false" customHeight="false" outlineLevel="0" collapsed="false">
      <c r="A47" s="37"/>
      <c r="B47" s="37"/>
      <c r="C47" s="41" t="str">
        <f aca="false">IF($B47="","",IFERROR(INDEX('LEAD MASTER'!$E$3:$E$402,MATCH($B47,'LEAD MASTER'!$A$3:$A$402,0)),"Lead ID not found"))</f>
        <v/>
      </c>
      <c r="D47" s="17"/>
      <c r="E47" s="17"/>
      <c r="F47" s="37"/>
      <c r="G47" s="37"/>
      <c r="H47" s="17"/>
      <c r="I47" s="37"/>
      <c r="J47" s="37"/>
      <c r="K47" s="37"/>
      <c r="L47" s="17"/>
      <c r="M47" s="37"/>
      <c r="N47" s="37"/>
      <c r="O47" s="37"/>
      <c r="P47" s="38"/>
      <c r="Q47" s="37"/>
      <c r="R47" s="17"/>
    </row>
    <row r="48" customFormat="false" ht="15" hidden="false" customHeight="false" outlineLevel="0" collapsed="false">
      <c r="A48" s="37"/>
      <c r="B48" s="37"/>
      <c r="C48" s="41" t="str">
        <f aca="false">IF($B48="","",IFERROR(INDEX('LEAD MASTER'!$E$3:$E$402,MATCH($B48,'LEAD MASTER'!$A$3:$A$402,0)),"Lead ID not found"))</f>
        <v/>
      </c>
      <c r="D48" s="17"/>
      <c r="E48" s="17"/>
      <c r="F48" s="37"/>
      <c r="G48" s="37"/>
      <c r="H48" s="17"/>
      <c r="I48" s="37"/>
      <c r="J48" s="37"/>
      <c r="K48" s="37"/>
      <c r="L48" s="17"/>
      <c r="M48" s="37"/>
      <c r="N48" s="37"/>
      <c r="O48" s="37"/>
      <c r="P48" s="38"/>
      <c r="Q48" s="37"/>
      <c r="R48" s="17"/>
    </row>
    <row r="49" customFormat="false" ht="15" hidden="false" customHeight="false" outlineLevel="0" collapsed="false">
      <c r="A49" s="37"/>
      <c r="B49" s="37"/>
      <c r="C49" s="41" t="str">
        <f aca="false">IF($B49="","",IFERROR(INDEX('LEAD MASTER'!$E$3:$E$402,MATCH($B49,'LEAD MASTER'!$A$3:$A$402,0)),"Lead ID not found"))</f>
        <v/>
      </c>
      <c r="D49" s="17"/>
      <c r="E49" s="17"/>
      <c r="F49" s="37"/>
      <c r="G49" s="37"/>
      <c r="H49" s="17"/>
      <c r="I49" s="37"/>
      <c r="J49" s="37"/>
      <c r="K49" s="37"/>
      <c r="L49" s="17"/>
      <c r="M49" s="37"/>
      <c r="N49" s="37"/>
      <c r="O49" s="37"/>
      <c r="P49" s="38"/>
      <c r="Q49" s="37"/>
      <c r="R49" s="17"/>
    </row>
    <row r="50" customFormat="false" ht="15" hidden="false" customHeight="false" outlineLevel="0" collapsed="false">
      <c r="A50" s="37"/>
      <c r="B50" s="37"/>
      <c r="C50" s="41" t="str">
        <f aca="false">IF($B50="","",IFERROR(INDEX('LEAD MASTER'!$E$3:$E$402,MATCH($B50,'LEAD MASTER'!$A$3:$A$402,0)),"Lead ID not found"))</f>
        <v/>
      </c>
      <c r="D50" s="17"/>
      <c r="E50" s="17"/>
      <c r="F50" s="37"/>
      <c r="G50" s="37"/>
      <c r="H50" s="17"/>
      <c r="I50" s="37"/>
      <c r="J50" s="37"/>
      <c r="K50" s="37"/>
      <c r="L50" s="17"/>
      <c r="M50" s="37"/>
      <c r="N50" s="37"/>
      <c r="O50" s="37"/>
      <c r="P50" s="38"/>
      <c r="Q50" s="37"/>
      <c r="R50" s="17"/>
    </row>
    <row r="51" customFormat="false" ht="15" hidden="false" customHeight="false" outlineLevel="0" collapsed="false">
      <c r="A51" s="37"/>
      <c r="B51" s="37"/>
      <c r="C51" s="41" t="str">
        <f aca="false">IF($B51="","",IFERROR(INDEX('LEAD MASTER'!$E$3:$E$402,MATCH($B51,'LEAD MASTER'!$A$3:$A$402,0)),"Lead ID not found"))</f>
        <v/>
      </c>
      <c r="D51" s="17"/>
      <c r="E51" s="17"/>
      <c r="F51" s="37"/>
      <c r="G51" s="37"/>
      <c r="H51" s="17"/>
      <c r="I51" s="37"/>
      <c r="J51" s="37"/>
      <c r="K51" s="37"/>
      <c r="L51" s="17"/>
      <c r="M51" s="37"/>
      <c r="N51" s="37"/>
      <c r="O51" s="37"/>
      <c r="P51" s="38"/>
      <c r="Q51" s="37"/>
      <c r="R51" s="17"/>
    </row>
    <row r="52" customFormat="false" ht="15" hidden="false" customHeight="false" outlineLevel="0" collapsed="false">
      <c r="A52" s="37"/>
      <c r="B52" s="37"/>
      <c r="C52" s="41" t="str">
        <f aca="false">IF($B52="","",IFERROR(INDEX('LEAD MASTER'!$E$3:$E$402,MATCH($B52,'LEAD MASTER'!$A$3:$A$402,0)),"Lead ID not found"))</f>
        <v/>
      </c>
      <c r="D52" s="17"/>
      <c r="E52" s="17"/>
      <c r="F52" s="37"/>
      <c r="G52" s="37"/>
      <c r="H52" s="17"/>
      <c r="I52" s="37"/>
      <c r="J52" s="37"/>
      <c r="K52" s="37"/>
      <c r="L52" s="17"/>
      <c r="M52" s="37"/>
      <c r="N52" s="37"/>
      <c r="O52" s="37"/>
      <c r="P52" s="38"/>
      <c r="Q52" s="37"/>
      <c r="R52" s="17"/>
    </row>
    <row r="53" customFormat="false" ht="15" hidden="false" customHeight="false" outlineLevel="0" collapsed="false">
      <c r="A53" s="37"/>
      <c r="B53" s="37"/>
      <c r="C53" s="41" t="str">
        <f aca="false">IF($B53="","",IFERROR(INDEX('LEAD MASTER'!$E$3:$E$402,MATCH($B53,'LEAD MASTER'!$A$3:$A$402,0)),"Lead ID not found"))</f>
        <v/>
      </c>
      <c r="D53" s="17"/>
      <c r="E53" s="17"/>
      <c r="F53" s="37"/>
      <c r="G53" s="37"/>
      <c r="H53" s="17"/>
      <c r="I53" s="37"/>
      <c r="J53" s="37"/>
      <c r="K53" s="37"/>
      <c r="L53" s="17"/>
      <c r="M53" s="37"/>
      <c r="N53" s="37"/>
      <c r="O53" s="37"/>
      <c r="P53" s="38"/>
      <c r="Q53" s="37"/>
      <c r="R53" s="17"/>
    </row>
    <row r="54" customFormat="false" ht="15" hidden="false" customHeight="false" outlineLevel="0" collapsed="false">
      <c r="A54" s="37"/>
      <c r="B54" s="37"/>
      <c r="C54" s="41" t="str">
        <f aca="false">IF($B54="","",IFERROR(INDEX('LEAD MASTER'!$E$3:$E$402,MATCH($B54,'LEAD MASTER'!$A$3:$A$402,0)),"Lead ID not found"))</f>
        <v/>
      </c>
      <c r="D54" s="17"/>
      <c r="E54" s="17"/>
      <c r="F54" s="37"/>
      <c r="G54" s="37"/>
      <c r="H54" s="17"/>
      <c r="I54" s="37"/>
      <c r="J54" s="37"/>
      <c r="K54" s="37"/>
      <c r="L54" s="17"/>
      <c r="M54" s="37"/>
      <c r="N54" s="37"/>
      <c r="O54" s="37"/>
      <c r="P54" s="38"/>
      <c r="Q54" s="37"/>
      <c r="R54" s="17"/>
    </row>
    <row r="55" customFormat="false" ht="15" hidden="false" customHeight="false" outlineLevel="0" collapsed="false">
      <c r="A55" s="37"/>
      <c r="B55" s="37"/>
      <c r="C55" s="41" t="str">
        <f aca="false">IF($B55="","",IFERROR(INDEX('LEAD MASTER'!$E$3:$E$402,MATCH($B55,'LEAD MASTER'!$A$3:$A$402,0)),"Lead ID not found"))</f>
        <v/>
      </c>
      <c r="D55" s="17"/>
      <c r="E55" s="17"/>
      <c r="F55" s="37"/>
      <c r="G55" s="37"/>
      <c r="H55" s="17"/>
      <c r="I55" s="37"/>
      <c r="J55" s="37"/>
      <c r="K55" s="37"/>
      <c r="L55" s="17"/>
      <c r="M55" s="37"/>
      <c r="N55" s="37"/>
      <c r="O55" s="37"/>
      <c r="P55" s="38"/>
      <c r="Q55" s="37"/>
      <c r="R55" s="17"/>
    </row>
    <row r="56" customFormat="false" ht="15" hidden="false" customHeight="false" outlineLevel="0" collapsed="false">
      <c r="A56" s="37"/>
      <c r="B56" s="37"/>
      <c r="C56" s="41" t="str">
        <f aca="false">IF($B56="","",IFERROR(INDEX('LEAD MASTER'!$E$3:$E$402,MATCH($B56,'LEAD MASTER'!$A$3:$A$402,0)),"Lead ID not found"))</f>
        <v/>
      </c>
      <c r="D56" s="17"/>
      <c r="E56" s="17"/>
      <c r="F56" s="37"/>
      <c r="G56" s="37"/>
      <c r="H56" s="17"/>
      <c r="I56" s="37"/>
      <c r="J56" s="37"/>
      <c r="K56" s="37"/>
      <c r="L56" s="17"/>
      <c r="M56" s="37"/>
      <c r="N56" s="37"/>
      <c r="O56" s="37"/>
      <c r="P56" s="38"/>
      <c r="Q56" s="37"/>
      <c r="R56" s="17"/>
    </row>
    <row r="57" customFormat="false" ht="15" hidden="false" customHeight="false" outlineLevel="0" collapsed="false">
      <c r="A57" s="37"/>
      <c r="B57" s="37"/>
      <c r="C57" s="41" t="str">
        <f aca="false">IF($B57="","",IFERROR(INDEX('LEAD MASTER'!$E$3:$E$402,MATCH($B57,'LEAD MASTER'!$A$3:$A$402,0)),"Lead ID not found"))</f>
        <v/>
      </c>
      <c r="D57" s="17"/>
      <c r="E57" s="17"/>
      <c r="F57" s="37"/>
      <c r="G57" s="37"/>
      <c r="H57" s="17"/>
      <c r="I57" s="37"/>
      <c r="J57" s="37"/>
      <c r="K57" s="37"/>
      <c r="L57" s="17"/>
      <c r="M57" s="37"/>
      <c r="N57" s="37"/>
      <c r="O57" s="37"/>
      <c r="P57" s="38"/>
      <c r="Q57" s="37"/>
      <c r="R57" s="17"/>
    </row>
    <row r="58" customFormat="false" ht="15" hidden="false" customHeight="false" outlineLevel="0" collapsed="false">
      <c r="A58" s="37"/>
      <c r="B58" s="37"/>
      <c r="C58" s="41" t="str">
        <f aca="false">IF($B58="","",IFERROR(INDEX('LEAD MASTER'!$E$3:$E$402,MATCH($B58,'LEAD MASTER'!$A$3:$A$402,0)),"Lead ID not found"))</f>
        <v/>
      </c>
      <c r="D58" s="17"/>
      <c r="E58" s="17"/>
      <c r="F58" s="37"/>
      <c r="G58" s="37"/>
      <c r="H58" s="17"/>
      <c r="I58" s="37"/>
      <c r="J58" s="37"/>
      <c r="K58" s="37"/>
      <c r="L58" s="17"/>
      <c r="M58" s="37"/>
      <c r="N58" s="37"/>
      <c r="O58" s="37"/>
      <c r="P58" s="38"/>
      <c r="Q58" s="37"/>
      <c r="R58" s="17"/>
    </row>
    <row r="59" customFormat="false" ht="15" hidden="false" customHeight="false" outlineLevel="0" collapsed="false">
      <c r="A59" s="37"/>
      <c r="B59" s="37"/>
      <c r="C59" s="41" t="str">
        <f aca="false">IF($B59="","",IFERROR(INDEX('LEAD MASTER'!$E$3:$E$402,MATCH($B59,'LEAD MASTER'!$A$3:$A$402,0)),"Lead ID not found"))</f>
        <v/>
      </c>
      <c r="D59" s="17"/>
      <c r="E59" s="17"/>
      <c r="F59" s="37"/>
      <c r="G59" s="37"/>
      <c r="H59" s="17"/>
      <c r="I59" s="37"/>
      <c r="J59" s="37"/>
      <c r="K59" s="37"/>
      <c r="L59" s="17"/>
      <c r="M59" s="37"/>
      <c r="N59" s="37"/>
      <c r="O59" s="37"/>
      <c r="P59" s="38"/>
      <c r="Q59" s="37"/>
      <c r="R59" s="17"/>
    </row>
    <row r="60" customFormat="false" ht="15" hidden="false" customHeight="false" outlineLevel="0" collapsed="false">
      <c r="A60" s="37"/>
      <c r="B60" s="37"/>
      <c r="C60" s="41" t="str">
        <f aca="false">IF($B60="","",IFERROR(INDEX('LEAD MASTER'!$E$3:$E$402,MATCH($B60,'LEAD MASTER'!$A$3:$A$402,0)),"Lead ID not found"))</f>
        <v/>
      </c>
      <c r="D60" s="17"/>
      <c r="E60" s="17"/>
      <c r="F60" s="37"/>
      <c r="G60" s="37"/>
      <c r="H60" s="17"/>
      <c r="I60" s="37"/>
      <c r="J60" s="37"/>
      <c r="K60" s="37"/>
      <c r="L60" s="17"/>
      <c r="M60" s="37"/>
      <c r="N60" s="37"/>
      <c r="O60" s="37"/>
      <c r="P60" s="38"/>
      <c r="Q60" s="37"/>
      <c r="R60" s="17"/>
    </row>
    <row r="61" customFormat="false" ht="15" hidden="false" customHeight="false" outlineLevel="0" collapsed="false">
      <c r="A61" s="37"/>
      <c r="B61" s="37"/>
      <c r="C61" s="41" t="str">
        <f aca="false">IF($B61="","",IFERROR(INDEX('LEAD MASTER'!$E$3:$E$402,MATCH($B61,'LEAD MASTER'!$A$3:$A$402,0)),"Lead ID not found"))</f>
        <v/>
      </c>
      <c r="D61" s="17"/>
      <c r="E61" s="17"/>
      <c r="F61" s="37"/>
      <c r="G61" s="37"/>
      <c r="H61" s="17"/>
      <c r="I61" s="37"/>
      <c r="J61" s="37"/>
      <c r="K61" s="37"/>
      <c r="L61" s="17"/>
      <c r="M61" s="37"/>
      <c r="N61" s="37"/>
      <c r="O61" s="37"/>
      <c r="P61" s="38"/>
      <c r="Q61" s="37"/>
      <c r="R61" s="17"/>
    </row>
    <row r="62" customFormat="false" ht="15" hidden="false" customHeight="false" outlineLevel="0" collapsed="false">
      <c r="A62" s="37"/>
      <c r="B62" s="37"/>
      <c r="C62" s="41" t="str">
        <f aca="false">IF($B62="","",IFERROR(INDEX('LEAD MASTER'!$E$3:$E$402,MATCH($B62,'LEAD MASTER'!$A$3:$A$402,0)),"Lead ID not found"))</f>
        <v/>
      </c>
      <c r="D62" s="17"/>
      <c r="E62" s="17"/>
      <c r="F62" s="37"/>
      <c r="G62" s="37"/>
      <c r="H62" s="17"/>
      <c r="I62" s="37"/>
      <c r="J62" s="37"/>
      <c r="K62" s="37"/>
      <c r="L62" s="17"/>
      <c r="M62" s="37"/>
      <c r="N62" s="37"/>
      <c r="O62" s="37"/>
      <c r="P62" s="38"/>
      <c r="Q62" s="37"/>
      <c r="R62" s="17"/>
    </row>
    <row r="63" customFormat="false" ht="15" hidden="false" customHeight="false" outlineLevel="0" collapsed="false">
      <c r="A63" s="37"/>
      <c r="B63" s="37"/>
      <c r="C63" s="41" t="str">
        <f aca="false">IF($B63="","",IFERROR(INDEX('LEAD MASTER'!$E$3:$E$402,MATCH($B63,'LEAD MASTER'!$A$3:$A$402,0)),"Lead ID not found"))</f>
        <v/>
      </c>
      <c r="D63" s="17"/>
      <c r="E63" s="17"/>
      <c r="F63" s="37"/>
      <c r="G63" s="37"/>
      <c r="H63" s="17"/>
      <c r="I63" s="37"/>
      <c r="J63" s="37"/>
      <c r="K63" s="37"/>
      <c r="L63" s="17"/>
      <c r="M63" s="37"/>
      <c r="N63" s="37"/>
      <c r="O63" s="37"/>
      <c r="P63" s="38"/>
      <c r="Q63" s="37"/>
      <c r="R63" s="17"/>
    </row>
    <row r="64" customFormat="false" ht="15" hidden="false" customHeight="false" outlineLevel="0" collapsed="false">
      <c r="A64" s="37"/>
      <c r="B64" s="37"/>
      <c r="C64" s="41" t="str">
        <f aca="false">IF($B64="","",IFERROR(INDEX('LEAD MASTER'!$E$3:$E$402,MATCH($B64,'LEAD MASTER'!$A$3:$A$402,0)),"Lead ID not found"))</f>
        <v/>
      </c>
      <c r="D64" s="17"/>
      <c r="E64" s="17"/>
      <c r="F64" s="37"/>
      <c r="G64" s="37"/>
      <c r="H64" s="17"/>
      <c r="I64" s="37"/>
      <c r="J64" s="37"/>
      <c r="K64" s="37"/>
      <c r="L64" s="17"/>
      <c r="M64" s="37"/>
      <c r="N64" s="37"/>
      <c r="O64" s="37"/>
      <c r="P64" s="38"/>
      <c r="Q64" s="37"/>
      <c r="R64" s="17"/>
    </row>
    <row r="65" customFormat="false" ht="15" hidden="false" customHeight="false" outlineLevel="0" collapsed="false">
      <c r="A65" s="37"/>
      <c r="B65" s="37"/>
      <c r="C65" s="41" t="str">
        <f aca="false">IF($B65="","",IFERROR(INDEX('LEAD MASTER'!$E$3:$E$402,MATCH($B65,'LEAD MASTER'!$A$3:$A$402,0)),"Lead ID not found"))</f>
        <v/>
      </c>
      <c r="D65" s="17"/>
      <c r="E65" s="17"/>
      <c r="F65" s="37"/>
      <c r="G65" s="37"/>
      <c r="H65" s="17"/>
      <c r="I65" s="37"/>
      <c r="J65" s="37"/>
      <c r="K65" s="37"/>
      <c r="L65" s="17"/>
      <c r="M65" s="37"/>
      <c r="N65" s="37"/>
      <c r="O65" s="37"/>
      <c r="P65" s="38"/>
      <c r="Q65" s="37"/>
      <c r="R65" s="17"/>
    </row>
    <row r="66" customFormat="false" ht="15" hidden="false" customHeight="false" outlineLevel="0" collapsed="false">
      <c r="A66" s="37"/>
      <c r="B66" s="37"/>
      <c r="C66" s="41" t="str">
        <f aca="false">IF($B66="","",IFERROR(INDEX('LEAD MASTER'!$E$3:$E$402,MATCH($B66,'LEAD MASTER'!$A$3:$A$402,0)),"Lead ID not found"))</f>
        <v/>
      </c>
      <c r="D66" s="17"/>
      <c r="E66" s="17"/>
      <c r="F66" s="37"/>
      <c r="G66" s="37"/>
      <c r="H66" s="17"/>
      <c r="I66" s="37"/>
      <c r="J66" s="37"/>
      <c r="K66" s="37"/>
      <c r="L66" s="17"/>
      <c r="M66" s="37"/>
      <c r="N66" s="37"/>
      <c r="O66" s="37"/>
      <c r="P66" s="38"/>
      <c r="Q66" s="37"/>
      <c r="R66" s="17"/>
    </row>
    <row r="67" customFormat="false" ht="15" hidden="false" customHeight="false" outlineLevel="0" collapsed="false">
      <c r="A67" s="37"/>
      <c r="B67" s="37"/>
      <c r="C67" s="41" t="str">
        <f aca="false">IF($B67="","",IFERROR(INDEX('LEAD MASTER'!$E$3:$E$402,MATCH($B67,'LEAD MASTER'!$A$3:$A$402,0)),"Lead ID not found"))</f>
        <v/>
      </c>
      <c r="D67" s="17"/>
      <c r="E67" s="17"/>
      <c r="F67" s="37"/>
      <c r="G67" s="37"/>
      <c r="H67" s="17"/>
      <c r="I67" s="37"/>
      <c r="J67" s="37"/>
      <c r="K67" s="37"/>
      <c r="L67" s="17"/>
      <c r="M67" s="37"/>
      <c r="N67" s="37"/>
      <c r="O67" s="37"/>
      <c r="P67" s="38"/>
      <c r="Q67" s="37"/>
      <c r="R67" s="17"/>
    </row>
    <row r="68" customFormat="false" ht="15" hidden="false" customHeight="false" outlineLevel="0" collapsed="false">
      <c r="A68" s="37"/>
      <c r="B68" s="37"/>
      <c r="C68" s="41" t="str">
        <f aca="false">IF($B68="","",IFERROR(INDEX('LEAD MASTER'!$E$3:$E$402,MATCH($B68,'LEAD MASTER'!$A$3:$A$402,0)),"Lead ID not found"))</f>
        <v/>
      </c>
      <c r="D68" s="17"/>
      <c r="E68" s="17"/>
      <c r="F68" s="37"/>
      <c r="G68" s="37"/>
      <c r="H68" s="17"/>
      <c r="I68" s="37"/>
      <c r="J68" s="37"/>
      <c r="K68" s="37"/>
      <c r="L68" s="17"/>
      <c r="M68" s="37"/>
      <c r="N68" s="37"/>
      <c r="O68" s="37"/>
      <c r="P68" s="38"/>
      <c r="Q68" s="37"/>
      <c r="R68" s="17"/>
    </row>
    <row r="69" customFormat="false" ht="15" hidden="false" customHeight="false" outlineLevel="0" collapsed="false">
      <c r="A69" s="37"/>
      <c r="B69" s="37"/>
      <c r="C69" s="41" t="str">
        <f aca="false">IF($B69="","",IFERROR(INDEX('LEAD MASTER'!$E$3:$E$402,MATCH($B69,'LEAD MASTER'!$A$3:$A$402,0)),"Lead ID not found"))</f>
        <v/>
      </c>
      <c r="D69" s="17"/>
      <c r="E69" s="17"/>
      <c r="F69" s="37"/>
      <c r="G69" s="37"/>
      <c r="H69" s="17"/>
      <c r="I69" s="37"/>
      <c r="J69" s="37"/>
      <c r="K69" s="37"/>
      <c r="L69" s="17"/>
      <c r="M69" s="37"/>
      <c r="N69" s="37"/>
      <c r="O69" s="37"/>
      <c r="P69" s="38"/>
      <c r="Q69" s="37"/>
      <c r="R69" s="17"/>
    </row>
    <row r="70" customFormat="false" ht="15" hidden="false" customHeight="false" outlineLevel="0" collapsed="false">
      <c r="A70" s="37"/>
      <c r="B70" s="37"/>
      <c r="C70" s="41" t="str">
        <f aca="false">IF($B70="","",IFERROR(INDEX('LEAD MASTER'!$E$3:$E$402,MATCH($B70,'LEAD MASTER'!$A$3:$A$402,0)),"Lead ID not found"))</f>
        <v/>
      </c>
      <c r="D70" s="17"/>
      <c r="E70" s="17"/>
      <c r="F70" s="37"/>
      <c r="G70" s="37"/>
      <c r="H70" s="17"/>
      <c r="I70" s="37"/>
      <c r="J70" s="37"/>
      <c r="K70" s="37"/>
      <c r="L70" s="17"/>
      <c r="M70" s="37"/>
      <c r="N70" s="37"/>
      <c r="O70" s="37"/>
      <c r="P70" s="38"/>
      <c r="Q70" s="37"/>
      <c r="R70" s="17"/>
    </row>
    <row r="71" customFormat="false" ht="15" hidden="false" customHeight="false" outlineLevel="0" collapsed="false">
      <c r="A71" s="37"/>
      <c r="B71" s="37"/>
      <c r="C71" s="41" t="str">
        <f aca="false">IF($B71="","",IFERROR(INDEX('LEAD MASTER'!$E$3:$E$402,MATCH($B71,'LEAD MASTER'!$A$3:$A$402,0)),"Lead ID not found"))</f>
        <v/>
      </c>
      <c r="D71" s="17"/>
      <c r="E71" s="17"/>
      <c r="F71" s="37"/>
      <c r="G71" s="37"/>
      <c r="H71" s="17"/>
      <c r="I71" s="37"/>
      <c r="J71" s="37"/>
      <c r="K71" s="37"/>
      <c r="L71" s="17"/>
      <c r="M71" s="37"/>
      <c r="N71" s="37"/>
      <c r="O71" s="37"/>
      <c r="P71" s="38"/>
      <c r="Q71" s="37"/>
      <c r="R71" s="17"/>
    </row>
    <row r="72" customFormat="false" ht="15" hidden="false" customHeight="false" outlineLevel="0" collapsed="false">
      <c r="A72" s="37"/>
      <c r="B72" s="37"/>
      <c r="C72" s="41" t="str">
        <f aca="false">IF($B72="","",IFERROR(INDEX('LEAD MASTER'!$E$3:$E$402,MATCH($B72,'LEAD MASTER'!$A$3:$A$402,0)),"Lead ID not found"))</f>
        <v/>
      </c>
      <c r="D72" s="17"/>
      <c r="E72" s="17"/>
      <c r="F72" s="37"/>
      <c r="G72" s="37"/>
      <c r="H72" s="17"/>
      <c r="I72" s="37"/>
      <c r="J72" s="37"/>
      <c r="K72" s="37"/>
      <c r="L72" s="17"/>
      <c r="M72" s="37"/>
      <c r="N72" s="37"/>
      <c r="O72" s="37"/>
      <c r="P72" s="38"/>
      <c r="Q72" s="37"/>
      <c r="R72" s="17"/>
    </row>
    <row r="73" customFormat="false" ht="15" hidden="false" customHeight="false" outlineLevel="0" collapsed="false">
      <c r="A73" s="37"/>
      <c r="B73" s="37"/>
      <c r="C73" s="41" t="str">
        <f aca="false">IF($B73="","",IFERROR(INDEX('LEAD MASTER'!$E$3:$E$402,MATCH($B73,'LEAD MASTER'!$A$3:$A$402,0)),"Lead ID not found"))</f>
        <v/>
      </c>
      <c r="D73" s="17"/>
      <c r="E73" s="17"/>
      <c r="F73" s="37"/>
      <c r="G73" s="37"/>
      <c r="H73" s="17"/>
      <c r="I73" s="37"/>
      <c r="J73" s="37"/>
      <c r="K73" s="37"/>
      <c r="L73" s="17"/>
      <c r="M73" s="37"/>
      <c r="N73" s="37"/>
      <c r="O73" s="37"/>
      <c r="P73" s="38"/>
      <c r="Q73" s="37"/>
      <c r="R73" s="17"/>
    </row>
    <row r="74" customFormat="false" ht="15" hidden="false" customHeight="false" outlineLevel="0" collapsed="false">
      <c r="A74" s="37"/>
      <c r="B74" s="37"/>
      <c r="C74" s="41" t="str">
        <f aca="false">IF($B74="","",IFERROR(INDEX('LEAD MASTER'!$E$3:$E$402,MATCH($B74,'LEAD MASTER'!$A$3:$A$402,0)),"Lead ID not found"))</f>
        <v/>
      </c>
      <c r="D74" s="17"/>
      <c r="E74" s="17"/>
      <c r="F74" s="37"/>
      <c r="G74" s="37"/>
      <c r="H74" s="17"/>
      <c r="I74" s="37"/>
      <c r="J74" s="37"/>
      <c r="K74" s="37"/>
      <c r="L74" s="17"/>
      <c r="M74" s="37"/>
      <c r="N74" s="37"/>
      <c r="O74" s="37"/>
      <c r="P74" s="38"/>
      <c r="Q74" s="37"/>
      <c r="R74" s="17"/>
    </row>
    <row r="75" customFormat="false" ht="15" hidden="false" customHeight="false" outlineLevel="0" collapsed="false">
      <c r="A75" s="37"/>
      <c r="B75" s="37"/>
      <c r="C75" s="41" t="str">
        <f aca="false">IF($B75="","",IFERROR(INDEX('LEAD MASTER'!$E$3:$E$402,MATCH($B75,'LEAD MASTER'!$A$3:$A$402,0)),"Lead ID not found"))</f>
        <v/>
      </c>
      <c r="D75" s="17"/>
      <c r="E75" s="17"/>
      <c r="F75" s="37"/>
      <c r="G75" s="37"/>
      <c r="H75" s="17"/>
      <c r="I75" s="37"/>
      <c r="J75" s="37"/>
      <c r="K75" s="37"/>
      <c r="L75" s="17"/>
      <c r="M75" s="37"/>
      <c r="N75" s="37"/>
      <c r="O75" s="37"/>
      <c r="P75" s="38"/>
      <c r="Q75" s="37"/>
      <c r="R75" s="17"/>
    </row>
    <row r="76" customFormat="false" ht="15" hidden="false" customHeight="false" outlineLevel="0" collapsed="false">
      <c r="A76" s="37"/>
      <c r="B76" s="37"/>
      <c r="C76" s="41" t="str">
        <f aca="false">IF($B76="","",IFERROR(INDEX('LEAD MASTER'!$E$3:$E$402,MATCH($B76,'LEAD MASTER'!$A$3:$A$402,0)),"Lead ID not found"))</f>
        <v/>
      </c>
      <c r="D76" s="17"/>
      <c r="E76" s="17"/>
      <c r="F76" s="37"/>
      <c r="G76" s="37"/>
      <c r="H76" s="17"/>
      <c r="I76" s="37"/>
      <c r="J76" s="37"/>
      <c r="K76" s="37"/>
      <c r="L76" s="17"/>
      <c r="M76" s="37"/>
      <c r="N76" s="37"/>
      <c r="O76" s="37"/>
      <c r="P76" s="38"/>
      <c r="Q76" s="37"/>
      <c r="R76" s="17"/>
    </row>
    <row r="77" customFormat="false" ht="15" hidden="false" customHeight="false" outlineLevel="0" collapsed="false">
      <c r="A77" s="37"/>
      <c r="B77" s="37"/>
      <c r="C77" s="41" t="str">
        <f aca="false">IF($B77="","",IFERROR(INDEX('LEAD MASTER'!$E$3:$E$402,MATCH($B77,'LEAD MASTER'!$A$3:$A$402,0)),"Lead ID not found"))</f>
        <v/>
      </c>
      <c r="D77" s="17"/>
      <c r="E77" s="17"/>
      <c r="F77" s="37"/>
      <c r="G77" s="37"/>
      <c r="H77" s="17"/>
      <c r="I77" s="37"/>
      <c r="J77" s="37"/>
      <c r="K77" s="37"/>
      <c r="L77" s="17"/>
      <c r="M77" s="37"/>
      <c r="N77" s="37"/>
      <c r="O77" s="37"/>
      <c r="P77" s="38"/>
      <c r="Q77" s="37"/>
      <c r="R77" s="17"/>
    </row>
    <row r="78" customFormat="false" ht="15" hidden="false" customHeight="false" outlineLevel="0" collapsed="false">
      <c r="A78" s="37"/>
      <c r="B78" s="37"/>
      <c r="C78" s="41" t="str">
        <f aca="false">IF($B78="","",IFERROR(INDEX('LEAD MASTER'!$E$3:$E$402,MATCH($B78,'LEAD MASTER'!$A$3:$A$402,0)),"Lead ID not found"))</f>
        <v/>
      </c>
      <c r="D78" s="17"/>
      <c r="E78" s="17"/>
      <c r="F78" s="37"/>
      <c r="G78" s="37"/>
      <c r="H78" s="17"/>
      <c r="I78" s="37"/>
      <c r="J78" s="37"/>
      <c r="K78" s="37"/>
      <c r="L78" s="17"/>
      <c r="M78" s="37"/>
      <c r="N78" s="37"/>
      <c r="O78" s="37"/>
      <c r="P78" s="38"/>
      <c r="Q78" s="37"/>
      <c r="R78" s="17"/>
    </row>
    <row r="79" customFormat="false" ht="15" hidden="false" customHeight="false" outlineLevel="0" collapsed="false">
      <c r="A79" s="37"/>
      <c r="B79" s="37"/>
      <c r="C79" s="41" t="str">
        <f aca="false">IF($B79="","",IFERROR(INDEX('LEAD MASTER'!$E$3:$E$402,MATCH($B79,'LEAD MASTER'!$A$3:$A$402,0)),"Lead ID not found"))</f>
        <v/>
      </c>
      <c r="D79" s="17"/>
      <c r="E79" s="17"/>
      <c r="F79" s="37"/>
      <c r="G79" s="37"/>
      <c r="H79" s="17"/>
      <c r="I79" s="37"/>
      <c r="J79" s="37"/>
      <c r="K79" s="37"/>
      <c r="L79" s="17"/>
      <c r="M79" s="37"/>
      <c r="N79" s="37"/>
      <c r="O79" s="37"/>
      <c r="P79" s="38"/>
      <c r="Q79" s="37"/>
      <c r="R79" s="17"/>
    </row>
    <row r="80" customFormat="false" ht="15" hidden="false" customHeight="false" outlineLevel="0" collapsed="false">
      <c r="A80" s="37"/>
      <c r="B80" s="37"/>
      <c r="C80" s="41" t="str">
        <f aca="false">IF($B80="","",IFERROR(INDEX('LEAD MASTER'!$E$3:$E$402,MATCH($B80,'LEAD MASTER'!$A$3:$A$402,0)),"Lead ID not found"))</f>
        <v/>
      </c>
      <c r="D80" s="17"/>
      <c r="E80" s="17"/>
      <c r="F80" s="37"/>
      <c r="G80" s="37"/>
      <c r="H80" s="17"/>
      <c r="I80" s="37"/>
      <c r="J80" s="37"/>
      <c r="K80" s="37"/>
      <c r="L80" s="17"/>
      <c r="M80" s="37"/>
      <c r="N80" s="37"/>
      <c r="O80" s="37"/>
      <c r="P80" s="38"/>
      <c r="Q80" s="37"/>
      <c r="R80" s="17"/>
    </row>
    <row r="81" customFormat="false" ht="15" hidden="false" customHeight="false" outlineLevel="0" collapsed="false">
      <c r="A81" s="37"/>
      <c r="B81" s="37"/>
      <c r="C81" s="41" t="str">
        <f aca="false">IF($B81="","",IFERROR(INDEX('LEAD MASTER'!$E$3:$E$402,MATCH($B81,'LEAD MASTER'!$A$3:$A$402,0)),"Lead ID not found"))</f>
        <v/>
      </c>
      <c r="D81" s="17"/>
      <c r="E81" s="17"/>
      <c r="F81" s="37"/>
      <c r="G81" s="37"/>
      <c r="H81" s="17"/>
      <c r="I81" s="37"/>
      <c r="J81" s="37"/>
      <c r="K81" s="37"/>
      <c r="L81" s="17"/>
      <c r="M81" s="37"/>
      <c r="N81" s="37"/>
      <c r="O81" s="37"/>
      <c r="P81" s="38"/>
      <c r="Q81" s="37"/>
      <c r="R81" s="17"/>
    </row>
    <row r="82" customFormat="false" ht="15" hidden="false" customHeight="false" outlineLevel="0" collapsed="false">
      <c r="A82" s="37"/>
      <c r="B82" s="37"/>
      <c r="C82" s="41" t="str">
        <f aca="false">IF($B82="","",IFERROR(INDEX('LEAD MASTER'!$E$3:$E$402,MATCH($B82,'LEAD MASTER'!$A$3:$A$402,0)),"Lead ID not found"))</f>
        <v/>
      </c>
      <c r="D82" s="17"/>
      <c r="E82" s="17"/>
      <c r="F82" s="37"/>
      <c r="G82" s="37"/>
      <c r="H82" s="17"/>
      <c r="I82" s="37"/>
      <c r="J82" s="37"/>
      <c r="K82" s="37"/>
      <c r="L82" s="17"/>
      <c r="M82" s="37"/>
      <c r="N82" s="37"/>
      <c r="O82" s="37"/>
      <c r="P82" s="38"/>
      <c r="Q82" s="37"/>
      <c r="R82" s="17"/>
    </row>
    <row r="83" customFormat="false" ht="15" hidden="false" customHeight="false" outlineLevel="0" collapsed="false">
      <c r="A83" s="37"/>
      <c r="B83" s="37"/>
      <c r="C83" s="41" t="str">
        <f aca="false">IF($B83="","",IFERROR(INDEX('LEAD MASTER'!$E$3:$E$402,MATCH($B83,'LEAD MASTER'!$A$3:$A$402,0)),"Lead ID not found"))</f>
        <v/>
      </c>
      <c r="D83" s="17"/>
      <c r="E83" s="17"/>
      <c r="F83" s="37"/>
      <c r="G83" s="37"/>
      <c r="H83" s="17"/>
      <c r="I83" s="37"/>
      <c r="J83" s="37"/>
      <c r="K83" s="37"/>
      <c r="L83" s="17"/>
      <c r="M83" s="37"/>
      <c r="N83" s="37"/>
      <c r="O83" s="37"/>
      <c r="P83" s="38"/>
      <c r="Q83" s="37"/>
      <c r="R83" s="17"/>
    </row>
    <row r="84" customFormat="false" ht="15" hidden="false" customHeight="false" outlineLevel="0" collapsed="false">
      <c r="A84" s="37"/>
      <c r="B84" s="37"/>
      <c r="C84" s="41" t="str">
        <f aca="false">IF($B84="","",IFERROR(INDEX('LEAD MASTER'!$E$3:$E$402,MATCH($B84,'LEAD MASTER'!$A$3:$A$402,0)),"Lead ID not found"))</f>
        <v/>
      </c>
      <c r="D84" s="17"/>
      <c r="E84" s="17"/>
      <c r="F84" s="37"/>
      <c r="G84" s="37"/>
      <c r="H84" s="17"/>
      <c r="I84" s="37"/>
      <c r="J84" s="37"/>
      <c r="K84" s="37"/>
      <c r="L84" s="17"/>
      <c r="M84" s="37"/>
      <c r="N84" s="37"/>
      <c r="O84" s="37"/>
      <c r="P84" s="38"/>
      <c r="Q84" s="37"/>
      <c r="R84" s="17"/>
    </row>
    <row r="85" customFormat="false" ht="15" hidden="false" customHeight="false" outlineLevel="0" collapsed="false">
      <c r="A85" s="37"/>
      <c r="B85" s="37"/>
      <c r="C85" s="41" t="str">
        <f aca="false">IF($B85="","",IFERROR(INDEX('LEAD MASTER'!$E$3:$E$402,MATCH($B85,'LEAD MASTER'!$A$3:$A$402,0)),"Lead ID not found"))</f>
        <v/>
      </c>
      <c r="D85" s="17"/>
      <c r="E85" s="17"/>
      <c r="F85" s="37"/>
      <c r="G85" s="37"/>
      <c r="H85" s="17"/>
      <c r="I85" s="37"/>
      <c r="J85" s="37"/>
      <c r="K85" s="37"/>
      <c r="L85" s="17"/>
      <c r="M85" s="37"/>
      <c r="N85" s="37"/>
      <c r="O85" s="37"/>
      <c r="P85" s="38"/>
      <c r="Q85" s="37"/>
      <c r="R85" s="17"/>
    </row>
    <row r="86" customFormat="false" ht="15" hidden="false" customHeight="false" outlineLevel="0" collapsed="false">
      <c r="A86" s="37"/>
      <c r="B86" s="37"/>
      <c r="C86" s="41" t="str">
        <f aca="false">IF($B86="","",IFERROR(INDEX('LEAD MASTER'!$E$3:$E$402,MATCH($B86,'LEAD MASTER'!$A$3:$A$402,0)),"Lead ID not found"))</f>
        <v/>
      </c>
      <c r="D86" s="17"/>
      <c r="E86" s="17"/>
      <c r="F86" s="37"/>
      <c r="G86" s="37"/>
      <c r="H86" s="17"/>
      <c r="I86" s="37"/>
      <c r="J86" s="37"/>
      <c r="K86" s="37"/>
      <c r="L86" s="17"/>
      <c r="M86" s="37"/>
      <c r="N86" s="37"/>
      <c r="O86" s="37"/>
      <c r="P86" s="38"/>
      <c r="Q86" s="37"/>
      <c r="R86" s="17"/>
    </row>
    <row r="87" customFormat="false" ht="15" hidden="false" customHeight="false" outlineLevel="0" collapsed="false">
      <c r="A87" s="37"/>
      <c r="B87" s="37"/>
      <c r="C87" s="41" t="str">
        <f aca="false">IF($B87="","",IFERROR(INDEX('LEAD MASTER'!$E$3:$E$402,MATCH($B87,'LEAD MASTER'!$A$3:$A$402,0)),"Lead ID not found"))</f>
        <v/>
      </c>
      <c r="D87" s="17"/>
      <c r="E87" s="17"/>
      <c r="F87" s="37"/>
      <c r="G87" s="37"/>
      <c r="H87" s="17"/>
      <c r="I87" s="37"/>
      <c r="J87" s="37"/>
      <c r="K87" s="37"/>
      <c r="L87" s="17"/>
      <c r="M87" s="37"/>
      <c r="N87" s="37"/>
      <c r="O87" s="37"/>
      <c r="P87" s="38"/>
      <c r="Q87" s="37"/>
      <c r="R87" s="17"/>
    </row>
    <row r="88" customFormat="false" ht="15" hidden="false" customHeight="false" outlineLevel="0" collapsed="false">
      <c r="A88" s="37"/>
      <c r="B88" s="37"/>
      <c r="C88" s="41" t="str">
        <f aca="false">IF($B88="","",IFERROR(INDEX('LEAD MASTER'!$E$3:$E$402,MATCH($B88,'LEAD MASTER'!$A$3:$A$402,0)),"Lead ID not found"))</f>
        <v/>
      </c>
      <c r="D88" s="17"/>
      <c r="E88" s="17"/>
      <c r="F88" s="37"/>
      <c r="G88" s="37"/>
      <c r="H88" s="17"/>
      <c r="I88" s="37"/>
      <c r="J88" s="37"/>
      <c r="K88" s="37"/>
      <c r="L88" s="17"/>
      <c r="M88" s="37"/>
      <c r="N88" s="37"/>
      <c r="O88" s="37"/>
      <c r="P88" s="38"/>
      <c r="Q88" s="37"/>
      <c r="R88" s="17"/>
    </row>
    <row r="89" customFormat="false" ht="15" hidden="false" customHeight="false" outlineLevel="0" collapsed="false">
      <c r="A89" s="37"/>
      <c r="B89" s="37"/>
      <c r="C89" s="41" t="str">
        <f aca="false">IF($B89="","",IFERROR(INDEX('LEAD MASTER'!$E$3:$E$402,MATCH($B89,'LEAD MASTER'!$A$3:$A$402,0)),"Lead ID not found"))</f>
        <v/>
      </c>
      <c r="D89" s="17"/>
      <c r="E89" s="17"/>
      <c r="F89" s="37"/>
      <c r="G89" s="37"/>
      <c r="H89" s="17"/>
      <c r="I89" s="37"/>
      <c r="J89" s="37"/>
      <c r="K89" s="37"/>
      <c r="L89" s="17"/>
      <c r="M89" s="37"/>
      <c r="N89" s="37"/>
      <c r="O89" s="37"/>
      <c r="P89" s="38"/>
      <c r="Q89" s="37"/>
      <c r="R89" s="17"/>
    </row>
    <row r="90" customFormat="false" ht="15" hidden="false" customHeight="false" outlineLevel="0" collapsed="false">
      <c r="A90" s="37"/>
      <c r="B90" s="37"/>
      <c r="C90" s="41" t="str">
        <f aca="false">IF($B90="","",IFERROR(INDEX('LEAD MASTER'!$E$3:$E$402,MATCH($B90,'LEAD MASTER'!$A$3:$A$402,0)),"Lead ID not found"))</f>
        <v/>
      </c>
      <c r="D90" s="17"/>
      <c r="E90" s="17"/>
      <c r="F90" s="37"/>
      <c r="G90" s="37"/>
      <c r="H90" s="17"/>
      <c r="I90" s="37"/>
      <c r="J90" s="37"/>
      <c r="K90" s="37"/>
      <c r="L90" s="17"/>
      <c r="M90" s="37"/>
      <c r="N90" s="37"/>
      <c r="O90" s="37"/>
      <c r="P90" s="38"/>
      <c r="Q90" s="37"/>
      <c r="R90" s="17"/>
    </row>
    <row r="91" customFormat="false" ht="15" hidden="false" customHeight="false" outlineLevel="0" collapsed="false">
      <c r="A91" s="37"/>
      <c r="B91" s="37"/>
      <c r="C91" s="41" t="str">
        <f aca="false">IF($B91="","",IFERROR(INDEX('LEAD MASTER'!$E$3:$E$402,MATCH($B91,'LEAD MASTER'!$A$3:$A$402,0)),"Lead ID not found"))</f>
        <v/>
      </c>
      <c r="D91" s="17"/>
      <c r="E91" s="17"/>
      <c r="F91" s="37"/>
      <c r="G91" s="37"/>
      <c r="H91" s="17"/>
      <c r="I91" s="37"/>
      <c r="J91" s="37"/>
      <c r="K91" s="37"/>
      <c r="L91" s="17"/>
      <c r="M91" s="37"/>
      <c r="N91" s="37"/>
      <c r="O91" s="37"/>
      <c r="P91" s="38"/>
      <c r="Q91" s="37"/>
      <c r="R91" s="17"/>
    </row>
    <row r="92" customFormat="false" ht="15" hidden="false" customHeight="false" outlineLevel="0" collapsed="false">
      <c r="A92" s="37"/>
      <c r="B92" s="37"/>
      <c r="C92" s="41" t="str">
        <f aca="false">IF($B92="","",IFERROR(INDEX('LEAD MASTER'!$E$3:$E$402,MATCH($B92,'LEAD MASTER'!$A$3:$A$402,0)),"Lead ID not found"))</f>
        <v/>
      </c>
      <c r="D92" s="17"/>
      <c r="E92" s="17"/>
      <c r="F92" s="37"/>
      <c r="G92" s="37"/>
      <c r="H92" s="17"/>
      <c r="I92" s="37"/>
      <c r="J92" s="37"/>
      <c r="K92" s="37"/>
      <c r="L92" s="17"/>
      <c r="M92" s="37"/>
      <c r="N92" s="37"/>
      <c r="O92" s="37"/>
      <c r="P92" s="38"/>
      <c r="Q92" s="37"/>
      <c r="R92" s="17"/>
    </row>
    <row r="93" customFormat="false" ht="15" hidden="false" customHeight="false" outlineLevel="0" collapsed="false">
      <c r="A93" s="37"/>
      <c r="B93" s="37"/>
      <c r="C93" s="41" t="str">
        <f aca="false">IF($B93="","",IFERROR(INDEX('LEAD MASTER'!$E$3:$E$402,MATCH($B93,'LEAD MASTER'!$A$3:$A$402,0)),"Lead ID not found"))</f>
        <v/>
      </c>
      <c r="D93" s="17"/>
      <c r="E93" s="17"/>
      <c r="F93" s="37"/>
      <c r="G93" s="37"/>
      <c r="H93" s="17"/>
      <c r="I93" s="37"/>
      <c r="J93" s="37"/>
      <c r="K93" s="37"/>
      <c r="L93" s="17"/>
      <c r="M93" s="37"/>
      <c r="N93" s="37"/>
      <c r="O93" s="37"/>
      <c r="P93" s="38"/>
      <c r="Q93" s="37"/>
      <c r="R93" s="17"/>
    </row>
    <row r="94" customFormat="false" ht="15" hidden="false" customHeight="false" outlineLevel="0" collapsed="false">
      <c r="A94" s="37"/>
      <c r="B94" s="37"/>
      <c r="C94" s="41" t="str">
        <f aca="false">IF($B94="","",IFERROR(INDEX('LEAD MASTER'!$E$3:$E$402,MATCH($B94,'LEAD MASTER'!$A$3:$A$402,0)),"Lead ID not found"))</f>
        <v/>
      </c>
      <c r="D94" s="17"/>
      <c r="E94" s="17"/>
      <c r="F94" s="37"/>
      <c r="G94" s="37"/>
      <c r="H94" s="17"/>
      <c r="I94" s="37"/>
      <c r="J94" s="37"/>
      <c r="K94" s="37"/>
      <c r="L94" s="17"/>
      <c r="M94" s="37"/>
      <c r="N94" s="37"/>
      <c r="O94" s="37"/>
      <c r="P94" s="38"/>
      <c r="Q94" s="37"/>
      <c r="R94" s="17"/>
    </row>
    <row r="95" customFormat="false" ht="15" hidden="false" customHeight="false" outlineLevel="0" collapsed="false">
      <c r="A95" s="37"/>
      <c r="B95" s="37"/>
      <c r="C95" s="41" t="str">
        <f aca="false">IF($B95="","",IFERROR(INDEX('LEAD MASTER'!$E$3:$E$402,MATCH($B95,'LEAD MASTER'!$A$3:$A$402,0)),"Lead ID not found"))</f>
        <v/>
      </c>
      <c r="D95" s="17"/>
      <c r="E95" s="17"/>
      <c r="F95" s="37"/>
      <c r="G95" s="37"/>
      <c r="H95" s="17"/>
      <c r="I95" s="37"/>
      <c r="J95" s="37"/>
      <c r="K95" s="37"/>
      <c r="L95" s="17"/>
      <c r="M95" s="37"/>
      <c r="N95" s="37"/>
      <c r="O95" s="37"/>
      <c r="P95" s="38"/>
      <c r="Q95" s="37"/>
      <c r="R95" s="17"/>
    </row>
    <row r="96" customFormat="false" ht="15" hidden="false" customHeight="false" outlineLevel="0" collapsed="false">
      <c r="A96" s="37"/>
      <c r="B96" s="37"/>
      <c r="C96" s="41" t="str">
        <f aca="false">IF($B96="","",IFERROR(INDEX('LEAD MASTER'!$E$3:$E$402,MATCH($B96,'LEAD MASTER'!$A$3:$A$402,0)),"Lead ID not found"))</f>
        <v/>
      </c>
      <c r="D96" s="17"/>
      <c r="E96" s="17"/>
      <c r="F96" s="37"/>
      <c r="G96" s="37"/>
      <c r="H96" s="17"/>
      <c r="I96" s="37"/>
      <c r="J96" s="37"/>
      <c r="K96" s="37"/>
      <c r="L96" s="17"/>
      <c r="M96" s="37"/>
      <c r="N96" s="37"/>
      <c r="O96" s="37"/>
      <c r="P96" s="38"/>
      <c r="Q96" s="37"/>
      <c r="R96" s="17"/>
    </row>
    <row r="97" customFormat="false" ht="15" hidden="false" customHeight="false" outlineLevel="0" collapsed="false">
      <c r="A97" s="37"/>
      <c r="B97" s="37"/>
      <c r="C97" s="41" t="str">
        <f aca="false">IF($B97="","",IFERROR(INDEX('LEAD MASTER'!$E$3:$E$402,MATCH($B97,'LEAD MASTER'!$A$3:$A$402,0)),"Lead ID not found"))</f>
        <v/>
      </c>
      <c r="D97" s="17"/>
      <c r="E97" s="17"/>
      <c r="F97" s="37"/>
      <c r="G97" s="37"/>
      <c r="H97" s="17"/>
      <c r="I97" s="37"/>
      <c r="J97" s="37"/>
      <c r="K97" s="37"/>
      <c r="L97" s="17"/>
      <c r="M97" s="37"/>
      <c r="N97" s="37"/>
      <c r="O97" s="37"/>
      <c r="P97" s="38"/>
      <c r="Q97" s="37"/>
      <c r="R97" s="17"/>
    </row>
    <row r="98" customFormat="false" ht="15" hidden="false" customHeight="false" outlineLevel="0" collapsed="false">
      <c r="A98" s="37"/>
      <c r="B98" s="37"/>
      <c r="C98" s="41" t="str">
        <f aca="false">IF($B98="","",IFERROR(INDEX('LEAD MASTER'!$E$3:$E$402,MATCH($B98,'LEAD MASTER'!$A$3:$A$402,0)),"Lead ID not found"))</f>
        <v/>
      </c>
      <c r="D98" s="17"/>
      <c r="E98" s="17"/>
      <c r="F98" s="37"/>
      <c r="G98" s="37"/>
      <c r="H98" s="17"/>
      <c r="I98" s="37"/>
      <c r="J98" s="37"/>
      <c r="K98" s="37"/>
      <c r="L98" s="17"/>
      <c r="M98" s="37"/>
      <c r="N98" s="37"/>
      <c r="O98" s="37"/>
      <c r="P98" s="38"/>
      <c r="Q98" s="37"/>
      <c r="R98" s="17"/>
    </row>
    <row r="99" customFormat="false" ht="15" hidden="false" customHeight="false" outlineLevel="0" collapsed="false">
      <c r="A99" s="37"/>
      <c r="B99" s="37"/>
      <c r="C99" s="41" t="str">
        <f aca="false">IF($B99="","",IFERROR(INDEX('LEAD MASTER'!$E$3:$E$402,MATCH($B99,'LEAD MASTER'!$A$3:$A$402,0)),"Lead ID not found"))</f>
        <v/>
      </c>
      <c r="D99" s="17"/>
      <c r="E99" s="17"/>
      <c r="F99" s="37"/>
      <c r="G99" s="37"/>
      <c r="H99" s="17"/>
      <c r="I99" s="37"/>
      <c r="J99" s="37"/>
      <c r="K99" s="37"/>
      <c r="L99" s="17"/>
      <c r="M99" s="37"/>
      <c r="N99" s="37"/>
      <c r="O99" s="37"/>
      <c r="P99" s="38"/>
      <c r="Q99" s="37"/>
      <c r="R99" s="17"/>
    </row>
    <row r="100" customFormat="false" ht="15" hidden="false" customHeight="false" outlineLevel="0" collapsed="false">
      <c r="A100" s="37"/>
      <c r="B100" s="37"/>
      <c r="C100" s="41" t="str">
        <f aca="false">IF($B100="","",IFERROR(INDEX('LEAD MASTER'!$E$3:$E$402,MATCH($B100,'LEAD MASTER'!$A$3:$A$402,0)),"Lead ID not found"))</f>
        <v/>
      </c>
      <c r="D100" s="17"/>
      <c r="E100" s="17"/>
      <c r="F100" s="37"/>
      <c r="G100" s="37"/>
      <c r="H100" s="17"/>
      <c r="I100" s="37"/>
      <c r="J100" s="37"/>
      <c r="K100" s="37"/>
      <c r="L100" s="17"/>
      <c r="M100" s="37"/>
      <c r="N100" s="37"/>
      <c r="O100" s="37"/>
      <c r="P100" s="38"/>
      <c r="Q100" s="37"/>
      <c r="R100" s="17"/>
    </row>
    <row r="101" customFormat="false" ht="15" hidden="false" customHeight="false" outlineLevel="0" collapsed="false">
      <c r="A101" s="37"/>
      <c r="B101" s="37"/>
      <c r="C101" s="41" t="str">
        <f aca="false">IF($B101="","",IFERROR(INDEX('LEAD MASTER'!$E$3:$E$402,MATCH($B101,'LEAD MASTER'!$A$3:$A$402,0)),"Lead ID not found"))</f>
        <v/>
      </c>
      <c r="D101" s="17"/>
      <c r="E101" s="17"/>
      <c r="F101" s="37"/>
      <c r="G101" s="37"/>
      <c r="H101" s="17"/>
      <c r="I101" s="37"/>
      <c r="J101" s="37"/>
      <c r="K101" s="37"/>
      <c r="L101" s="17"/>
      <c r="M101" s="37"/>
      <c r="N101" s="37"/>
      <c r="O101" s="37"/>
      <c r="P101" s="38"/>
      <c r="Q101" s="37"/>
      <c r="R101" s="17"/>
    </row>
    <row r="102" customFormat="false" ht="15" hidden="false" customHeight="false" outlineLevel="0" collapsed="false">
      <c r="A102" s="37"/>
      <c r="B102" s="37"/>
      <c r="C102" s="41" t="str">
        <f aca="false">IF($B102="","",IFERROR(INDEX('LEAD MASTER'!$E$3:$E$402,MATCH($B102,'LEAD MASTER'!$A$3:$A$402,0)),"Lead ID not found"))</f>
        <v/>
      </c>
      <c r="D102" s="17"/>
      <c r="E102" s="17"/>
      <c r="F102" s="37"/>
      <c r="G102" s="37"/>
      <c r="H102" s="17"/>
      <c r="I102" s="37"/>
      <c r="J102" s="37"/>
      <c r="K102" s="37"/>
      <c r="L102" s="17"/>
      <c r="M102" s="37"/>
      <c r="N102" s="37"/>
      <c r="O102" s="37"/>
      <c r="P102" s="38"/>
      <c r="Q102" s="37"/>
      <c r="R102" s="17"/>
    </row>
    <row r="103" customFormat="false" ht="15" hidden="false" customHeight="false" outlineLevel="0" collapsed="false">
      <c r="A103" s="37"/>
      <c r="B103" s="37"/>
      <c r="C103" s="41" t="str">
        <f aca="false">IF($B103="","",IFERROR(INDEX('LEAD MASTER'!$E$3:$E$402,MATCH($B103,'LEAD MASTER'!$A$3:$A$402,0)),"Lead ID not found"))</f>
        <v/>
      </c>
      <c r="D103" s="17"/>
      <c r="E103" s="17"/>
      <c r="F103" s="37"/>
      <c r="G103" s="37"/>
      <c r="H103" s="17"/>
      <c r="I103" s="37"/>
      <c r="J103" s="37"/>
      <c r="K103" s="37"/>
      <c r="L103" s="17"/>
      <c r="M103" s="37"/>
      <c r="N103" s="37"/>
      <c r="O103" s="37"/>
      <c r="P103" s="38"/>
      <c r="Q103" s="37"/>
      <c r="R103" s="17"/>
    </row>
    <row r="104" customFormat="false" ht="15" hidden="false" customHeight="false" outlineLevel="0" collapsed="false">
      <c r="A104" s="37"/>
      <c r="B104" s="37"/>
      <c r="C104" s="41" t="str">
        <f aca="false">IF($B104="","",IFERROR(INDEX('LEAD MASTER'!$E$3:$E$402,MATCH($B104,'LEAD MASTER'!$A$3:$A$402,0)),"Lead ID not found"))</f>
        <v/>
      </c>
      <c r="D104" s="17"/>
      <c r="E104" s="17"/>
      <c r="F104" s="37"/>
      <c r="G104" s="37"/>
      <c r="H104" s="17"/>
      <c r="I104" s="37"/>
      <c r="J104" s="37"/>
      <c r="K104" s="37"/>
      <c r="L104" s="17"/>
      <c r="M104" s="37"/>
      <c r="N104" s="37"/>
      <c r="O104" s="37"/>
      <c r="P104" s="38"/>
      <c r="Q104" s="37"/>
      <c r="R104" s="17"/>
    </row>
    <row r="105" customFormat="false" ht="15" hidden="false" customHeight="false" outlineLevel="0" collapsed="false">
      <c r="A105" s="37"/>
      <c r="B105" s="37"/>
      <c r="C105" s="41" t="str">
        <f aca="false">IF($B105="","",IFERROR(INDEX('LEAD MASTER'!$E$3:$E$402,MATCH($B105,'LEAD MASTER'!$A$3:$A$402,0)),"Lead ID not found"))</f>
        <v/>
      </c>
      <c r="D105" s="17"/>
      <c r="E105" s="17"/>
      <c r="F105" s="37"/>
      <c r="G105" s="37"/>
      <c r="H105" s="17"/>
      <c r="I105" s="37"/>
      <c r="J105" s="37"/>
      <c r="K105" s="37"/>
      <c r="L105" s="17"/>
      <c r="M105" s="37"/>
      <c r="N105" s="37"/>
      <c r="O105" s="37"/>
      <c r="P105" s="38"/>
      <c r="Q105" s="37"/>
      <c r="R105" s="17"/>
    </row>
    <row r="106" customFormat="false" ht="15" hidden="false" customHeight="false" outlineLevel="0" collapsed="false">
      <c r="A106" s="37"/>
      <c r="B106" s="37"/>
      <c r="C106" s="41" t="str">
        <f aca="false">IF($B106="","",IFERROR(INDEX('LEAD MASTER'!$E$3:$E$402,MATCH($B106,'LEAD MASTER'!$A$3:$A$402,0)),"Lead ID not found"))</f>
        <v/>
      </c>
      <c r="D106" s="17"/>
      <c r="E106" s="17"/>
      <c r="F106" s="37"/>
      <c r="G106" s="37"/>
      <c r="H106" s="17"/>
      <c r="I106" s="37"/>
      <c r="J106" s="37"/>
      <c r="K106" s="37"/>
      <c r="L106" s="17"/>
      <c r="M106" s="37"/>
      <c r="N106" s="37"/>
      <c r="O106" s="37"/>
      <c r="P106" s="38"/>
      <c r="Q106" s="37"/>
      <c r="R106" s="17"/>
    </row>
    <row r="107" customFormat="false" ht="15" hidden="false" customHeight="false" outlineLevel="0" collapsed="false">
      <c r="A107" s="37"/>
      <c r="B107" s="37"/>
      <c r="C107" s="41" t="str">
        <f aca="false">IF($B107="","",IFERROR(INDEX('LEAD MASTER'!$E$3:$E$402,MATCH($B107,'LEAD MASTER'!$A$3:$A$402,0)),"Lead ID not found"))</f>
        <v/>
      </c>
      <c r="D107" s="17"/>
      <c r="E107" s="17"/>
      <c r="F107" s="37"/>
      <c r="G107" s="37"/>
      <c r="H107" s="17"/>
      <c r="I107" s="37"/>
      <c r="J107" s="37"/>
      <c r="K107" s="37"/>
      <c r="L107" s="17"/>
      <c r="M107" s="37"/>
      <c r="N107" s="37"/>
      <c r="O107" s="37"/>
      <c r="P107" s="38"/>
      <c r="Q107" s="37"/>
      <c r="R107" s="17"/>
    </row>
    <row r="108" customFormat="false" ht="15" hidden="false" customHeight="false" outlineLevel="0" collapsed="false">
      <c r="A108" s="37"/>
      <c r="B108" s="37"/>
      <c r="C108" s="41" t="str">
        <f aca="false">IF($B108="","",IFERROR(INDEX('LEAD MASTER'!$E$3:$E$402,MATCH($B108,'LEAD MASTER'!$A$3:$A$402,0)),"Lead ID not found"))</f>
        <v/>
      </c>
      <c r="D108" s="17"/>
      <c r="E108" s="17"/>
      <c r="F108" s="37"/>
      <c r="G108" s="37"/>
      <c r="H108" s="17"/>
      <c r="I108" s="37"/>
      <c r="J108" s="37"/>
      <c r="K108" s="37"/>
      <c r="L108" s="17"/>
      <c r="M108" s="37"/>
      <c r="N108" s="37"/>
      <c r="O108" s="37"/>
      <c r="P108" s="38"/>
      <c r="Q108" s="37"/>
      <c r="R108" s="17"/>
    </row>
    <row r="109" customFormat="false" ht="15" hidden="false" customHeight="false" outlineLevel="0" collapsed="false">
      <c r="A109" s="37"/>
      <c r="B109" s="37"/>
      <c r="C109" s="41" t="str">
        <f aca="false">IF($B109="","",IFERROR(INDEX('LEAD MASTER'!$E$3:$E$402,MATCH($B109,'LEAD MASTER'!$A$3:$A$402,0)),"Lead ID not found"))</f>
        <v/>
      </c>
      <c r="D109" s="17"/>
      <c r="E109" s="17"/>
      <c r="F109" s="37"/>
      <c r="G109" s="37"/>
      <c r="H109" s="17"/>
      <c r="I109" s="37"/>
      <c r="J109" s="37"/>
      <c r="K109" s="37"/>
      <c r="L109" s="17"/>
      <c r="M109" s="37"/>
      <c r="N109" s="37"/>
      <c r="O109" s="37"/>
      <c r="P109" s="38"/>
      <c r="Q109" s="37"/>
      <c r="R109" s="17"/>
    </row>
    <row r="110" customFormat="false" ht="15" hidden="false" customHeight="false" outlineLevel="0" collapsed="false">
      <c r="A110" s="37"/>
      <c r="B110" s="37"/>
      <c r="C110" s="41" t="str">
        <f aca="false">IF($B110="","",IFERROR(INDEX('LEAD MASTER'!$E$3:$E$402,MATCH($B110,'LEAD MASTER'!$A$3:$A$402,0)),"Lead ID not found"))</f>
        <v/>
      </c>
      <c r="D110" s="17"/>
      <c r="E110" s="17"/>
      <c r="F110" s="37"/>
      <c r="G110" s="37"/>
      <c r="H110" s="17"/>
      <c r="I110" s="37"/>
      <c r="J110" s="37"/>
      <c r="K110" s="37"/>
      <c r="L110" s="17"/>
      <c r="M110" s="37"/>
      <c r="N110" s="37"/>
      <c r="O110" s="37"/>
      <c r="P110" s="38"/>
      <c r="Q110" s="37"/>
      <c r="R110" s="17"/>
    </row>
    <row r="111" customFormat="false" ht="15" hidden="false" customHeight="false" outlineLevel="0" collapsed="false">
      <c r="A111" s="37"/>
      <c r="B111" s="37"/>
      <c r="C111" s="41" t="str">
        <f aca="false">IF($B111="","",IFERROR(INDEX('LEAD MASTER'!$E$3:$E$402,MATCH($B111,'LEAD MASTER'!$A$3:$A$402,0)),"Lead ID not found"))</f>
        <v/>
      </c>
      <c r="D111" s="17"/>
      <c r="E111" s="17"/>
      <c r="F111" s="37"/>
      <c r="G111" s="37"/>
      <c r="H111" s="17"/>
      <c r="I111" s="37"/>
      <c r="J111" s="37"/>
      <c r="K111" s="37"/>
      <c r="L111" s="17"/>
      <c r="M111" s="37"/>
      <c r="N111" s="37"/>
      <c r="O111" s="37"/>
      <c r="P111" s="38"/>
      <c r="Q111" s="37"/>
      <c r="R111" s="17"/>
    </row>
    <row r="112" customFormat="false" ht="15" hidden="false" customHeight="false" outlineLevel="0" collapsed="false">
      <c r="A112" s="37"/>
      <c r="B112" s="37"/>
      <c r="C112" s="41" t="str">
        <f aca="false">IF($B112="","",IFERROR(INDEX('LEAD MASTER'!$E$3:$E$402,MATCH($B112,'LEAD MASTER'!$A$3:$A$402,0)),"Lead ID not found"))</f>
        <v/>
      </c>
      <c r="D112" s="17"/>
      <c r="E112" s="17"/>
      <c r="F112" s="37"/>
      <c r="G112" s="37"/>
      <c r="H112" s="17"/>
      <c r="I112" s="37"/>
      <c r="J112" s="37"/>
      <c r="K112" s="37"/>
      <c r="L112" s="17"/>
      <c r="M112" s="37"/>
      <c r="N112" s="37"/>
      <c r="O112" s="37"/>
      <c r="P112" s="38"/>
      <c r="Q112" s="37"/>
      <c r="R112" s="17"/>
    </row>
    <row r="113" customFormat="false" ht="15" hidden="false" customHeight="false" outlineLevel="0" collapsed="false">
      <c r="A113" s="37"/>
      <c r="B113" s="37"/>
      <c r="C113" s="41" t="str">
        <f aca="false">IF($B113="","",IFERROR(INDEX('LEAD MASTER'!$E$3:$E$402,MATCH($B113,'LEAD MASTER'!$A$3:$A$402,0)),"Lead ID not found"))</f>
        <v/>
      </c>
      <c r="D113" s="17"/>
      <c r="E113" s="17"/>
      <c r="F113" s="37"/>
      <c r="G113" s="37"/>
      <c r="H113" s="17"/>
      <c r="I113" s="37"/>
      <c r="J113" s="37"/>
      <c r="K113" s="37"/>
      <c r="L113" s="17"/>
      <c r="M113" s="37"/>
      <c r="N113" s="37"/>
      <c r="O113" s="37"/>
      <c r="P113" s="38"/>
      <c r="Q113" s="37"/>
      <c r="R113" s="17"/>
    </row>
    <row r="114" customFormat="false" ht="15" hidden="false" customHeight="false" outlineLevel="0" collapsed="false">
      <c r="A114" s="37"/>
      <c r="B114" s="37"/>
      <c r="C114" s="41" t="str">
        <f aca="false">IF($B114="","",IFERROR(INDEX('LEAD MASTER'!$E$3:$E$402,MATCH($B114,'LEAD MASTER'!$A$3:$A$402,0)),"Lead ID not found"))</f>
        <v/>
      </c>
      <c r="D114" s="17"/>
      <c r="E114" s="17"/>
      <c r="F114" s="37"/>
      <c r="G114" s="37"/>
      <c r="H114" s="17"/>
      <c r="I114" s="37"/>
      <c r="J114" s="37"/>
      <c r="K114" s="37"/>
      <c r="L114" s="17"/>
      <c r="M114" s="37"/>
      <c r="N114" s="37"/>
      <c r="O114" s="37"/>
      <c r="P114" s="38"/>
      <c r="Q114" s="37"/>
      <c r="R114" s="17"/>
    </row>
    <row r="115" customFormat="false" ht="15" hidden="false" customHeight="false" outlineLevel="0" collapsed="false">
      <c r="A115" s="37"/>
      <c r="B115" s="37"/>
      <c r="C115" s="41" t="str">
        <f aca="false">IF($B115="","",IFERROR(INDEX('LEAD MASTER'!$E$3:$E$402,MATCH($B115,'LEAD MASTER'!$A$3:$A$402,0)),"Lead ID not found"))</f>
        <v/>
      </c>
      <c r="D115" s="17"/>
      <c r="E115" s="17"/>
      <c r="F115" s="37"/>
      <c r="G115" s="37"/>
      <c r="H115" s="17"/>
      <c r="I115" s="37"/>
      <c r="J115" s="37"/>
      <c r="K115" s="37"/>
      <c r="L115" s="17"/>
      <c r="M115" s="37"/>
      <c r="N115" s="37"/>
      <c r="O115" s="37"/>
      <c r="P115" s="38"/>
      <c r="Q115" s="37"/>
      <c r="R115" s="17"/>
    </row>
    <row r="116" customFormat="false" ht="15" hidden="false" customHeight="false" outlineLevel="0" collapsed="false">
      <c r="A116" s="37"/>
      <c r="B116" s="37"/>
      <c r="C116" s="41" t="str">
        <f aca="false">IF($B116="","",IFERROR(INDEX('LEAD MASTER'!$E$3:$E$402,MATCH($B116,'LEAD MASTER'!$A$3:$A$402,0)),"Lead ID not found"))</f>
        <v/>
      </c>
      <c r="D116" s="17"/>
      <c r="E116" s="17"/>
      <c r="F116" s="37"/>
      <c r="G116" s="37"/>
      <c r="H116" s="17"/>
      <c r="I116" s="37"/>
      <c r="J116" s="37"/>
      <c r="K116" s="37"/>
      <c r="L116" s="17"/>
      <c r="M116" s="37"/>
      <c r="N116" s="37"/>
      <c r="O116" s="37"/>
      <c r="P116" s="38"/>
      <c r="Q116" s="37"/>
      <c r="R116" s="17"/>
    </row>
    <row r="117" customFormat="false" ht="15" hidden="false" customHeight="false" outlineLevel="0" collapsed="false">
      <c r="A117" s="37"/>
      <c r="B117" s="37"/>
      <c r="C117" s="41" t="str">
        <f aca="false">IF($B117="","",IFERROR(INDEX('LEAD MASTER'!$E$3:$E$402,MATCH($B117,'LEAD MASTER'!$A$3:$A$402,0)),"Lead ID not found"))</f>
        <v/>
      </c>
      <c r="D117" s="17"/>
      <c r="E117" s="17"/>
      <c r="F117" s="37"/>
      <c r="G117" s="37"/>
      <c r="H117" s="17"/>
      <c r="I117" s="37"/>
      <c r="J117" s="37"/>
      <c r="K117" s="37"/>
      <c r="L117" s="17"/>
      <c r="M117" s="37"/>
      <c r="N117" s="37"/>
      <c r="O117" s="37"/>
      <c r="P117" s="38"/>
      <c r="Q117" s="37"/>
      <c r="R117" s="17"/>
    </row>
    <row r="118" customFormat="false" ht="15" hidden="false" customHeight="false" outlineLevel="0" collapsed="false">
      <c r="A118" s="37"/>
      <c r="B118" s="37"/>
      <c r="C118" s="41" t="str">
        <f aca="false">IF($B118="","",IFERROR(INDEX('LEAD MASTER'!$E$3:$E$402,MATCH($B118,'LEAD MASTER'!$A$3:$A$402,0)),"Lead ID not found"))</f>
        <v/>
      </c>
      <c r="D118" s="17"/>
      <c r="E118" s="17"/>
      <c r="F118" s="37"/>
      <c r="G118" s="37"/>
      <c r="H118" s="17"/>
      <c r="I118" s="37"/>
      <c r="J118" s="37"/>
      <c r="K118" s="37"/>
      <c r="L118" s="17"/>
      <c r="M118" s="37"/>
      <c r="N118" s="37"/>
      <c r="O118" s="37"/>
      <c r="P118" s="38"/>
      <c r="Q118" s="37"/>
      <c r="R118" s="17"/>
    </row>
    <row r="119" customFormat="false" ht="15" hidden="false" customHeight="false" outlineLevel="0" collapsed="false">
      <c r="A119" s="37"/>
      <c r="B119" s="37"/>
      <c r="C119" s="41" t="str">
        <f aca="false">IF($B119="","",IFERROR(INDEX('LEAD MASTER'!$E$3:$E$402,MATCH($B119,'LEAD MASTER'!$A$3:$A$402,0)),"Lead ID not found"))</f>
        <v/>
      </c>
      <c r="D119" s="17"/>
      <c r="E119" s="17"/>
      <c r="F119" s="37"/>
      <c r="G119" s="37"/>
      <c r="H119" s="17"/>
      <c r="I119" s="37"/>
      <c r="J119" s="37"/>
      <c r="K119" s="37"/>
      <c r="L119" s="17"/>
      <c r="M119" s="37"/>
      <c r="N119" s="37"/>
      <c r="O119" s="37"/>
      <c r="P119" s="38"/>
      <c r="Q119" s="37"/>
      <c r="R119" s="17"/>
    </row>
    <row r="120" customFormat="false" ht="15" hidden="false" customHeight="false" outlineLevel="0" collapsed="false">
      <c r="A120" s="37"/>
      <c r="B120" s="37"/>
      <c r="C120" s="41" t="str">
        <f aca="false">IF($B120="","",IFERROR(INDEX('LEAD MASTER'!$E$3:$E$402,MATCH($B120,'LEAD MASTER'!$A$3:$A$402,0)),"Lead ID not found"))</f>
        <v/>
      </c>
      <c r="D120" s="17"/>
      <c r="E120" s="17"/>
      <c r="F120" s="37"/>
      <c r="G120" s="37"/>
      <c r="H120" s="17"/>
      <c r="I120" s="37"/>
      <c r="J120" s="37"/>
      <c r="K120" s="37"/>
      <c r="L120" s="17"/>
      <c r="M120" s="37"/>
      <c r="N120" s="37"/>
      <c r="O120" s="37"/>
      <c r="P120" s="38"/>
      <c r="Q120" s="37"/>
      <c r="R120" s="17"/>
    </row>
    <row r="121" customFormat="false" ht="15" hidden="false" customHeight="false" outlineLevel="0" collapsed="false">
      <c r="A121" s="37"/>
      <c r="B121" s="37"/>
      <c r="C121" s="41" t="str">
        <f aca="false">IF($B121="","",IFERROR(INDEX('LEAD MASTER'!$E$3:$E$402,MATCH($B121,'LEAD MASTER'!$A$3:$A$402,0)),"Lead ID not found"))</f>
        <v/>
      </c>
      <c r="D121" s="17"/>
      <c r="E121" s="17"/>
      <c r="F121" s="37"/>
      <c r="G121" s="37"/>
      <c r="H121" s="17"/>
      <c r="I121" s="37"/>
      <c r="J121" s="37"/>
      <c r="K121" s="37"/>
      <c r="L121" s="17"/>
      <c r="M121" s="37"/>
      <c r="N121" s="37"/>
      <c r="O121" s="37"/>
      <c r="P121" s="38"/>
      <c r="Q121" s="37"/>
      <c r="R121" s="17"/>
    </row>
    <row r="122" customFormat="false" ht="15" hidden="false" customHeight="false" outlineLevel="0" collapsed="false">
      <c r="A122" s="37"/>
      <c r="B122" s="37"/>
      <c r="C122" s="41" t="str">
        <f aca="false">IF($B122="","",IFERROR(INDEX('LEAD MASTER'!$E$3:$E$402,MATCH($B122,'LEAD MASTER'!$A$3:$A$402,0)),"Lead ID not found"))</f>
        <v/>
      </c>
      <c r="D122" s="17"/>
      <c r="E122" s="17"/>
      <c r="F122" s="37"/>
      <c r="G122" s="37"/>
      <c r="H122" s="17"/>
      <c r="I122" s="37"/>
      <c r="J122" s="37"/>
      <c r="K122" s="37"/>
      <c r="L122" s="17"/>
      <c r="M122" s="37"/>
      <c r="N122" s="37"/>
      <c r="O122" s="37"/>
      <c r="P122" s="38"/>
      <c r="Q122" s="37"/>
      <c r="R122" s="17"/>
    </row>
    <row r="123" customFormat="false" ht="15" hidden="false" customHeight="false" outlineLevel="0" collapsed="false">
      <c r="A123" s="37"/>
      <c r="B123" s="37"/>
      <c r="C123" s="41" t="str">
        <f aca="false">IF($B123="","",IFERROR(INDEX('LEAD MASTER'!$E$3:$E$402,MATCH($B123,'LEAD MASTER'!$A$3:$A$402,0)),"Lead ID not found"))</f>
        <v/>
      </c>
      <c r="D123" s="17"/>
      <c r="E123" s="17"/>
      <c r="F123" s="37"/>
      <c r="G123" s="37"/>
      <c r="H123" s="17"/>
      <c r="I123" s="37"/>
      <c r="J123" s="37"/>
      <c r="K123" s="37"/>
      <c r="L123" s="17"/>
      <c r="M123" s="37"/>
      <c r="N123" s="37"/>
      <c r="O123" s="37"/>
      <c r="P123" s="38"/>
      <c r="Q123" s="37"/>
      <c r="R123" s="17"/>
    </row>
    <row r="124" customFormat="false" ht="15" hidden="false" customHeight="false" outlineLevel="0" collapsed="false">
      <c r="A124" s="37"/>
      <c r="B124" s="37"/>
      <c r="C124" s="41" t="str">
        <f aca="false">IF($B124="","",IFERROR(INDEX('LEAD MASTER'!$E$3:$E$402,MATCH($B124,'LEAD MASTER'!$A$3:$A$402,0)),"Lead ID not found"))</f>
        <v/>
      </c>
      <c r="D124" s="17"/>
      <c r="E124" s="17"/>
      <c r="F124" s="37"/>
      <c r="G124" s="37"/>
      <c r="H124" s="17"/>
      <c r="I124" s="37"/>
      <c r="J124" s="37"/>
      <c r="K124" s="37"/>
      <c r="L124" s="17"/>
      <c r="M124" s="37"/>
      <c r="N124" s="37"/>
      <c r="O124" s="37"/>
      <c r="P124" s="38"/>
      <c r="Q124" s="37"/>
      <c r="R124" s="17"/>
    </row>
    <row r="125" customFormat="false" ht="15" hidden="false" customHeight="false" outlineLevel="0" collapsed="false">
      <c r="A125" s="37"/>
      <c r="B125" s="37"/>
      <c r="C125" s="41" t="str">
        <f aca="false">IF($B125="","",IFERROR(INDEX('LEAD MASTER'!$E$3:$E$402,MATCH($B125,'LEAD MASTER'!$A$3:$A$402,0)),"Lead ID not found"))</f>
        <v/>
      </c>
      <c r="D125" s="17"/>
      <c r="E125" s="17"/>
      <c r="F125" s="37"/>
      <c r="G125" s="37"/>
      <c r="H125" s="17"/>
      <c r="I125" s="37"/>
      <c r="J125" s="37"/>
      <c r="K125" s="37"/>
      <c r="L125" s="17"/>
      <c r="M125" s="37"/>
      <c r="N125" s="37"/>
      <c r="O125" s="37"/>
      <c r="P125" s="38"/>
      <c r="Q125" s="37"/>
      <c r="R125" s="17"/>
    </row>
    <row r="126" customFormat="false" ht="15" hidden="false" customHeight="false" outlineLevel="0" collapsed="false">
      <c r="A126" s="37"/>
      <c r="B126" s="37"/>
      <c r="C126" s="41" t="str">
        <f aca="false">IF($B126="","",IFERROR(INDEX('LEAD MASTER'!$E$3:$E$402,MATCH($B126,'LEAD MASTER'!$A$3:$A$402,0)),"Lead ID not found"))</f>
        <v/>
      </c>
      <c r="D126" s="17"/>
      <c r="E126" s="17"/>
      <c r="F126" s="37"/>
      <c r="G126" s="37"/>
      <c r="H126" s="17"/>
      <c r="I126" s="37"/>
      <c r="J126" s="37"/>
      <c r="K126" s="37"/>
      <c r="L126" s="17"/>
      <c r="M126" s="37"/>
      <c r="N126" s="37"/>
      <c r="O126" s="37"/>
      <c r="P126" s="38"/>
      <c r="Q126" s="37"/>
      <c r="R126" s="17"/>
    </row>
    <row r="127" customFormat="false" ht="15" hidden="false" customHeight="false" outlineLevel="0" collapsed="false">
      <c r="A127" s="37"/>
      <c r="B127" s="37"/>
      <c r="C127" s="41" t="str">
        <f aca="false">IF($B127="","",IFERROR(INDEX('LEAD MASTER'!$E$3:$E$402,MATCH($B127,'LEAD MASTER'!$A$3:$A$402,0)),"Lead ID not found"))</f>
        <v/>
      </c>
      <c r="D127" s="17"/>
      <c r="E127" s="17"/>
      <c r="F127" s="37"/>
      <c r="G127" s="37"/>
      <c r="H127" s="17"/>
      <c r="I127" s="37"/>
      <c r="J127" s="37"/>
      <c r="K127" s="37"/>
      <c r="L127" s="17"/>
      <c r="M127" s="37"/>
      <c r="N127" s="37"/>
      <c r="O127" s="37"/>
      <c r="P127" s="38"/>
      <c r="Q127" s="37"/>
      <c r="R127" s="17"/>
    </row>
    <row r="128" customFormat="false" ht="15" hidden="false" customHeight="false" outlineLevel="0" collapsed="false">
      <c r="A128" s="37"/>
      <c r="B128" s="37"/>
      <c r="C128" s="41" t="str">
        <f aca="false">IF($B128="","",IFERROR(INDEX('LEAD MASTER'!$E$3:$E$402,MATCH($B128,'LEAD MASTER'!$A$3:$A$402,0)),"Lead ID not found"))</f>
        <v/>
      </c>
      <c r="D128" s="17"/>
      <c r="E128" s="17"/>
      <c r="F128" s="37"/>
      <c r="G128" s="37"/>
      <c r="H128" s="17"/>
      <c r="I128" s="37"/>
      <c r="J128" s="37"/>
      <c r="K128" s="37"/>
      <c r="L128" s="17"/>
      <c r="M128" s="37"/>
      <c r="N128" s="37"/>
      <c r="O128" s="37"/>
      <c r="P128" s="38"/>
      <c r="Q128" s="37"/>
      <c r="R128" s="17"/>
    </row>
    <row r="129" customFormat="false" ht="15" hidden="false" customHeight="false" outlineLevel="0" collapsed="false">
      <c r="A129" s="37"/>
      <c r="B129" s="37"/>
      <c r="C129" s="41" t="str">
        <f aca="false">IF($B129="","",IFERROR(INDEX('LEAD MASTER'!$E$3:$E$402,MATCH($B129,'LEAD MASTER'!$A$3:$A$402,0)),"Lead ID not found"))</f>
        <v/>
      </c>
      <c r="D129" s="17"/>
      <c r="E129" s="17"/>
      <c r="F129" s="37"/>
      <c r="G129" s="37"/>
      <c r="H129" s="17"/>
      <c r="I129" s="37"/>
      <c r="J129" s="37"/>
      <c r="K129" s="37"/>
      <c r="L129" s="17"/>
      <c r="M129" s="37"/>
      <c r="N129" s="37"/>
      <c r="O129" s="37"/>
      <c r="P129" s="38"/>
      <c r="Q129" s="37"/>
      <c r="R129" s="17"/>
    </row>
    <row r="130" customFormat="false" ht="15" hidden="false" customHeight="false" outlineLevel="0" collapsed="false">
      <c r="A130" s="37"/>
      <c r="B130" s="37"/>
      <c r="C130" s="41" t="str">
        <f aca="false">IF($B130="","",IFERROR(INDEX('LEAD MASTER'!$E$3:$E$402,MATCH($B130,'LEAD MASTER'!$A$3:$A$402,0)),"Lead ID not found"))</f>
        <v/>
      </c>
      <c r="D130" s="17"/>
      <c r="E130" s="17"/>
      <c r="F130" s="37"/>
      <c r="G130" s="37"/>
      <c r="H130" s="17"/>
      <c r="I130" s="37"/>
      <c r="J130" s="37"/>
      <c r="K130" s="37"/>
      <c r="L130" s="17"/>
      <c r="M130" s="37"/>
      <c r="N130" s="37"/>
      <c r="O130" s="37"/>
      <c r="P130" s="38"/>
      <c r="Q130" s="37"/>
      <c r="R130" s="17"/>
    </row>
    <row r="131" customFormat="false" ht="15" hidden="false" customHeight="false" outlineLevel="0" collapsed="false">
      <c r="A131" s="37"/>
      <c r="B131" s="37"/>
      <c r="C131" s="41" t="str">
        <f aca="false">IF($B131="","",IFERROR(INDEX('LEAD MASTER'!$E$3:$E$402,MATCH($B131,'LEAD MASTER'!$A$3:$A$402,0)),"Lead ID not found"))</f>
        <v/>
      </c>
      <c r="D131" s="17"/>
      <c r="E131" s="17"/>
      <c r="F131" s="37"/>
      <c r="G131" s="37"/>
      <c r="H131" s="17"/>
      <c r="I131" s="37"/>
      <c r="J131" s="37"/>
      <c r="K131" s="37"/>
      <c r="L131" s="17"/>
      <c r="M131" s="37"/>
      <c r="N131" s="37"/>
      <c r="O131" s="37"/>
      <c r="P131" s="38"/>
      <c r="Q131" s="37"/>
      <c r="R131" s="17"/>
    </row>
    <row r="132" customFormat="false" ht="15" hidden="false" customHeight="false" outlineLevel="0" collapsed="false">
      <c r="A132" s="37"/>
      <c r="B132" s="37"/>
      <c r="C132" s="41" t="str">
        <f aca="false">IF($B132="","",IFERROR(INDEX('LEAD MASTER'!$E$3:$E$402,MATCH($B132,'LEAD MASTER'!$A$3:$A$402,0)),"Lead ID not found"))</f>
        <v/>
      </c>
      <c r="D132" s="17"/>
      <c r="E132" s="17"/>
      <c r="F132" s="37"/>
      <c r="G132" s="37"/>
      <c r="H132" s="17"/>
      <c r="I132" s="37"/>
      <c r="J132" s="37"/>
      <c r="K132" s="37"/>
      <c r="L132" s="17"/>
      <c r="M132" s="37"/>
      <c r="N132" s="37"/>
      <c r="O132" s="37"/>
      <c r="P132" s="38"/>
      <c r="Q132" s="37"/>
      <c r="R132" s="17"/>
    </row>
    <row r="133" customFormat="false" ht="15" hidden="false" customHeight="false" outlineLevel="0" collapsed="false">
      <c r="A133" s="37"/>
      <c r="B133" s="37"/>
      <c r="C133" s="41" t="str">
        <f aca="false">IF($B133="","",IFERROR(INDEX('LEAD MASTER'!$E$3:$E$402,MATCH($B133,'LEAD MASTER'!$A$3:$A$402,0)),"Lead ID not found"))</f>
        <v/>
      </c>
      <c r="D133" s="17"/>
      <c r="E133" s="17"/>
      <c r="F133" s="37"/>
      <c r="G133" s="37"/>
      <c r="H133" s="17"/>
      <c r="I133" s="37"/>
      <c r="J133" s="37"/>
      <c r="K133" s="37"/>
      <c r="L133" s="17"/>
      <c r="M133" s="37"/>
      <c r="N133" s="37"/>
      <c r="O133" s="37"/>
      <c r="P133" s="38"/>
      <c r="Q133" s="37"/>
      <c r="R133" s="17"/>
    </row>
    <row r="134" customFormat="false" ht="15" hidden="false" customHeight="false" outlineLevel="0" collapsed="false">
      <c r="A134" s="37"/>
      <c r="B134" s="37"/>
      <c r="C134" s="41" t="str">
        <f aca="false">IF($B134="","",IFERROR(INDEX('LEAD MASTER'!$E$3:$E$402,MATCH($B134,'LEAD MASTER'!$A$3:$A$402,0)),"Lead ID not found"))</f>
        <v/>
      </c>
      <c r="D134" s="17"/>
      <c r="E134" s="17"/>
      <c r="F134" s="37"/>
      <c r="G134" s="37"/>
      <c r="H134" s="17"/>
      <c r="I134" s="37"/>
      <c r="J134" s="37"/>
      <c r="K134" s="37"/>
      <c r="L134" s="17"/>
      <c r="M134" s="37"/>
      <c r="N134" s="37"/>
      <c r="O134" s="37"/>
      <c r="P134" s="38"/>
      <c r="Q134" s="37"/>
      <c r="R134" s="17"/>
    </row>
    <row r="135" customFormat="false" ht="15" hidden="false" customHeight="false" outlineLevel="0" collapsed="false">
      <c r="A135" s="37"/>
      <c r="B135" s="37"/>
      <c r="C135" s="41" t="str">
        <f aca="false">IF($B135="","",IFERROR(INDEX('LEAD MASTER'!$E$3:$E$402,MATCH($B135,'LEAD MASTER'!$A$3:$A$402,0)),"Lead ID not found"))</f>
        <v/>
      </c>
      <c r="D135" s="17"/>
      <c r="E135" s="17"/>
      <c r="F135" s="37"/>
      <c r="G135" s="37"/>
      <c r="H135" s="17"/>
      <c r="I135" s="37"/>
      <c r="J135" s="37"/>
      <c r="K135" s="37"/>
      <c r="L135" s="17"/>
      <c r="M135" s="37"/>
      <c r="N135" s="37"/>
      <c r="O135" s="37"/>
      <c r="P135" s="38"/>
      <c r="Q135" s="37"/>
      <c r="R135" s="17"/>
    </row>
    <row r="136" customFormat="false" ht="15" hidden="false" customHeight="false" outlineLevel="0" collapsed="false">
      <c r="A136" s="37"/>
      <c r="B136" s="37"/>
      <c r="C136" s="41" t="str">
        <f aca="false">IF($B136="","",IFERROR(INDEX('LEAD MASTER'!$E$3:$E$402,MATCH($B136,'LEAD MASTER'!$A$3:$A$402,0)),"Lead ID not found"))</f>
        <v/>
      </c>
      <c r="D136" s="17"/>
      <c r="E136" s="17"/>
      <c r="F136" s="37"/>
      <c r="G136" s="37"/>
      <c r="H136" s="17"/>
      <c r="I136" s="37"/>
      <c r="J136" s="37"/>
      <c r="K136" s="37"/>
      <c r="L136" s="17"/>
      <c r="M136" s="37"/>
      <c r="N136" s="37"/>
      <c r="O136" s="37"/>
      <c r="P136" s="38"/>
      <c r="Q136" s="37"/>
      <c r="R136" s="17"/>
    </row>
    <row r="137" customFormat="false" ht="15" hidden="false" customHeight="false" outlineLevel="0" collapsed="false">
      <c r="A137" s="37"/>
      <c r="B137" s="37"/>
      <c r="C137" s="41" t="str">
        <f aca="false">IF($B137="","",IFERROR(INDEX('LEAD MASTER'!$E$3:$E$402,MATCH($B137,'LEAD MASTER'!$A$3:$A$402,0)),"Lead ID not found"))</f>
        <v/>
      </c>
      <c r="D137" s="17"/>
      <c r="E137" s="17"/>
      <c r="F137" s="37"/>
      <c r="G137" s="37"/>
      <c r="H137" s="17"/>
      <c r="I137" s="37"/>
      <c r="J137" s="37"/>
      <c r="K137" s="37"/>
      <c r="L137" s="17"/>
      <c r="M137" s="37"/>
      <c r="N137" s="37"/>
      <c r="O137" s="37"/>
      <c r="P137" s="38"/>
      <c r="Q137" s="37"/>
      <c r="R137" s="17"/>
    </row>
    <row r="138" customFormat="false" ht="15" hidden="false" customHeight="false" outlineLevel="0" collapsed="false">
      <c r="A138" s="37"/>
      <c r="B138" s="37"/>
      <c r="C138" s="41" t="str">
        <f aca="false">IF($B138="","",IFERROR(INDEX('LEAD MASTER'!$E$3:$E$402,MATCH($B138,'LEAD MASTER'!$A$3:$A$402,0)),"Lead ID not found"))</f>
        <v/>
      </c>
      <c r="D138" s="17"/>
      <c r="E138" s="17"/>
      <c r="F138" s="37"/>
      <c r="G138" s="37"/>
      <c r="H138" s="17"/>
      <c r="I138" s="37"/>
      <c r="J138" s="37"/>
      <c r="K138" s="37"/>
      <c r="L138" s="17"/>
      <c r="M138" s="37"/>
      <c r="N138" s="37"/>
      <c r="O138" s="37"/>
      <c r="P138" s="38"/>
      <c r="Q138" s="37"/>
      <c r="R138" s="17"/>
    </row>
    <row r="139" customFormat="false" ht="15" hidden="false" customHeight="false" outlineLevel="0" collapsed="false">
      <c r="A139" s="37"/>
      <c r="B139" s="37"/>
      <c r="C139" s="41" t="str">
        <f aca="false">IF($B139="","",IFERROR(INDEX('LEAD MASTER'!$E$3:$E$402,MATCH($B139,'LEAD MASTER'!$A$3:$A$402,0)),"Lead ID not found"))</f>
        <v/>
      </c>
      <c r="D139" s="17"/>
      <c r="E139" s="17"/>
      <c r="F139" s="37"/>
      <c r="G139" s="37"/>
      <c r="H139" s="17"/>
      <c r="I139" s="37"/>
      <c r="J139" s="37"/>
      <c r="K139" s="37"/>
      <c r="L139" s="17"/>
      <c r="M139" s="37"/>
      <c r="N139" s="37"/>
      <c r="O139" s="37"/>
      <c r="P139" s="38"/>
      <c r="Q139" s="37"/>
      <c r="R139" s="17"/>
    </row>
    <row r="140" customFormat="false" ht="15" hidden="false" customHeight="false" outlineLevel="0" collapsed="false">
      <c r="A140" s="37"/>
      <c r="B140" s="37"/>
      <c r="C140" s="41" t="str">
        <f aca="false">IF($B140="","",IFERROR(INDEX('LEAD MASTER'!$E$3:$E$402,MATCH($B140,'LEAD MASTER'!$A$3:$A$402,0)),"Lead ID not found"))</f>
        <v/>
      </c>
      <c r="D140" s="17"/>
      <c r="E140" s="17"/>
      <c r="F140" s="37"/>
      <c r="G140" s="37"/>
      <c r="H140" s="17"/>
      <c r="I140" s="37"/>
      <c r="J140" s="37"/>
      <c r="K140" s="37"/>
      <c r="L140" s="17"/>
      <c r="M140" s="37"/>
      <c r="N140" s="37"/>
      <c r="O140" s="37"/>
      <c r="P140" s="38"/>
      <c r="Q140" s="37"/>
      <c r="R140" s="17"/>
    </row>
    <row r="141" customFormat="false" ht="15" hidden="false" customHeight="false" outlineLevel="0" collapsed="false">
      <c r="A141" s="37"/>
      <c r="B141" s="37"/>
      <c r="C141" s="41" t="str">
        <f aca="false">IF($B141="","",IFERROR(INDEX('LEAD MASTER'!$E$3:$E$402,MATCH($B141,'LEAD MASTER'!$A$3:$A$402,0)),"Lead ID not found"))</f>
        <v/>
      </c>
      <c r="D141" s="17"/>
      <c r="E141" s="17"/>
      <c r="F141" s="37"/>
      <c r="G141" s="37"/>
      <c r="H141" s="17"/>
      <c r="I141" s="37"/>
      <c r="J141" s="37"/>
      <c r="K141" s="37"/>
      <c r="L141" s="17"/>
      <c r="M141" s="37"/>
      <c r="N141" s="37"/>
      <c r="O141" s="37"/>
      <c r="P141" s="38"/>
      <c r="Q141" s="37"/>
      <c r="R141" s="17"/>
    </row>
    <row r="142" customFormat="false" ht="15" hidden="false" customHeight="false" outlineLevel="0" collapsed="false">
      <c r="A142" s="37"/>
      <c r="B142" s="37"/>
      <c r="C142" s="41" t="str">
        <f aca="false">IF($B142="","",IFERROR(INDEX('LEAD MASTER'!$E$3:$E$402,MATCH($B142,'LEAD MASTER'!$A$3:$A$402,0)),"Lead ID not found"))</f>
        <v/>
      </c>
      <c r="D142" s="17"/>
      <c r="E142" s="17"/>
      <c r="F142" s="37"/>
      <c r="G142" s="37"/>
      <c r="H142" s="17"/>
      <c r="I142" s="37"/>
      <c r="J142" s="37"/>
      <c r="K142" s="37"/>
      <c r="L142" s="17"/>
      <c r="M142" s="37"/>
      <c r="N142" s="37"/>
      <c r="O142" s="37"/>
      <c r="P142" s="38"/>
      <c r="Q142" s="37"/>
      <c r="R142" s="17"/>
    </row>
    <row r="143" customFormat="false" ht="15" hidden="false" customHeight="false" outlineLevel="0" collapsed="false">
      <c r="A143" s="37"/>
      <c r="B143" s="37"/>
      <c r="C143" s="41" t="str">
        <f aca="false">IF($B143="","",IFERROR(INDEX('LEAD MASTER'!$E$3:$E$402,MATCH($B143,'LEAD MASTER'!$A$3:$A$402,0)),"Lead ID not found"))</f>
        <v/>
      </c>
      <c r="D143" s="17"/>
      <c r="E143" s="17"/>
      <c r="F143" s="37"/>
      <c r="G143" s="37"/>
      <c r="H143" s="17"/>
      <c r="I143" s="37"/>
      <c r="J143" s="37"/>
      <c r="K143" s="37"/>
      <c r="L143" s="17"/>
      <c r="M143" s="37"/>
      <c r="N143" s="37"/>
      <c r="O143" s="37"/>
      <c r="P143" s="38"/>
      <c r="Q143" s="37"/>
      <c r="R143" s="17"/>
    </row>
    <row r="144" customFormat="false" ht="15" hidden="false" customHeight="false" outlineLevel="0" collapsed="false">
      <c r="A144" s="37"/>
      <c r="B144" s="37"/>
      <c r="C144" s="41" t="str">
        <f aca="false">IF($B144="","",IFERROR(INDEX('LEAD MASTER'!$E$3:$E$402,MATCH($B144,'LEAD MASTER'!$A$3:$A$402,0)),"Lead ID not found"))</f>
        <v/>
      </c>
      <c r="D144" s="17"/>
      <c r="E144" s="17"/>
      <c r="F144" s="37"/>
      <c r="G144" s="37"/>
      <c r="H144" s="17"/>
      <c r="I144" s="37"/>
      <c r="J144" s="37"/>
      <c r="K144" s="37"/>
      <c r="L144" s="17"/>
      <c r="M144" s="37"/>
      <c r="N144" s="37"/>
      <c r="O144" s="37"/>
      <c r="P144" s="38"/>
      <c r="Q144" s="37"/>
      <c r="R144" s="17"/>
    </row>
    <row r="145" customFormat="false" ht="15" hidden="false" customHeight="false" outlineLevel="0" collapsed="false">
      <c r="A145" s="37"/>
      <c r="B145" s="37"/>
      <c r="C145" s="41" t="str">
        <f aca="false">IF($B145="","",IFERROR(INDEX('LEAD MASTER'!$E$3:$E$402,MATCH($B145,'LEAD MASTER'!$A$3:$A$402,0)),"Lead ID not found"))</f>
        <v/>
      </c>
      <c r="D145" s="17"/>
      <c r="E145" s="17"/>
      <c r="F145" s="37"/>
      <c r="G145" s="37"/>
      <c r="H145" s="17"/>
      <c r="I145" s="37"/>
      <c r="J145" s="37"/>
      <c r="K145" s="37"/>
      <c r="L145" s="17"/>
      <c r="M145" s="37"/>
      <c r="N145" s="37"/>
      <c r="O145" s="37"/>
      <c r="P145" s="38"/>
      <c r="Q145" s="37"/>
      <c r="R145" s="17"/>
    </row>
    <row r="146" customFormat="false" ht="15" hidden="false" customHeight="false" outlineLevel="0" collapsed="false">
      <c r="A146" s="37"/>
      <c r="B146" s="37"/>
      <c r="C146" s="41" t="str">
        <f aca="false">IF($B146="","",IFERROR(INDEX('LEAD MASTER'!$E$3:$E$402,MATCH($B146,'LEAD MASTER'!$A$3:$A$402,0)),"Lead ID not found"))</f>
        <v/>
      </c>
      <c r="D146" s="17"/>
      <c r="E146" s="17"/>
      <c r="F146" s="37"/>
      <c r="G146" s="37"/>
      <c r="H146" s="17"/>
      <c r="I146" s="37"/>
      <c r="J146" s="37"/>
      <c r="K146" s="37"/>
      <c r="L146" s="17"/>
      <c r="M146" s="37"/>
      <c r="N146" s="37"/>
      <c r="O146" s="37"/>
      <c r="P146" s="38"/>
      <c r="Q146" s="37"/>
      <c r="R146" s="17"/>
    </row>
    <row r="147" customFormat="false" ht="15" hidden="false" customHeight="false" outlineLevel="0" collapsed="false">
      <c r="A147" s="37"/>
      <c r="B147" s="37"/>
      <c r="C147" s="41" t="str">
        <f aca="false">IF($B147="","",IFERROR(INDEX('LEAD MASTER'!$E$3:$E$402,MATCH($B147,'LEAD MASTER'!$A$3:$A$402,0)),"Lead ID not found"))</f>
        <v/>
      </c>
      <c r="D147" s="17"/>
      <c r="E147" s="17"/>
      <c r="F147" s="37"/>
      <c r="G147" s="37"/>
      <c r="H147" s="17"/>
      <c r="I147" s="37"/>
      <c r="J147" s="37"/>
      <c r="K147" s="37"/>
      <c r="L147" s="17"/>
      <c r="M147" s="37"/>
      <c r="N147" s="37"/>
      <c r="O147" s="37"/>
      <c r="P147" s="38"/>
      <c r="Q147" s="37"/>
      <c r="R147" s="17"/>
    </row>
    <row r="148" customFormat="false" ht="15" hidden="false" customHeight="false" outlineLevel="0" collapsed="false">
      <c r="A148" s="37"/>
      <c r="B148" s="37"/>
      <c r="C148" s="41" t="str">
        <f aca="false">IF($B148="","",IFERROR(INDEX('LEAD MASTER'!$E$3:$E$402,MATCH($B148,'LEAD MASTER'!$A$3:$A$402,0)),"Lead ID not found"))</f>
        <v/>
      </c>
      <c r="D148" s="17"/>
      <c r="E148" s="17"/>
      <c r="F148" s="37"/>
      <c r="G148" s="37"/>
      <c r="H148" s="17"/>
      <c r="I148" s="37"/>
      <c r="J148" s="37"/>
      <c r="K148" s="37"/>
      <c r="L148" s="17"/>
      <c r="M148" s="37"/>
      <c r="N148" s="37"/>
      <c r="O148" s="37"/>
      <c r="P148" s="38"/>
      <c r="Q148" s="37"/>
      <c r="R148" s="17"/>
    </row>
    <row r="149" customFormat="false" ht="15" hidden="false" customHeight="false" outlineLevel="0" collapsed="false">
      <c r="A149" s="37"/>
      <c r="B149" s="37"/>
      <c r="C149" s="41" t="str">
        <f aca="false">IF($B149="","",IFERROR(INDEX('LEAD MASTER'!$E$3:$E$402,MATCH($B149,'LEAD MASTER'!$A$3:$A$402,0)),"Lead ID not found"))</f>
        <v/>
      </c>
      <c r="D149" s="17"/>
      <c r="E149" s="17"/>
      <c r="F149" s="37"/>
      <c r="G149" s="37"/>
      <c r="H149" s="17"/>
      <c r="I149" s="37"/>
      <c r="J149" s="37"/>
      <c r="K149" s="37"/>
      <c r="L149" s="17"/>
      <c r="M149" s="37"/>
      <c r="N149" s="37"/>
      <c r="O149" s="37"/>
      <c r="P149" s="38"/>
      <c r="Q149" s="37"/>
      <c r="R149" s="17"/>
    </row>
    <row r="150" customFormat="false" ht="15" hidden="false" customHeight="false" outlineLevel="0" collapsed="false">
      <c r="A150" s="37"/>
      <c r="B150" s="37"/>
      <c r="C150" s="41" t="str">
        <f aca="false">IF($B150="","",IFERROR(INDEX('LEAD MASTER'!$E$3:$E$402,MATCH($B150,'LEAD MASTER'!$A$3:$A$402,0)),"Lead ID not found"))</f>
        <v/>
      </c>
      <c r="D150" s="17"/>
      <c r="E150" s="17"/>
      <c r="F150" s="37"/>
      <c r="G150" s="37"/>
      <c r="H150" s="17"/>
      <c r="I150" s="37"/>
      <c r="J150" s="37"/>
      <c r="K150" s="37"/>
      <c r="L150" s="17"/>
      <c r="M150" s="37"/>
      <c r="N150" s="37"/>
      <c r="O150" s="37"/>
      <c r="P150" s="38"/>
      <c r="Q150" s="37"/>
      <c r="R150" s="17"/>
    </row>
    <row r="151" customFormat="false" ht="15" hidden="false" customHeight="false" outlineLevel="0" collapsed="false">
      <c r="A151" s="37"/>
      <c r="B151" s="37"/>
      <c r="C151" s="41" t="str">
        <f aca="false">IF($B151="","",IFERROR(INDEX('LEAD MASTER'!$E$3:$E$402,MATCH($B151,'LEAD MASTER'!$A$3:$A$402,0)),"Lead ID not found"))</f>
        <v/>
      </c>
      <c r="D151" s="17"/>
      <c r="E151" s="17"/>
      <c r="F151" s="37"/>
      <c r="G151" s="37"/>
      <c r="H151" s="17"/>
      <c r="I151" s="37"/>
      <c r="J151" s="37"/>
      <c r="K151" s="37"/>
      <c r="L151" s="17"/>
      <c r="M151" s="37"/>
      <c r="N151" s="37"/>
      <c r="O151" s="37"/>
      <c r="P151" s="38"/>
      <c r="Q151" s="37"/>
      <c r="R151" s="17"/>
    </row>
    <row r="152" customFormat="false" ht="15" hidden="false" customHeight="false" outlineLevel="0" collapsed="false">
      <c r="A152" s="37"/>
      <c r="B152" s="37"/>
      <c r="C152" s="41" t="str">
        <f aca="false">IF($B152="","",IFERROR(INDEX('LEAD MASTER'!$E$3:$E$402,MATCH($B152,'LEAD MASTER'!$A$3:$A$402,0)),"Lead ID not found"))</f>
        <v/>
      </c>
      <c r="D152" s="17"/>
      <c r="E152" s="17"/>
      <c r="F152" s="37"/>
      <c r="G152" s="37"/>
      <c r="H152" s="17"/>
      <c r="I152" s="37"/>
      <c r="J152" s="37"/>
      <c r="K152" s="37"/>
      <c r="L152" s="17"/>
      <c r="M152" s="37"/>
      <c r="N152" s="37"/>
      <c r="O152" s="37"/>
      <c r="P152" s="38"/>
      <c r="Q152" s="37"/>
      <c r="R152" s="17"/>
    </row>
    <row r="153" customFormat="false" ht="15" hidden="false" customHeight="false" outlineLevel="0" collapsed="false">
      <c r="A153" s="37"/>
      <c r="B153" s="37"/>
      <c r="C153" s="41" t="str">
        <f aca="false">IF($B153="","",IFERROR(INDEX('LEAD MASTER'!$E$3:$E$402,MATCH($B153,'LEAD MASTER'!$A$3:$A$402,0)),"Lead ID not found"))</f>
        <v/>
      </c>
      <c r="D153" s="17"/>
      <c r="E153" s="17"/>
      <c r="F153" s="37"/>
      <c r="G153" s="37"/>
      <c r="H153" s="17"/>
      <c r="I153" s="37"/>
      <c r="J153" s="37"/>
      <c r="K153" s="37"/>
      <c r="L153" s="17"/>
      <c r="M153" s="37"/>
      <c r="N153" s="37"/>
      <c r="O153" s="37"/>
      <c r="P153" s="38"/>
      <c r="Q153" s="37"/>
      <c r="R153" s="17"/>
    </row>
    <row r="154" customFormat="false" ht="15" hidden="false" customHeight="false" outlineLevel="0" collapsed="false">
      <c r="A154" s="37"/>
      <c r="B154" s="37"/>
      <c r="C154" s="41" t="str">
        <f aca="false">IF($B154="","",IFERROR(INDEX('LEAD MASTER'!$E$3:$E$402,MATCH($B154,'LEAD MASTER'!$A$3:$A$402,0)),"Lead ID not found"))</f>
        <v/>
      </c>
      <c r="D154" s="17"/>
      <c r="E154" s="17"/>
      <c r="F154" s="37"/>
      <c r="G154" s="37"/>
      <c r="H154" s="17"/>
      <c r="I154" s="37"/>
      <c r="J154" s="37"/>
      <c r="K154" s="37"/>
      <c r="L154" s="17"/>
      <c r="M154" s="37"/>
      <c r="N154" s="37"/>
      <c r="O154" s="37"/>
      <c r="P154" s="38"/>
      <c r="Q154" s="37"/>
      <c r="R154" s="17"/>
    </row>
    <row r="155" customFormat="false" ht="15" hidden="false" customHeight="false" outlineLevel="0" collapsed="false">
      <c r="A155" s="37"/>
      <c r="B155" s="37"/>
      <c r="C155" s="41" t="str">
        <f aca="false">IF($B155="","",IFERROR(INDEX('LEAD MASTER'!$E$3:$E$402,MATCH($B155,'LEAD MASTER'!$A$3:$A$402,0)),"Lead ID not found"))</f>
        <v/>
      </c>
      <c r="D155" s="17"/>
      <c r="E155" s="17"/>
      <c r="F155" s="37"/>
      <c r="G155" s="37"/>
      <c r="H155" s="17"/>
      <c r="I155" s="37"/>
      <c r="J155" s="37"/>
      <c r="K155" s="37"/>
      <c r="L155" s="17"/>
      <c r="M155" s="37"/>
      <c r="N155" s="37"/>
      <c r="O155" s="37"/>
      <c r="P155" s="38"/>
      <c r="Q155" s="37"/>
      <c r="R155" s="17"/>
    </row>
    <row r="156" customFormat="false" ht="15" hidden="false" customHeight="false" outlineLevel="0" collapsed="false">
      <c r="A156" s="37"/>
      <c r="B156" s="37"/>
      <c r="C156" s="41" t="str">
        <f aca="false">IF($B156="","",IFERROR(INDEX('LEAD MASTER'!$E$3:$E$402,MATCH($B156,'LEAD MASTER'!$A$3:$A$402,0)),"Lead ID not found"))</f>
        <v/>
      </c>
      <c r="D156" s="17"/>
      <c r="E156" s="17"/>
      <c r="F156" s="37"/>
      <c r="G156" s="37"/>
      <c r="H156" s="17"/>
      <c r="I156" s="37"/>
      <c r="J156" s="37"/>
      <c r="K156" s="37"/>
      <c r="L156" s="17"/>
      <c r="M156" s="37"/>
      <c r="N156" s="37"/>
      <c r="O156" s="37"/>
      <c r="P156" s="38"/>
      <c r="Q156" s="37"/>
      <c r="R156" s="17"/>
    </row>
    <row r="157" customFormat="false" ht="15" hidden="false" customHeight="false" outlineLevel="0" collapsed="false">
      <c r="A157" s="37"/>
      <c r="B157" s="37"/>
      <c r="C157" s="41" t="str">
        <f aca="false">IF($B157="","",IFERROR(INDEX('LEAD MASTER'!$E$3:$E$402,MATCH($B157,'LEAD MASTER'!$A$3:$A$402,0)),"Lead ID not found"))</f>
        <v/>
      </c>
      <c r="D157" s="17"/>
      <c r="E157" s="17"/>
      <c r="F157" s="37"/>
      <c r="G157" s="37"/>
      <c r="H157" s="17"/>
      <c r="I157" s="37"/>
      <c r="J157" s="37"/>
      <c r="K157" s="37"/>
      <c r="L157" s="17"/>
      <c r="M157" s="37"/>
      <c r="N157" s="37"/>
      <c r="O157" s="37"/>
      <c r="P157" s="38"/>
      <c r="Q157" s="37"/>
      <c r="R157" s="17"/>
    </row>
    <row r="158" customFormat="false" ht="15" hidden="false" customHeight="false" outlineLevel="0" collapsed="false">
      <c r="A158" s="37"/>
      <c r="B158" s="37"/>
      <c r="C158" s="41" t="str">
        <f aca="false">IF($B158="","",IFERROR(INDEX('LEAD MASTER'!$E$3:$E$402,MATCH($B158,'LEAD MASTER'!$A$3:$A$402,0)),"Lead ID not found"))</f>
        <v/>
      </c>
      <c r="D158" s="17"/>
      <c r="E158" s="17"/>
      <c r="F158" s="37"/>
      <c r="G158" s="37"/>
      <c r="H158" s="17"/>
      <c r="I158" s="37"/>
      <c r="J158" s="37"/>
      <c r="K158" s="37"/>
      <c r="L158" s="17"/>
      <c r="M158" s="37"/>
      <c r="N158" s="37"/>
      <c r="O158" s="37"/>
      <c r="P158" s="38"/>
      <c r="Q158" s="37"/>
      <c r="R158" s="17"/>
    </row>
    <row r="159" customFormat="false" ht="15" hidden="false" customHeight="false" outlineLevel="0" collapsed="false">
      <c r="A159" s="37"/>
      <c r="B159" s="37"/>
      <c r="C159" s="41" t="str">
        <f aca="false">IF($B159="","",IFERROR(INDEX('LEAD MASTER'!$E$3:$E$402,MATCH($B159,'LEAD MASTER'!$A$3:$A$402,0)),"Lead ID not found"))</f>
        <v/>
      </c>
      <c r="D159" s="17"/>
      <c r="E159" s="17"/>
      <c r="F159" s="37"/>
      <c r="G159" s="37"/>
      <c r="H159" s="17"/>
      <c r="I159" s="37"/>
      <c r="J159" s="37"/>
      <c r="K159" s="37"/>
      <c r="L159" s="17"/>
      <c r="M159" s="37"/>
      <c r="N159" s="37"/>
      <c r="O159" s="37"/>
      <c r="P159" s="38"/>
      <c r="Q159" s="37"/>
      <c r="R159" s="17"/>
    </row>
    <row r="160" customFormat="false" ht="15" hidden="false" customHeight="false" outlineLevel="0" collapsed="false">
      <c r="A160" s="37"/>
      <c r="B160" s="37"/>
      <c r="C160" s="41" t="str">
        <f aca="false">IF($B160="","",IFERROR(INDEX('LEAD MASTER'!$E$3:$E$402,MATCH($B160,'LEAD MASTER'!$A$3:$A$402,0)),"Lead ID not found"))</f>
        <v/>
      </c>
      <c r="D160" s="17"/>
      <c r="E160" s="17"/>
      <c r="F160" s="37"/>
      <c r="G160" s="37"/>
      <c r="H160" s="17"/>
      <c r="I160" s="37"/>
      <c r="J160" s="37"/>
      <c r="K160" s="37"/>
      <c r="L160" s="17"/>
      <c r="M160" s="37"/>
      <c r="N160" s="37"/>
      <c r="O160" s="37"/>
      <c r="P160" s="38"/>
      <c r="Q160" s="37"/>
      <c r="R160" s="17"/>
    </row>
    <row r="161" customFormat="false" ht="15" hidden="false" customHeight="false" outlineLevel="0" collapsed="false">
      <c r="A161" s="37"/>
      <c r="B161" s="37"/>
      <c r="C161" s="41" t="str">
        <f aca="false">IF($B161="","",IFERROR(INDEX('LEAD MASTER'!$E$3:$E$402,MATCH($B161,'LEAD MASTER'!$A$3:$A$402,0)),"Lead ID not found"))</f>
        <v/>
      </c>
      <c r="D161" s="17"/>
      <c r="E161" s="17"/>
      <c r="F161" s="37"/>
      <c r="G161" s="37"/>
      <c r="H161" s="17"/>
      <c r="I161" s="37"/>
      <c r="J161" s="37"/>
      <c r="K161" s="37"/>
      <c r="L161" s="17"/>
      <c r="M161" s="37"/>
      <c r="N161" s="37"/>
      <c r="O161" s="37"/>
      <c r="P161" s="38"/>
      <c r="Q161" s="37"/>
      <c r="R161" s="17"/>
    </row>
    <row r="162" customFormat="false" ht="15" hidden="false" customHeight="false" outlineLevel="0" collapsed="false">
      <c r="A162" s="37"/>
      <c r="B162" s="37"/>
      <c r="C162" s="41" t="str">
        <f aca="false">IF($B162="","",IFERROR(INDEX('LEAD MASTER'!$E$3:$E$402,MATCH($B162,'LEAD MASTER'!$A$3:$A$402,0)),"Lead ID not found"))</f>
        <v/>
      </c>
      <c r="D162" s="17"/>
      <c r="E162" s="17"/>
      <c r="F162" s="37"/>
      <c r="G162" s="37"/>
      <c r="H162" s="17"/>
      <c r="I162" s="37"/>
      <c r="J162" s="37"/>
      <c r="K162" s="37"/>
      <c r="L162" s="17"/>
      <c r="M162" s="37"/>
      <c r="N162" s="37"/>
      <c r="O162" s="37"/>
      <c r="P162" s="38"/>
      <c r="Q162" s="37"/>
      <c r="R162" s="17"/>
    </row>
    <row r="163" customFormat="false" ht="15" hidden="false" customHeight="false" outlineLevel="0" collapsed="false">
      <c r="A163" s="37"/>
      <c r="B163" s="37"/>
      <c r="C163" s="41" t="str">
        <f aca="false">IF($B163="","",IFERROR(INDEX('LEAD MASTER'!$E$3:$E$402,MATCH($B163,'LEAD MASTER'!$A$3:$A$402,0)),"Lead ID not found"))</f>
        <v/>
      </c>
      <c r="D163" s="17"/>
      <c r="E163" s="17"/>
      <c r="F163" s="37"/>
      <c r="G163" s="37"/>
      <c r="H163" s="17"/>
      <c r="I163" s="37"/>
      <c r="J163" s="37"/>
      <c r="K163" s="37"/>
      <c r="L163" s="17"/>
      <c r="M163" s="37"/>
      <c r="N163" s="37"/>
      <c r="O163" s="37"/>
      <c r="P163" s="38"/>
      <c r="Q163" s="37"/>
      <c r="R163" s="17"/>
    </row>
    <row r="164" customFormat="false" ht="15" hidden="false" customHeight="false" outlineLevel="0" collapsed="false">
      <c r="A164" s="37"/>
      <c r="B164" s="37"/>
      <c r="C164" s="41" t="str">
        <f aca="false">IF($B164="","",IFERROR(INDEX('LEAD MASTER'!$E$3:$E$402,MATCH($B164,'LEAD MASTER'!$A$3:$A$402,0)),"Lead ID not found"))</f>
        <v/>
      </c>
      <c r="D164" s="17"/>
      <c r="E164" s="17"/>
      <c r="F164" s="37"/>
      <c r="G164" s="37"/>
      <c r="H164" s="17"/>
      <c r="I164" s="37"/>
      <c r="J164" s="37"/>
      <c r="K164" s="37"/>
      <c r="L164" s="17"/>
      <c r="M164" s="37"/>
      <c r="N164" s="37"/>
      <c r="O164" s="37"/>
      <c r="P164" s="38"/>
      <c r="Q164" s="37"/>
      <c r="R164" s="17"/>
    </row>
    <row r="165" customFormat="false" ht="15" hidden="false" customHeight="false" outlineLevel="0" collapsed="false">
      <c r="A165" s="37"/>
      <c r="B165" s="37"/>
      <c r="C165" s="41" t="str">
        <f aca="false">IF($B165="","",IFERROR(INDEX('LEAD MASTER'!$E$3:$E$402,MATCH($B165,'LEAD MASTER'!$A$3:$A$402,0)),"Lead ID not found"))</f>
        <v/>
      </c>
      <c r="D165" s="17"/>
      <c r="E165" s="17"/>
      <c r="F165" s="37"/>
      <c r="G165" s="37"/>
      <c r="H165" s="17"/>
      <c r="I165" s="37"/>
      <c r="J165" s="37"/>
      <c r="K165" s="37"/>
      <c r="L165" s="17"/>
      <c r="M165" s="37"/>
      <c r="N165" s="37"/>
      <c r="O165" s="37"/>
      <c r="P165" s="38"/>
      <c r="Q165" s="37"/>
      <c r="R165" s="17"/>
    </row>
    <row r="166" customFormat="false" ht="15" hidden="false" customHeight="false" outlineLevel="0" collapsed="false">
      <c r="A166" s="37"/>
      <c r="B166" s="37"/>
      <c r="C166" s="41" t="str">
        <f aca="false">IF($B166="","",IFERROR(INDEX('LEAD MASTER'!$E$3:$E$402,MATCH($B166,'LEAD MASTER'!$A$3:$A$402,0)),"Lead ID not found"))</f>
        <v/>
      </c>
      <c r="D166" s="17"/>
      <c r="E166" s="17"/>
      <c r="F166" s="37"/>
      <c r="G166" s="37"/>
      <c r="H166" s="17"/>
      <c r="I166" s="37"/>
      <c r="J166" s="37"/>
      <c r="K166" s="37"/>
      <c r="L166" s="17"/>
      <c r="M166" s="37"/>
      <c r="N166" s="37"/>
      <c r="O166" s="37"/>
      <c r="P166" s="38"/>
      <c r="Q166" s="37"/>
      <c r="R166" s="17"/>
    </row>
    <row r="167" customFormat="false" ht="15" hidden="false" customHeight="false" outlineLevel="0" collapsed="false">
      <c r="A167" s="37"/>
      <c r="B167" s="37"/>
      <c r="C167" s="41" t="str">
        <f aca="false">IF($B167="","",IFERROR(INDEX('LEAD MASTER'!$E$3:$E$402,MATCH($B167,'LEAD MASTER'!$A$3:$A$402,0)),"Lead ID not found"))</f>
        <v/>
      </c>
      <c r="D167" s="17"/>
      <c r="E167" s="17"/>
      <c r="F167" s="37"/>
      <c r="G167" s="37"/>
      <c r="H167" s="17"/>
      <c r="I167" s="37"/>
      <c r="J167" s="37"/>
      <c r="K167" s="37"/>
      <c r="L167" s="17"/>
      <c r="M167" s="37"/>
      <c r="N167" s="37"/>
      <c r="O167" s="37"/>
      <c r="P167" s="38"/>
      <c r="Q167" s="37"/>
      <c r="R167" s="17"/>
    </row>
    <row r="168" customFormat="false" ht="15" hidden="false" customHeight="false" outlineLevel="0" collapsed="false">
      <c r="A168" s="37"/>
      <c r="B168" s="37"/>
      <c r="C168" s="41" t="str">
        <f aca="false">IF($B168="","",IFERROR(INDEX('LEAD MASTER'!$E$3:$E$402,MATCH($B168,'LEAD MASTER'!$A$3:$A$402,0)),"Lead ID not found"))</f>
        <v/>
      </c>
      <c r="D168" s="17"/>
      <c r="E168" s="17"/>
      <c r="F168" s="37"/>
      <c r="G168" s="37"/>
      <c r="H168" s="17"/>
      <c r="I168" s="37"/>
      <c r="J168" s="37"/>
      <c r="K168" s="37"/>
      <c r="L168" s="17"/>
      <c r="M168" s="37"/>
      <c r="N168" s="37"/>
      <c r="O168" s="37"/>
      <c r="P168" s="38"/>
      <c r="Q168" s="37"/>
      <c r="R168" s="17"/>
    </row>
    <row r="169" customFormat="false" ht="15" hidden="false" customHeight="false" outlineLevel="0" collapsed="false">
      <c r="A169" s="37"/>
      <c r="B169" s="37"/>
      <c r="C169" s="41" t="str">
        <f aca="false">IF($B169="","",IFERROR(INDEX('LEAD MASTER'!$E$3:$E$402,MATCH($B169,'LEAD MASTER'!$A$3:$A$402,0)),"Lead ID not found"))</f>
        <v/>
      </c>
      <c r="D169" s="17"/>
      <c r="E169" s="17"/>
      <c r="F169" s="37"/>
      <c r="G169" s="37"/>
      <c r="H169" s="17"/>
      <c r="I169" s="37"/>
      <c r="J169" s="37"/>
      <c r="K169" s="37"/>
      <c r="L169" s="17"/>
      <c r="M169" s="37"/>
      <c r="N169" s="37"/>
      <c r="O169" s="37"/>
      <c r="P169" s="38"/>
      <c r="Q169" s="37"/>
      <c r="R169" s="17"/>
    </row>
    <row r="170" customFormat="false" ht="15" hidden="false" customHeight="false" outlineLevel="0" collapsed="false">
      <c r="A170" s="37"/>
      <c r="B170" s="37"/>
      <c r="C170" s="41" t="str">
        <f aca="false">IF($B170="","",IFERROR(INDEX('LEAD MASTER'!$E$3:$E$402,MATCH($B170,'LEAD MASTER'!$A$3:$A$402,0)),"Lead ID not found"))</f>
        <v/>
      </c>
      <c r="D170" s="17"/>
      <c r="E170" s="17"/>
      <c r="F170" s="37"/>
      <c r="G170" s="37"/>
      <c r="H170" s="17"/>
      <c r="I170" s="37"/>
      <c r="J170" s="37"/>
      <c r="K170" s="37"/>
      <c r="L170" s="17"/>
      <c r="M170" s="37"/>
      <c r="N170" s="37"/>
      <c r="O170" s="37"/>
      <c r="P170" s="38"/>
      <c r="Q170" s="37"/>
      <c r="R170" s="17"/>
    </row>
    <row r="171" customFormat="false" ht="15" hidden="false" customHeight="false" outlineLevel="0" collapsed="false">
      <c r="A171" s="37"/>
      <c r="B171" s="37"/>
      <c r="C171" s="41" t="str">
        <f aca="false">IF($B171="","",IFERROR(INDEX('LEAD MASTER'!$E$3:$E$402,MATCH($B171,'LEAD MASTER'!$A$3:$A$402,0)),"Lead ID not found"))</f>
        <v/>
      </c>
      <c r="D171" s="17"/>
      <c r="E171" s="17"/>
      <c r="F171" s="37"/>
      <c r="G171" s="37"/>
      <c r="H171" s="17"/>
      <c r="I171" s="37"/>
      <c r="J171" s="37"/>
      <c r="K171" s="37"/>
      <c r="L171" s="17"/>
      <c r="M171" s="37"/>
      <c r="N171" s="37"/>
      <c r="O171" s="37"/>
      <c r="P171" s="38"/>
      <c r="Q171" s="37"/>
      <c r="R171" s="17"/>
    </row>
    <row r="172" customFormat="false" ht="15" hidden="false" customHeight="false" outlineLevel="0" collapsed="false">
      <c r="A172" s="37"/>
      <c r="B172" s="37"/>
      <c r="C172" s="41" t="str">
        <f aca="false">IF($B172="","",IFERROR(INDEX('LEAD MASTER'!$E$3:$E$402,MATCH($B172,'LEAD MASTER'!$A$3:$A$402,0)),"Lead ID not found"))</f>
        <v/>
      </c>
      <c r="D172" s="17"/>
      <c r="E172" s="17"/>
      <c r="F172" s="37"/>
      <c r="G172" s="37"/>
      <c r="H172" s="17"/>
      <c r="I172" s="37"/>
      <c r="J172" s="37"/>
      <c r="K172" s="37"/>
      <c r="L172" s="17"/>
      <c r="M172" s="37"/>
      <c r="N172" s="37"/>
      <c r="O172" s="37"/>
      <c r="P172" s="38"/>
      <c r="Q172" s="37"/>
      <c r="R172" s="17"/>
    </row>
    <row r="173" customFormat="false" ht="15" hidden="false" customHeight="false" outlineLevel="0" collapsed="false">
      <c r="A173" s="37"/>
      <c r="B173" s="37"/>
      <c r="C173" s="41" t="str">
        <f aca="false">IF($B173="","",IFERROR(INDEX('LEAD MASTER'!$E$3:$E$402,MATCH($B173,'LEAD MASTER'!$A$3:$A$402,0)),"Lead ID not found"))</f>
        <v/>
      </c>
      <c r="D173" s="17"/>
      <c r="E173" s="17"/>
      <c r="F173" s="37"/>
      <c r="G173" s="37"/>
      <c r="H173" s="17"/>
      <c r="I173" s="37"/>
      <c r="J173" s="37"/>
      <c r="K173" s="37"/>
      <c r="L173" s="17"/>
      <c r="M173" s="37"/>
      <c r="N173" s="37"/>
      <c r="O173" s="37"/>
      <c r="P173" s="38"/>
      <c r="Q173" s="37"/>
      <c r="R173" s="17"/>
    </row>
    <row r="174" customFormat="false" ht="15" hidden="false" customHeight="false" outlineLevel="0" collapsed="false">
      <c r="A174" s="37"/>
      <c r="B174" s="37"/>
      <c r="C174" s="41" t="str">
        <f aca="false">IF($B174="","",IFERROR(INDEX('LEAD MASTER'!$E$3:$E$402,MATCH($B174,'LEAD MASTER'!$A$3:$A$402,0)),"Lead ID not found"))</f>
        <v/>
      </c>
      <c r="D174" s="17"/>
      <c r="E174" s="17"/>
      <c r="F174" s="37"/>
      <c r="G174" s="37"/>
      <c r="H174" s="17"/>
      <c r="I174" s="37"/>
      <c r="J174" s="37"/>
      <c r="K174" s="37"/>
      <c r="L174" s="17"/>
      <c r="M174" s="37"/>
      <c r="N174" s="37"/>
      <c r="O174" s="37"/>
      <c r="P174" s="38"/>
      <c r="Q174" s="37"/>
      <c r="R174" s="17"/>
    </row>
    <row r="175" customFormat="false" ht="15" hidden="false" customHeight="false" outlineLevel="0" collapsed="false">
      <c r="A175" s="37"/>
      <c r="B175" s="37"/>
      <c r="C175" s="41" t="str">
        <f aca="false">IF($B175="","",IFERROR(INDEX('LEAD MASTER'!$E$3:$E$402,MATCH($B175,'LEAD MASTER'!$A$3:$A$402,0)),"Lead ID not found"))</f>
        <v/>
      </c>
      <c r="D175" s="17"/>
      <c r="E175" s="17"/>
      <c r="F175" s="37"/>
      <c r="G175" s="37"/>
      <c r="H175" s="17"/>
      <c r="I175" s="37"/>
      <c r="J175" s="37"/>
      <c r="K175" s="37"/>
      <c r="L175" s="17"/>
      <c r="M175" s="37"/>
      <c r="N175" s="37"/>
      <c r="O175" s="37"/>
      <c r="P175" s="38"/>
      <c r="Q175" s="37"/>
      <c r="R175" s="17"/>
    </row>
    <row r="176" customFormat="false" ht="15" hidden="false" customHeight="false" outlineLevel="0" collapsed="false">
      <c r="A176" s="37"/>
      <c r="B176" s="37"/>
      <c r="C176" s="41" t="str">
        <f aca="false">IF($B176="","",IFERROR(INDEX('LEAD MASTER'!$E$3:$E$402,MATCH($B176,'LEAD MASTER'!$A$3:$A$402,0)),"Lead ID not found"))</f>
        <v/>
      </c>
      <c r="D176" s="17"/>
      <c r="E176" s="17"/>
      <c r="F176" s="37"/>
      <c r="G176" s="37"/>
      <c r="H176" s="17"/>
      <c r="I176" s="37"/>
      <c r="J176" s="37"/>
      <c r="K176" s="37"/>
      <c r="L176" s="17"/>
      <c r="M176" s="37"/>
      <c r="N176" s="37"/>
      <c r="O176" s="37"/>
      <c r="P176" s="38"/>
      <c r="Q176" s="37"/>
      <c r="R176" s="17"/>
    </row>
    <row r="177" customFormat="false" ht="15" hidden="false" customHeight="false" outlineLevel="0" collapsed="false">
      <c r="A177" s="37"/>
      <c r="B177" s="37"/>
      <c r="C177" s="41" t="str">
        <f aca="false">IF($B177="","",IFERROR(INDEX('LEAD MASTER'!$E$3:$E$402,MATCH($B177,'LEAD MASTER'!$A$3:$A$402,0)),"Lead ID not found"))</f>
        <v/>
      </c>
      <c r="D177" s="17"/>
      <c r="E177" s="17"/>
      <c r="F177" s="37"/>
      <c r="G177" s="37"/>
      <c r="H177" s="17"/>
      <c r="I177" s="37"/>
      <c r="J177" s="37"/>
      <c r="K177" s="37"/>
      <c r="L177" s="17"/>
      <c r="M177" s="37"/>
      <c r="N177" s="37"/>
      <c r="O177" s="37"/>
      <c r="P177" s="38"/>
      <c r="Q177" s="37"/>
      <c r="R177" s="17"/>
    </row>
    <row r="178" customFormat="false" ht="15" hidden="false" customHeight="false" outlineLevel="0" collapsed="false">
      <c r="A178" s="37"/>
      <c r="B178" s="37"/>
      <c r="C178" s="41" t="str">
        <f aca="false">IF($B178="","",IFERROR(INDEX('LEAD MASTER'!$E$3:$E$402,MATCH($B178,'LEAD MASTER'!$A$3:$A$402,0)),"Lead ID not found"))</f>
        <v/>
      </c>
      <c r="D178" s="17"/>
      <c r="E178" s="17"/>
      <c r="F178" s="37"/>
      <c r="G178" s="37"/>
      <c r="H178" s="17"/>
      <c r="I178" s="37"/>
      <c r="J178" s="37"/>
      <c r="K178" s="37"/>
      <c r="L178" s="17"/>
      <c r="M178" s="37"/>
      <c r="N178" s="37"/>
      <c r="O178" s="37"/>
      <c r="P178" s="38"/>
      <c r="Q178" s="37"/>
      <c r="R178" s="17"/>
    </row>
    <row r="179" customFormat="false" ht="15" hidden="false" customHeight="false" outlineLevel="0" collapsed="false">
      <c r="A179" s="37"/>
      <c r="B179" s="37"/>
      <c r="C179" s="41" t="str">
        <f aca="false">IF($B179="","",IFERROR(INDEX('LEAD MASTER'!$E$3:$E$402,MATCH($B179,'LEAD MASTER'!$A$3:$A$402,0)),"Lead ID not found"))</f>
        <v/>
      </c>
      <c r="D179" s="17"/>
      <c r="E179" s="17"/>
      <c r="F179" s="37"/>
      <c r="G179" s="37"/>
      <c r="H179" s="17"/>
      <c r="I179" s="37"/>
      <c r="J179" s="37"/>
      <c r="K179" s="37"/>
      <c r="L179" s="17"/>
      <c r="M179" s="37"/>
      <c r="N179" s="37"/>
      <c r="O179" s="37"/>
      <c r="P179" s="38"/>
      <c r="Q179" s="37"/>
      <c r="R179" s="17"/>
    </row>
    <row r="180" customFormat="false" ht="15" hidden="false" customHeight="false" outlineLevel="0" collapsed="false">
      <c r="A180" s="37"/>
      <c r="B180" s="37"/>
      <c r="C180" s="41" t="str">
        <f aca="false">IF($B180="","",IFERROR(INDEX('LEAD MASTER'!$E$3:$E$402,MATCH($B180,'LEAD MASTER'!$A$3:$A$402,0)),"Lead ID not found"))</f>
        <v/>
      </c>
      <c r="D180" s="17"/>
      <c r="E180" s="17"/>
      <c r="F180" s="37"/>
      <c r="G180" s="37"/>
      <c r="H180" s="17"/>
      <c r="I180" s="37"/>
      <c r="J180" s="37"/>
      <c r="K180" s="37"/>
      <c r="L180" s="17"/>
      <c r="M180" s="37"/>
      <c r="N180" s="37"/>
      <c r="O180" s="37"/>
      <c r="P180" s="38"/>
      <c r="Q180" s="37"/>
      <c r="R180" s="17"/>
    </row>
    <row r="181" customFormat="false" ht="15" hidden="false" customHeight="false" outlineLevel="0" collapsed="false">
      <c r="A181" s="37"/>
      <c r="B181" s="37"/>
      <c r="C181" s="41" t="str">
        <f aca="false">IF($B181="","",IFERROR(INDEX('LEAD MASTER'!$E$3:$E$402,MATCH($B181,'LEAD MASTER'!$A$3:$A$402,0)),"Lead ID not found"))</f>
        <v/>
      </c>
      <c r="D181" s="17"/>
      <c r="E181" s="17"/>
      <c r="F181" s="37"/>
      <c r="G181" s="37"/>
      <c r="H181" s="17"/>
      <c r="I181" s="37"/>
      <c r="J181" s="37"/>
      <c r="K181" s="37"/>
      <c r="L181" s="17"/>
      <c r="M181" s="37"/>
      <c r="N181" s="37"/>
      <c r="O181" s="37"/>
      <c r="P181" s="38"/>
      <c r="Q181" s="37"/>
      <c r="R181" s="17"/>
    </row>
    <row r="182" customFormat="false" ht="15" hidden="false" customHeight="false" outlineLevel="0" collapsed="false">
      <c r="A182" s="37"/>
      <c r="B182" s="37"/>
      <c r="C182" s="41" t="str">
        <f aca="false">IF($B182="","",IFERROR(INDEX('LEAD MASTER'!$E$3:$E$402,MATCH($B182,'LEAD MASTER'!$A$3:$A$402,0)),"Lead ID not found"))</f>
        <v/>
      </c>
      <c r="D182" s="17"/>
      <c r="E182" s="17"/>
      <c r="F182" s="37"/>
      <c r="G182" s="37"/>
      <c r="H182" s="17"/>
      <c r="I182" s="37"/>
      <c r="J182" s="37"/>
      <c r="K182" s="37"/>
      <c r="L182" s="17"/>
      <c r="M182" s="37"/>
      <c r="N182" s="37"/>
      <c r="O182" s="37"/>
      <c r="P182" s="38"/>
      <c r="Q182" s="37"/>
      <c r="R182" s="17"/>
    </row>
    <row r="183" customFormat="false" ht="15" hidden="false" customHeight="false" outlineLevel="0" collapsed="false">
      <c r="A183" s="37"/>
      <c r="B183" s="37"/>
      <c r="C183" s="41" t="str">
        <f aca="false">IF($B183="","",IFERROR(INDEX('LEAD MASTER'!$E$3:$E$402,MATCH($B183,'LEAD MASTER'!$A$3:$A$402,0)),"Lead ID not found"))</f>
        <v/>
      </c>
      <c r="D183" s="17"/>
      <c r="E183" s="17"/>
      <c r="F183" s="37"/>
      <c r="G183" s="37"/>
      <c r="H183" s="17"/>
      <c r="I183" s="37"/>
      <c r="J183" s="37"/>
      <c r="K183" s="37"/>
      <c r="L183" s="17"/>
      <c r="M183" s="37"/>
      <c r="N183" s="37"/>
      <c r="O183" s="37"/>
      <c r="P183" s="38"/>
      <c r="Q183" s="37"/>
      <c r="R183" s="17"/>
    </row>
    <row r="184" customFormat="false" ht="15" hidden="false" customHeight="false" outlineLevel="0" collapsed="false">
      <c r="A184" s="37"/>
      <c r="B184" s="37"/>
      <c r="C184" s="41" t="str">
        <f aca="false">IF($B184="","",IFERROR(INDEX('LEAD MASTER'!$E$3:$E$402,MATCH($B184,'LEAD MASTER'!$A$3:$A$402,0)),"Lead ID not found"))</f>
        <v/>
      </c>
      <c r="D184" s="17"/>
      <c r="E184" s="17"/>
      <c r="F184" s="37"/>
      <c r="G184" s="37"/>
      <c r="H184" s="17"/>
      <c r="I184" s="37"/>
      <c r="J184" s="37"/>
      <c r="K184" s="37"/>
      <c r="L184" s="17"/>
      <c r="M184" s="37"/>
      <c r="N184" s="37"/>
      <c r="O184" s="37"/>
      <c r="P184" s="38"/>
      <c r="Q184" s="37"/>
      <c r="R184" s="17"/>
    </row>
    <row r="185" customFormat="false" ht="15" hidden="false" customHeight="false" outlineLevel="0" collapsed="false">
      <c r="A185" s="37"/>
      <c r="B185" s="37"/>
      <c r="C185" s="41" t="str">
        <f aca="false">IF($B185="","",IFERROR(INDEX('LEAD MASTER'!$E$3:$E$402,MATCH($B185,'LEAD MASTER'!$A$3:$A$402,0)),"Lead ID not found"))</f>
        <v/>
      </c>
      <c r="D185" s="17"/>
      <c r="E185" s="17"/>
      <c r="F185" s="37"/>
      <c r="G185" s="37"/>
      <c r="H185" s="17"/>
      <c r="I185" s="37"/>
      <c r="J185" s="37"/>
      <c r="K185" s="37"/>
      <c r="L185" s="17"/>
      <c r="M185" s="37"/>
      <c r="N185" s="37"/>
      <c r="O185" s="37"/>
      <c r="P185" s="38"/>
      <c r="Q185" s="37"/>
      <c r="R185" s="17"/>
    </row>
    <row r="186" customFormat="false" ht="15" hidden="false" customHeight="false" outlineLevel="0" collapsed="false">
      <c r="A186" s="37"/>
      <c r="B186" s="37"/>
      <c r="C186" s="41" t="str">
        <f aca="false">IF($B186="","",IFERROR(INDEX('LEAD MASTER'!$E$3:$E$402,MATCH($B186,'LEAD MASTER'!$A$3:$A$402,0)),"Lead ID not found"))</f>
        <v/>
      </c>
      <c r="D186" s="17"/>
      <c r="E186" s="17"/>
      <c r="F186" s="37"/>
      <c r="G186" s="37"/>
      <c r="H186" s="17"/>
      <c r="I186" s="37"/>
      <c r="J186" s="37"/>
      <c r="K186" s="37"/>
      <c r="L186" s="17"/>
      <c r="M186" s="37"/>
      <c r="N186" s="37"/>
      <c r="O186" s="37"/>
      <c r="P186" s="38"/>
      <c r="Q186" s="37"/>
      <c r="R186" s="17"/>
    </row>
    <row r="187" customFormat="false" ht="15" hidden="false" customHeight="false" outlineLevel="0" collapsed="false">
      <c r="A187" s="37"/>
      <c r="B187" s="37"/>
      <c r="C187" s="41" t="str">
        <f aca="false">IF($B187="","",IFERROR(INDEX('LEAD MASTER'!$E$3:$E$402,MATCH($B187,'LEAD MASTER'!$A$3:$A$402,0)),"Lead ID not found"))</f>
        <v/>
      </c>
      <c r="D187" s="17"/>
      <c r="E187" s="17"/>
      <c r="F187" s="37"/>
      <c r="G187" s="37"/>
      <c r="H187" s="17"/>
      <c r="I187" s="37"/>
      <c r="J187" s="37"/>
      <c r="K187" s="37"/>
      <c r="L187" s="17"/>
      <c r="M187" s="37"/>
      <c r="N187" s="37"/>
      <c r="O187" s="37"/>
      <c r="P187" s="38"/>
      <c r="Q187" s="37"/>
      <c r="R187" s="17"/>
    </row>
    <row r="188" customFormat="false" ht="15" hidden="false" customHeight="false" outlineLevel="0" collapsed="false">
      <c r="A188" s="37"/>
      <c r="B188" s="37"/>
      <c r="C188" s="41" t="str">
        <f aca="false">IF($B188="","",IFERROR(INDEX('LEAD MASTER'!$E$3:$E$402,MATCH($B188,'LEAD MASTER'!$A$3:$A$402,0)),"Lead ID not found"))</f>
        <v/>
      </c>
      <c r="D188" s="17"/>
      <c r="E188" s="17"/>
      <c r="F188" s="37"/>
      <c r="G188" s="37"/>
      <c r="H188" s="17"/>
      <c r="I188" s="37"/>
      <c r="J188" s="37"/>
      <c r="K188" s="37"/>
      <c r="L188" s="17"/>
      <c r="M188" s="37"/>
      <c r="N188" s="37"/>
      <c r="O188" s="37"/>
      <c r="P188" s="38"/>
      <c r="Q188" s="37"/>
      <c r="R188" s="17"/>
    </row>
    <row r="189" customFormat="false" ht="15" hidden="false" customHeight="false" outlineLevel="0" collapsed="false">
      <c r="A189" s="37"/>
      <c r="B189" s="37"/>
      <c r="C189" s="41" t="str">
        <f aca="false">IF($B189="","",IFERROR(INDEX('LEAD MASTER'!$E$3:$E$402,MATCH($B189,'LEAD MASTER'!$A$3:$A$402,0)),"Lead ID not found"))</f>
        <v/>
      </c>
      <c r="D189" s="17"/>
      <c r="E189" s="17"/>
      <c r="F189" s="37"/>
      <c r="G189" s="37"/>
      <c r="H189" s="17"/>
      <c r="I189" s="37"/>
      <c r="J189" s="37"/>
      <c r="K189" s="37"/>
      <c r="L189" s="17"/>
      <c r="M189" s="37"/>
      <c r="N189" s="37"/>
      <c r="O189" s="37"/>
      <c r="P189" s="38"/>
      <c r="Q189" s="37"/>
      <c r="R189" s="17"/>
    </row>
    <row r="190" customFormat="false" ht="15" hidden="false" customHeight="false" outlineLevel="0" collapsed="false">
      <c r="A190" s="37"/>
      <c r="B190" s="37"/>
      <c r="C190" s="41" t="str">
        <f aca="false">IF($B190="","",IFERROR(INDEX('LEAD MASTER'!$E$3:$E$402,MATCH($B190,'LEAD MASTER'!$A$3:$A$402,0)),"Lead ID not found"))</f>
        <v/>
      </c>
      <c r="D190" s="17"/>
      <c r="E190" s="17"/>
      <c r="F190" s="37"/>
      <c r="G190" s="37"/>
      <c r="H190" s="17"/>
      <c r="I190" s="37"/>
      <c r="J190" s="37"/>
      <c r="K190" s="37"/>
      <c r="L190" s="17"/>
      <c r="M190" s="37"/>
      <c r="N190" s="37"/>
      <c r="O190" s="37"/>
      <c r="P190" s="38"/>
      <c r="Q190" s="37"/>
      <c r="R190" s="17"/>
    </row>
    <row r="191" customFormat="false" ht="15" hidden="false" customHeight="false" outlineLevel="0" collapsed="false">
      <c r="A191" s="37"/>
      <c r="B191" s="37"/>
      <c r="C191" s="41" t="str">
        <f aca="false">IF($B191="","",IFERROR(INDEX('LEAD MASTER'!$E$3:$E$402,MATCH($B191,'LEAD MASTER'!$A$3:$A$402,0)),"Lead ID not found"))</f>
        <v/>
      </c>
      <c r="D191" s="17"/>
      <c r="E191" s="17"/>
      <c r="F191" s="37"/>
      <c r="G191" s="37"/>
      <c r="H191" s="17"/>
      <c r="I191" s="37"/>
      <c r="J191" s="37"/>
      <c r="K191" s="37"/>
      <c r="L191" s="17"/>
      <c r="M191" s="37"/>
      <c r="N191" s="37"/>
      <c r="O191" s="37"/>
      <c r="P191" s="38"/>
      <c r="Q191" s="37"/>
      <c r="R191" s="17"/>
    </row>
    <row r="192" customFormat="false" ht="15" hidden="false" customHeight="false" outlineLevel="0" collapsed="false">
      <c r="A192" s="37"/>
      <c r="B192" s="37"/>
      <c r="C192" s="41" t="str">
        <f aca="false">IF($B192="","",IFERROR(INDEX('LEAD MASTER'!$E$3:$E$402,MATCH($B192,'LEAD MASTER'!$A$3:$A$402,0)),"Lead ID not found"))</f>
        <v/>
      </c>
      <c r="D192" s="17"/>
      <c r="E192" s="17"/>
      <c r="F192" s="37"/>
      <c r="G192" s="37"/>
      <c r="H192" s="17"/>
      <c r="I192" s="37"/>
      <c r="J192" s="37"/>
      <c r="K192" s="37"/>
      <c r="L192" s="17"/>
      <c r="M192" s="37"/>
      <c r="N192" s="37"/>
      <c r="O192" s="37"/>
      <c r="P192" s="38"/>
      <c r="Q192" s="37"/>
      <c r="R192" s="17"/>
    </row>
    <row r="193" customFormat="false" ht="15" hidden="false" customHeight="false" outlineLevel="0" collapsed="false">
      <c r="A193" s="37"/>
      <c r="B193" s="37"/>
      <c r="C193" s="41" t="str">
        <f aca="false">IF($B193="","",IFERROR(INDEX('LEAD MASTER'!$E$3:$E$402,MATCH($B193,'LEAD MASTER'!$A$3:$A$402,0)),"Lead ID not found"))</f>
        <v/>
      </c>
      <c r="D193" s="17"/>
      <c r="E193" s="17"/>
      <c r="F193" s="37"/>
      <c r="G193" s="37"/>
      <c r="H193" s="17"/>
      <c r="I193" s="37"/>
      <c r="J193" s="37"/>
      <c r="K193" s="37"/>
      <c r="L193" s="17"/>
      <c r="M193" s="37"/>
      <c r="N193" s="37"/>
      <c r="O193" s="37"/>
      <c r="P193" s="38"/>
      <c r="Q193" s="37"/>
      <c r="R193" s="17"/>
    </row>
    <row r="194" customFormat="false" ht="15" hidden="false" customHeight="false" outlineLevel="0" collapsed="false">
      <c r="A194" s="37"/>
      <c r="B194" s="37"/>
      <c r="C194" s="41" t="str">
        <f aca="false">IF($B194="","",IFERROR(INDEX('LEAD MASTER'!$E$3:$E$402,MATCH($B194,'LEAD MASTER'!$A$3:$A$402,0)),"Lead ID not found"))</f>
        <v/>
      </c>
      <c r="D194" s="17"/>
      <c r="E194" s="17"/>
      <c r="F194" s="37"/>
      <c r="G194" s="37"/>
      <c r="H194" s="17"/>
      <c r="I194" s="37"/>
      <c r="J194" s="37"/>
      <c r="K194" s="37"/>
      <c r="L194" s="17"/>
      <c r="M194" s="37"/>
      <c r="N194" s="37"/>
      <c r="O194" s="37"/>
      <c r="P194" s="38"/>
      <c r="Q194" s="37"/>
      <c r="R194" s="17"/>
    </row>
    <row r="195" customFormat="false" ht="15" hidden="false" customHeight="false" outlineLevel="0" collapsed="false">
      <c r="A195" s="37"/>
      <c r="B195" s="37"/>
      <c r="C195" s="41" t="str">
        <f aca="false">IF($B195="","",IFERROR(INDEX('LEAD MASTER'!$E$3:$E$402,MATCH($B195,'LEAD MASTER'!$A$3:$A$402,0)),"Lead ID not found"))</f>
        <v/>
      </c>
      <c r="D195" s="17"/>
      <c r="E195" s="17"/>
      <c r="F195" s="37"/>
      <c r="G195" s="37"/>
      <c r="H195" s="17"/>
      <c r="I195" s="37"/>
      <c r="J195" s="37"/>
      <c r="K195" s="37"/>
      <c r="L195" s="17"/>
      <c r="M195" s="37"/>
      <c r="N195" s="37"/>
      <c r="O195" s="37"/>
      <c r="P195" s="38"/>
      <c r="Q195" s="37"/>
      <c r="R195" s="17"/>
    </row>
    <row r="196" customFormat="false" ht="15" hidden="false" customHeight="false" outlineLevel="0" collapsed="false">
      <c r="A196" s="37"/>
      <c r="B196" s="37"/>
      <c r="C196" s="41" t="str">
        <f aca="false">IF($B196="","",IFERROR(INDEX('LEAD MASTER'!$E$3:$E$402,MATCH($B196,'LEAD MASTER'!$A$3:$A$402,0)),"Lead ID not found"))</f>
        <v/>
      </c>
      <c r="D196" s="17"/>
      <c r="E196" s="17"/>
      <c r="F196" s="37"/>
      <c r="G196" s="37"/>
      <c r="H196" s="17"/>
      <c r="I196" s="37"/>
      <c r="J196" s="37"/>
      <c r="K196" s="37"/>
      <c r="L196" s="17"/>
      <c r="M196" s="37"/>
      <c r="N196" s="37"/>
      <c r="O196" s="37"/>
      <c r="P196" s="38"/>
      <c r="Q196" s="37"/>
      <c r="R196" s="17"/>
    </row>
    <row r="197" customFormat="false" ht="15" hidden="false" customHeight="false" outlineLevel="0" collapsed="false">
      <c r="A197" s="37"/>
      <c r="B197" s="37"/>
      <c r="C197" s="41" t="str">
        <f aca="false">IF($B197="","",IFERROR(INDEX('LEAD MASTER'!$E$3:$E$402,MATCH($B197,'LEAD MASTER'!$A$3:$A$402,0)),"Lead ID not found"))</f>
        <v/>
      </c>
      <c r="D197" s="17"/>
      <c r="E197" s="17"/>
      <c r="F197" s="37"/>
      <c r="G197" s="37"/>
      <c r="H197" s="17"/>
      <c r="I197" s="37"/>
      <c r="J197" s="37"/>
      <c r="K197" s="37"/>
      <c r="L197" s="17"/>
      <c r="M197" s="37"/>
      <c r="N197" s="37"/>
      <c r="O197" s="37"/>
      <c r="P197" s="38"/>
      <c r="Q197" s="37"/>
      <c r="R197" s="17"/>
    </row>
    <row r="198" customFormat="false" ht="15" hidden="false" customHeight="false" outlineLevel="0" collapsed="false">
      <c r="A198" s="37"/>
      <c r="B198" s="37"/>
      <c r="C198" s="41" t="str">
        <f aca="false">IF($B198="","",IFERROR(INDEX('LEAD MASTER'!$E$3:$E$402,MATCH($B198,'LEAD MASTER'!$A$3:$A$402,0)),"Lead ID not found"))</f>
        <v/>
      </c>
      <c r="D198" s="17"/>
      <c r="E198" s="17"/>
      <c r="F198" s="37"/>
      <c r="G198" s="37"/>
      <c r="H198" s="17"/>
      <c r="I198" s="37"/>
      <c r="J198" s="37"/>
      <c r="K198" s="37"/>
      <c r="L198" s="17"/>
      <c r="M198" s="37"/>
      <c r="N198" s="37"/>
      <c r="O198" s="37"/>
      <c r="P198" s="38"/>
      <c r="Q198" s="37"/>
      <c r="R198" s="17"/>
    </row>
    <row r="199" customFormat="false" ht="15" hidden="false" customHeight="false" outlineLevel="0" collapsed="false">
      <c r="A199" s="37"/>
      <c r="B199" s="37"/>
      <c r="C199" s="41" t="str">
        <f aca="false">IF($B199="","",IFERROR(INDEX('LEAD MASTER'!$E$3:$E$402,MATCH($B199,'LEAD MASTER'!$A$3:$A$402,0)),"Lead ID not found"))</f>
        <v/>
      </c>
      <c r="D199" s="17"/>
      <c r="E199" s="17"/>
      <c r="F199" s="37"/>
      <c r="G199" s="37"/>
      <c r="H199" s="17"/>
      <c r="I199" s="37"/>
      <c r="J199" s="37"/>
      <c r="K199" s="37"/>
      <c r="L199" s="17"/>
      <c r="M199" s="37"/>
      <c r="N199" s="37"/>
      <c r="O199" s="37"/>
      <c r="P199" s="38"/>
      <c r="Q199" s="37"/>
      <c r="R199" s="17"/>
    </row>
    <row r="200" customFormat="false" ht="15" hidden="false" customHeight="false" outlineLevel="0" collapsed="false">
      <c r="A200" s="37"/>
      <c r="B200" s="37"/>
      <c r="C200" s="41" t="str">
        <f aca="false">IF($B200="","",IFERROR(INDEX('LEAD MASTER'!$E$3:$E$402,MATCH($B200,'LEAD MASTER'!$A$3:$A$402,0)),"Lead ID not found"))</f>
        <v/>
      </c>
      <c r="D200" s="17"/>
      <c r="E200" s="17"/>
      <c r="F200" s="37"/>
      <c r="G200" s="37"/>
      <c r="H200" s="17"/>
      <c r="I200" s="37"/>
      <c r="J200" s="37"/>
      <c r="K200" s="37"/>
      <c r="L200" s="17"/>
      <c r="M200" s="37"/>
      <c r="N200" s="37"/>
      <c r="O200" s="37"/>
      <c r="P200" s="38"/>
      <c r="Q200" s="37"/>
      <c r="R200" s="17"/>
    </row>
    <row r="201" customFormat="false" ht="15" hidden="false" customHeight="false" outlineLevel="0" collapsed="false">
      <c r="A201" s="37"/>
      <c r="B201" s="37"/>
      <c r="C201" s="41" t="str">
        <f aca="false">IF($B201="","",IFERROR(INDEX('LEAD MASTER'!$E$3:$E$402,MATCH($B201,'LEAD MASTER'!$A$3:$A$402,0)),"Lead ID not found"))</f>
        <v/>
      </c>
      <c r="D201" s="17"/>
      <c r="E201" s="17"/>
      <c r="F201" s="37"/>
      <c r="G201" s="37"/>
      <c r="H201" s="17"/>
      <c r="I201" s="37"/>
      <c r="J201" s="37"/>
      <c r="K201" s="37"/>
      <c r="L201" s="17"/>
      <c r="M201" s="37"/>
      <c r="N201" s="37"/>
      <c r="O201" s="37"/>
      <c r="P201" s="38"/>
      <c r="Q201" s="37"/>
      <c r="R201" s="17"/>
    </row>
    <row r="202" customFormat="false" ht="15" hidden="false" customHeight="false" outlineLevel="0" collapsed="false">
      <c r="A202" s="37"/>
      <c r="B202" s="37"/>
      <c r="C202" s="41" t="str">
        <f aca="false">IF($B202="","",IFERROR(INDEX('LEAD MASTER'!$E$3:$E$402,MATCH($B202,'LEAD MASTER'!$A$3:$A$402,0)),"Lead ID not found"))</f>
        <v/>
      </c>
      <c r="D202" s="17"/>
      <c r="E202" s="17"/>
      <c r="F202" s="37"/>
      <c r="G202" s="37"/>
      <c r="H202" s="17"/>
      <c r="I202" s="37"/>
      <c r="J202" s="37"/>
      <c r="K202" s="37"/>
      <c r="L202" s="17"/>
      <c r="M202" s="37"/>
      <c r="N202" s="37"/>
      <c r="O202" s="37"/>
      <c r="P202" s="38"/>
      <c r="Q202" s="37"/>
      <c r="R202" s="17"/>
    </row>
    <row r="203" customFormat="false" ht="15" hidden="false" customHeight="false" outlineLevel="0" collapsed="false">
      <c r="A203" s="37"/>
      <c r="B203" s="37"/>
      <c r="C203" s="41" t="str">
        <f aca="false">IF($B203="","",IFERROR(INDEX('LEAD MASTER'!$E$3:$E$402,MATCH($B203,'LEAD MASTER'!$A$3:$A$402,0)),"Lead ID not found"))</f>
        <v/>
      </c>
      <c r="D203" s="17"/>
      <c r="E203" s="17"/>
      <c r="F203" s="37"/>
      <c r="G203" s="37"/>
      <c r="H203" s="17"/>
      <c r="I203" s="37"/>
      <c r="J203" s="37"/>
      <c r="K203" s="37"/>
      <c r="L203" s="17"/>
      <c r="M203" s="37"/>
      <c r="N203" s="37"/>
      <c r="O203" s="37"/>
      <c r="P203" s="38"/>
      <c r="Q203" s="37"/>
      <c r="R203" s="17"/>
    </row>
    <row r="204" customFormat="false" ht="15" hidden="false" customHeight="false" outlineLevel="0" collapsed="false">
      <c r="A204" s="37"/>
      <c r="B204" s="37"/>
      <c r="C204" s="41" t="str">
        <f aca="false">IF($B204="","",IFERROR(INDEX('LEAD MASTER'!$E$3:$E$402,MATCH($B204,'LEAD MASTER'!$A$3:$A$402,0)),"Lead ID not found"))</f>
        <v/>
      </c>
      <c r="D204" s="17"/>
      <c r="E204" s="17"/>
      <c r="F204" s="37"/>
      <c r="G204" s="37"/>
      <c r="H204" s="17"/>
      <c r="I204" s="37"/>
      <c r="J204" s="37"/>
      <c r="K204" s="37"/>
      <c r="L204" s="17"/>
      <c r="M204" s="37"/>
      <c r="N204" s="37"/>
      <c r="O204" s="37"/>
      <c r="P204" s="38"/>
      <c r="Q204" s="37"/>
      <c r="R204" s="17"/>
    </row>
    <row r="205" customFormat="false" ht="15" hidden="false" customHeight="false" outlineLevel="0" collapsed="false">
      <c r="A205" s="37"/>
      <c r="B205" s="37"/>
      <c r="C205" s="41" t="str">
        <f aca="false">IF($B205="","",IFERROR(INDEX('LEAD MASTER'!$E$3:$E$402,MATCH($B205,'LEAD MASTER'!$A$3:$A$402,0)),"Lead ID not found"))</f>
        <v/>
      </c>
      <c r="D205" s="17"/>
      <c r="E205" s="17"/>
      <c r="F205" s="37"/>
      <c r="G205" s="37"/>
      <c r="H205" s="17"/>
      <c r="I205" s="37"/>
      <c r="J205" s="37"/>
      <c r="K205" s="37"/>
      <c r="L205" s="17"/>
      <c r="M205" s="37"/>
      <c r="N205" s="37"/>
      <c r="O205" s="37"/>
      <c r="P205" s="38"/>
      <c r="Q205" s="37"/>
      <c r="R205" s="17"/>
    </row>
    <row r="206" customFormat="false" ht="15" hidden="false" customHeight="false" outlineLevel="0" collapsed="false">
      <c r="A206" s="37"/>
      <c r="B206" s="37"/>
      <c r="C206" s="41" t="str">
        <f aca="false">IF($B206="","",IFERROR(INDEX('LEAD MASTER'!$E$3:$E$402,MATCH($B206,'LEAD MASTER'!$A$3:$A$402,0)),"Lead ID not found"))</f>
        <v/>
      </c>
      <c r="D206" s="17"/>
      <c r="E206" s="17"/>
      <c r="F206" s="37"/>
      <c r="G206" s="37"/>
      <c r="H206" s="17"/>
      <c r="I206" s="37"/>
      <c r="J206" s="37"/>
      <c r="K206" s="37"/>
      <c r="L206" s="17"/>
      <c r="M206" s="37"/>
      <c r="N206" s="37"/>
      <c r="O206" s="37"/>
      <c r="P206" s="38"/>
      <c r="Q206" s="37"/>
      <c r="R206" s="17"/>
    </row>
    <row r="207" customFormat="false" ht="15" hidden="false" customHeight="false" outlineLevel="0" collapsed="false">
      <c r="A207" s="37"/>
      <c r="B207" s="37"/>
      <c r="C207" s="41" t="str">
        <f aca="false">IF($B207="","",IFERROR(INDEX('LEAD MASTER'!$E$3:$E$402,MATCH($B207,'LEAD MASTER'!$A$3:$A$402,0)),"Lead ID not found"))</f>
        <v/>
      </c>
      <c r="D207" s="17"/>
      <c r="E207" s="17"/>
      <c r="F207" s="37"/>
      <c r="G207" s="37"/>
      <c r="H207" s="17"/>
      <c r="I207" s="37"/>
      <c r="J207" s="37"/>
      <c r="K207" s="37"/>
      <c r="L207" s="17"/>
      <c r="M207" s="37"/>
      <c r="N207" s="37"/>
      <c r="O207" s="37"/>
      <c r="P207" s="38"/>
      <c r="Q207" s="37"/>
      <c r="R207" s="17"/>
    </row>
    <row r="208" customFormat="false" ht="15" hidden="false" customHeight="false" outlineLevel="0" collapsed="false">
      <c r="A208" s="37"/>
      <c r="B208" s="37"/>
      <c r="C208" s="41" t="str">
        <f aca="false">IF($B208="","",IFERROR(INDEX('LEAD MASTER'!$E$3:$E$402,MATCH($B208,'LEAD MASTER'!$A$3:$A$402,0)),"Lead ID not found"))</f>
        <v/>
      </c>
      <c r="D208" s="17"/>
      <c r="E208" s="17"/>
      <c r="F208" s="37"/>
      <c r="G208" s="37"/>
      <c r="H208" s="17"/>
      <c r="I208" s="37"/>
      <c r="J208" s="37"/>
      <c r="K208" s="37"/>
      <c r="L208" s="17"/>
      <c r="M208" s="37"/>
      <c r="N208" s="37"/>
      <c r="O208" s="37"/>
      <c r="P208" s="38"/>
      <c r="Q208" s="37"/>
      <c r="R208" s="17"/>
    </row>
    <row r="209" customFormat="false" ht="15" hidden="false" customHeight="false" outlineLevel="0" collapsed="false">
      <c r="A209" s="37"/>
      <c r="B209" s="37"/>
      <c r="C209" s="41" t="str">
        <f aca="false">IF($B209="","",IFERROR(INDEX('LEAD MASTER'!$E$3:$E$402,MATCH($B209,'LEAD MASTER'!$A$3:$A$402,0)),"Lead ID not found"))</f>
        <v/>
      </c>
      <c r="D209" s="17"/>
      <c r="E209" s="17"/>
      <c r="F209" s="37"/>
      <c r="G209" s="37"/>
      <c r="H209" s="17"/>
      <c r="I209" s="37"/>
      <c r="J209" s="37"/>
      <c r="K209" s="37"/>
      <c r="L209" s="17"/>
      <c r="M209" s="37"/>
      <c r="N209" s="37"/>
      <c r="O209" s="37"/>
      <c r="P209" s="38"/>
      <c r="Q209" s="37"/>
      <c r="R209" s="17"/>
    </row>
    <row r="210" customFormat="false" ht="15" hidden="false" customHeight="false" outlineLevel="0" collapsed="false">
      <c r="A210" s="37"/>
      <c r="B210" s="37"/>
      <c r="C210" s="41" t="str">
        <f aca="false">IF($B210="","",IFERROR(INDEX('LEAD MASTER'!$E$3:$E$402,MATCH($B210,'LEAD MASTER'!$A$3:$A$402,0)),"Lead ID not found"))</f>
        <v/>
      </c>
      <c r="D210" s="17"/>
      <c r="E210" s="17"/>
      <c r="F210" s="37"/>
      <c r="G210" s="37"/>
      <c r="H210" s="17"/>
      <c r="I210" s="37"/>
      <c r="J210" s="37"/>
      <c r="K210" s="37"/>
      <c r="L210" s="17"/>
      <c r="M210" s="37"/>
      <c r="N210" s="37"/>
      <c r="O210" s="37"/>
      <c r="P210" s="38"/>
      <c r="Q210" s="37"/>
      <c r="R210" s="17"/>
    </row>
    <row r="211" customFormat="false" ht="15" hidden="false" customHeight="false" outlineLevel="0" collapsed="false">
      <c r="A211" s="37"/>
      <c r="B211" s="37"/>
      <c r="C211" s="41" t="str">
        <f aca="false">IF($B211="","",IFERROR(INDEX('LEAD MASTER'!$E$3:$E$402,MATCH($B211,'LEAD MASTER'!$A$3:$A$402,0)),"Lead ID not found"))</f>
        <v/>
      </c>
      <c r="D211" s="17"/>
      <c r="E211" s="17"/>
      <c r="F211" s="37"/>
      <c r="G211" s="37"/>
      <c r="H211" s="17"/>
      <c r="I211" s="37"/>
      <c r="J211" s="37"/>
      <c r="K211" s="37"/>
      <c r="L211" s="17"/>
      <c r="M211" s="37"/>
      <c r="N211" s="37"/>
      <c r="O211" s="37"/>
      <c r="P211" s="38"/>
      <c r="Q211" s="37"/>
      <c r="R211" s="17"/>
    </row>
    <row r="212" customFormat="false" ht="15" hidden="false" customHeight="false" outlineLevel="0" collapsed="false">
      <c r="A212" s="37"/>
      <c r="B212" s="37"/>
      <c r="C212" s="41" t="str">
        <f aca="false">IF($B212="","",IFERROR(INDEX('LEAD MASTER'!$E$3:$E$402,MATCH($B212,'LEAD MASTER'!$A$3:$A$402,0)),"Lead ID not found"))</f>
        <v/>
      </c>
      <c r="D212" s="17"/>
      <c r="E212" s="17"/>
      <c r="F212" s="37"/>
      <c r="G212" s="37"/>
      <c r="H212" s="17"/>
      <c r="I212" s="37"/>
      <c r="J212" s="37"/>
      <c r="K212" s="37"/>
      <c r="L212" s="17"/>
      <c r="M212" s="37"/>
      <c r="N212" s="37"/>
      <c r="O212" s="37"/>
      <c r="P212" s="38"/>
      <c r="Q212" s="37"/>
      <c r="R212" s="17"/>
    </row>
    <row r="213" customFormat="false" ht="15" hidden="false" customHeight="false" outlineLevel="0" collapsed="false">
      <c r="A213" s="37"/>
      <c r="B213" s="37"/>
      <c r="C213" s="41" t="str">
        <f aca="false">IF($B213="","",IFERROR(INDEX('LEAD MASTER'!$E$3:$E$402,MATCH($B213,'LEAD MASTER'!$A$3:$A$402,0)),"Lead ID not found"))</f>
        <v/>
      </c>
      <c r="D213" s="17"/>
      <c r="E213" s="17"/>
      <c r="F213" s="37"/>
      <c r="G213" s="37"/>
      <c r="H213" s="17"/>
      <c r="I213" s="37"/>
      <c r="J213" s="37"/>
      <c r="K213" s="37"/>
      <c r="L213" s="17"/>
      <c r="M213" s="37"/>
      <c r="N213" s="37"/>
      <c r="O213" s="37"/>
      <c r="P213" s="38"/>
      <c r="Q213" s="37"/>
      <c r="R213" s="17"/>
    </row>
    <row r="214" customFormat="false" ht="15" hidden="false" customHeight="false" outlineLevel="0" collapsed="false">
      <c r="A214" s="37"/>
      <c r="B214" s="37"/>
      <c r="C214" s="41" t="str">
        <f aca="false">IF($B214="","",IFERROR(INDEX('LEAD MASTER'!$E$3:$E$402,MATCH($B214,'LEAD MASTER'!$A$3:$A$402,0)),"Lead ID not found"))</f>
        <v/>
      </c>
      <c r="D214" s="17"/>
      <c r="E214" s="17"/>
      <c r="F214" s="37"/>
      <c r="G214" s="37"/>
      <c r="H214" s="17"/>
      <c r="I214" s="37"/>
      <c r="J214" s="37"/>
      <c r="K214" s="37"/>
      <c r="L214" s="17"/>
      <c r="M214" s="37"/>
      <c r="N214" s="37"/>
      <c r="O214" s="37"/>
      <c r="P214" s="38"/>
      <c r="Q214" s="37"/>
      <c r="R214" s="17"/>
    </row>
    <row r="215" customFormat="false" ht="15" hidden="false" customHeight="false" outlineLevel="0" collapsed="false">
      <c r="A215" s="37"/>
      <c r="B215" s="37"/>
      <c r="C215" s="41" t="str">
        <f aca="false">IF($B215="","",IFERROR(INDEX('LEAD MASTER'!$E$3:$E$402,MATCH($B215,'LEAD MASTER'!$A$3:$A$402,0)),"Lead ID not found"))</f>
        <v/>
      </c>
      <c r="D215" s="17"/>
      <c r="E215" s="17"/>
      <c r="F215" s="37"/>
      <c r="G215" s="37"/>
      <c r="H215" s="17"/>
      <c r="I215" s="37"/>
      <c r="J215" s="37"/>
      <c r="K215" s="37"/>
      <c r="L215" s="17"/>
      <c r="M215" s="37"/>
      <c r="N215" s="37"/>
      <c r="O215" s="37"/>
      <c r="P215" s="38"/>
      <c r="Q215" s="37"/>
      <c r="R215" s="17"/>
    </row>
    <row r="216" customFormat="false" ht="15" hidden="false" customHeight="false" outlineLevel="0" collapsed="false">
      <c r="A216" s="37"/>
      <c r="B216" s="37"/>
      <c r="C216" s="41" t="str">
        <f aca="false">IF($B216="","",IFERROR(INDEX('LEAD MASTER'!$E$3:$E$402,MATCH($B216,'LEAD MASTER'!$A$3:$A$402,0)),"Lead ID not found"))</f>
        <v/>
      </c>
      <c r="D216" s="17"/>
      <c r="E216" s="17"/>
      <c r="F216" s="37"/>
      <c r="G216" s="37"/>
      <c r="H216" s="17"/>
      <c r="I216" s="37"/>
      <c r="J216" s="37"/>
      <c r="K216" s="37"/>
      <c r="L216" s="17"/>
      <c r="M216" s="37"/>
      <c r="N216" s="37"/>
      <c r="O216" s="37"/>
      <c r="P216" s="38"/>
      <c r="Q216" s="37"/>
      <c r="R216" s="17"/>
    </row>
    <row r="217" customFormat="false" ht="15" hidden="false" customHeight="false" outlineLevel="0" collapsed="false">
      <c r="A217" s="37"/>
      <c r="B217" s="37"/>
      <c r="C217" s="41" t="str">
        <f aca="false">IF($B217="","",IFERROR(INDEX('LEAD MASTER'!$E$3:$E$402,MATCH($B217,'LEAD MASTER'!$A$3:$A$402,0)),"Lead ID not found"))</f>
        <v/>
      </c>
      <c r="D217" s="17"/>
      <c r="E217" s="17"/>
      <c r="F217" s="37"/>
      <c r="G217" s="37"/>
      <c r="H217" s="17"/>
      <c r="I217" s="37"/>
      <c r="J217" s="37"/>
      <c r="K217" s="37"/>
      <c r="L217" s="17"/>
      <c r="M217" s="37"/>
      <c r="N217" s="37"/>
      <c r="O217" s="37"/>
      <c r="P217" s="38"/>
      <c r="Q217" s="37"/>
      <c r="R217" s="17"/>
    </row>
    <row r="218" customFormat="false" ht="15" hidden="false" customHeight="false" outlineLevel="0" collapsed="false">
      <c r="A218" s="37"/>
      <c r="B218" s="37"/>
      <c r="C218" s="41" t="str">
        <f aca="false">IF($B218="","",IFERROR(INDEX('LEAD MASTER'!$E$3:$E$402,MATCH($B218,'LEAD MASTER'!$A$3:$A$402,0)),"Lead ID not found"))</f>
        <v/>
      </c>
      <c r="D218" s="17"/>
      <c r="E218" s="17"/>
      <c r="F218" s="37"/>
      <c r="G218" s="37"/>
      <c r="H218" s="17"/>
      <c r="I218" s="37"/>
      <c r="J218" s="37"/>
      <c r="K218" s="37"/>
      <c r="L218" s="17"/>
      <c r="M218" s="37"/>
      <c r="N218" s="37"/>
      <c r="O218" s="37"/>
      <c r="P218" s="38"/>
      <c r="Q218" s="37"/>
      <c r="R218" s="17"/>
    </row>
    <row r="219" customFormat="false" ht="15" hidden="false" customHeight="false" outlineLevel="0" collapsed="false">
      <c r="A219" s="37"/>
      <c r="B219" s="37"/>
      <c r="C219" s="41" t="str">
        <f aca="false">IF($B219="","",IFERROR(INDEX('LEAD MASTER'!$E$3:$E$402,MATCH($B219,'LEAD MASTER'!$A$3:$A$402,0)),"Lead ID not found"))</f>
        <v/>
      </c>
      <c r="D219" s="17"/>
      <c r="E219" s="17"/>
      <c r="F219" s="37"/>
      <c r="G219" s="37"/>
      <c r="H219" s="17"/>
      <c r="I219" s="37"/>
      <c r="J219" s="37"/>
      <c r="K219" s="37"/>
      <c r="L219" s="17"/>
      <c r="M219" s="37"/>
      <c r="N219" s="37"/>
      <c r="O219" s="37"/>
      <c r="P219" s="38"/>
      <c r="Q219" s="37"/>
      <c r="R219" s="17"/>
    </row>
    <row r="220" customFormat="false" ht="15" hidden="false" customHeight="false" outlineLevel="0" collapsed="false">
      <c r="A220" s="37"/>
      <c r="B220" s="37"/>
      <c r="C220" s="41" t="str">
        <f aca="false">IF($B220="","",IFERROR(INDEX('LEAD MASTER'!$E$3:$E$402,MATCH($B220,'LEAD MASTER'!$A$3:$A$402,0)),"Lead ID not found"))</f>
        <v/>
      </c>
      <c r="D220" s="17"/>
      <c r="E220" s="17"/>
      <c r="F220" s="37"/>
      <c r="G220" s="37"/>
      <c r="H220" s="17"/>
      <c r="I220" s="37"/>
      <c r="J220" s="37"/>
      <c r="K220" s="37"/>
      <c r="L220" s="17"/>
      <c r="M220" s="37"/>
      <c r="N220" s="37"/>
      <c r="O220" s="37"/>
      <c r="P220" s="38"/>
      <c r="Q220" s="37"/>
      <c r="R220" s="17"/>
    </row>
    <row r="221" customFormat="false" ht="15" hidden="false" customHeight="false" outlineLevel="0" collapsed="false">
      <c r="A221" s="37"/>
      <c r="B221" s="37"/>
      <c r="C221" s="41" t="str">
        <f aca="false">IF($B221="","",IFERROR(INDEX('LEAD MASTER'!$E$3:$E$402,MATCH($B221,'LEAD MASTER'!$A$3:$A$402,0)),"Lead ID not found"))</f>
        <v/>
      </c>
      <c r="D221" s="17"/>
      <c r="E221" s="17"/>
      <c r="F221" s="37"/>
      <c r="G221" s="37"/>
      <c r="H221" s="17"/>
      <c r="I221" s="37"/>
      <c r="J221" s="37"/>
      <c r="K221" s="37"/>
      <c r="L221" s="17"/>
      <c r="M221" s="37"/>
      <c r="N221" s="37"/>
      <c r="O221" s="37"/>
      <c r="P221" s="38"/>
      <c r="Q221" s="37"/>
      <c r="R221" s="17"/>
    </row>
    <row r="222" customFormat="false" ht="15" hidden="false" customHeight="false" outlineLevel="0" collapsed="false">
      <c r="A222" s="37"/>
      <c r="B222" s="37"/>
      <c r="C222" s="41" t="str">
        <f aca="false">IF($B222="","",IFERROR(INDEX('LEAD MASTER'!$E$3:$E$402,MATCH($B222,'LEAD MASTER'!$A$3:$A$402,0)),"Lead ID not found"))</f>
        <v/>
      </c>
      <c r="D222" s="17"/>
      <c r="E222" s="17"/>
      <c r="F222" s="37"/>
      <c r="G222" s="37"/>
      <c r="H222" s="17"/>
      <c r="I222" s="37"/>
      <c r="J222" s="37"/>
      <c r="K222" s="37"/>
      <c r="L222" s="17"/>
      <c r="M222" s="37"/>
      <c r="N222" s="37"/>
      <c r="O222" s="37"/>
      <c r="P222" s="38"/>
      <c r="Q222" s="37"/>
      <c r="R222" s="17"/>
    </row>
    <row r="223" customFormat="false" ht="15" hidden="false" customHeight="false" outlineLevel="0" collapsed="false">
      <c r="A223" s="37"/>
      <c r="B223" s="37"/>
      <c r="C223" s="41" t="str">
        <f aca="false">IF($B223="","",IFERROR(INDEX('LEAD MASTER'!$E$3:$E$402,MATCH($B223,'LEAD MASTER'!$A$3:$A$402,0)),"Lead ID not found"))</f>
        <v/>
      </c>
      <c r="D223" s="17"/>
      <c r="E223" s="17"/>
      <c r="F223" s="37"/>
      <c r="G223" s="37"/>
      <c r="H223" s="17"/>
      <c r="I223" s="37"/>
      <c r="J223" s="37"/>
      <c r="K223" s="37"/>
      <c r="L223" s="17"/>
      <c r="M223" s="37"/>
      <c r="N223" s="37"/>
      <c r="O223" s="37"/>
      <c r="P223" s="38"/>
      <c r="Q223" s="37"/>
      <c r="R223" s="17"/>
    </row>
    <row r="224" customFormat="false" ht="15" hidden="false" customHeight="false" outlineLevel="0" collapsed="false">
      <c r="A224" s="37"/>
      <c r="B224" s="37"/>
      <c r="C224" s="41" t="str">
        <f aca="false">IF($B224="","",IFERROR(INDEX('LEAD MASTER'!$E$3:$E$402,MATCH($B224,'LEAD MASTER'!$A$3:$A$402,0)),"Lead ID not found"))</f>
        <v/>
      </c>
      <c r="D224" s="17"/>
      <c r="E224" s="17"/>
      <c r="F224" s="37"/>
      <c r="G224" s="37"/>
      <c r="H224" s="17"/>
      <c r="I224" s="37"/>
      <c r="J224" s="37"/>
      <c r="K224" s="37"/>
      <c r="L224" s="17"/>
      <c r="M224" s="37"/>
      <c r="N224" s="37"/>
      <c r="O224" s="37"/>
      <c r="P224" s="38"/>
      <c r="Q224" s="37"/>
      <c r="R224" s="17"/>
    </row>
    <row r="225" customFormat="false" ht="15" hidden="false" customHeight="false" outlineLevel="0" collapsed="false">
      <c r="A225" s="37"/>
      <c r="B225" s="37"/>
      <c r="C225" s="41" t="str">
        <f aca="false">IF($B225="","",IFERROR(INDEX('LEAD MASTER'!$E$3:$E$402,MATCH($B225,'LEAD MASTER'!$A$3:$A$402,0)),"Lead ID not found"))</f>
        <v/>
      </c>
      <c r="D225" s="17"/>
      <c r="E225" s="17"/>
      <c r="F225" s="37"/>
      <c r="G225" s="37"/>
      <c r="H225" s="17"/>
      <c r="I225" s="37"/>
      <c r="J225" s="37"/>
      <c r="K225" s="37"/>
      <c r="L225" s="17"/>
      <c r="M225" s="37"/>
      <c r="N225" s="37"/>
      <c r="O225" s="37"/>
      <c r="P225" s="38"/>
      <c r="Q225" s="37"/>
      <c r="R225" s="17"/>
    </row>
    <row r="226" customFormat="false" ht="15" hidden="false" customHeight="false" outlineLevel="0" collapsed="false">
      <c r="A226" s="37"/>
      <c r="B226" s="37"/>
      <c r="C226" s="41" t="str">
        <f aca="false">IF($B226="","",IFERROR(INDEX('LEAD MASTER'!$E$3:$E$402,MATCH($B226,'LEAD MASTER'!$A$3:$A$402,0)),"Lead ID not found"))</f>
        <v/>
      </c>
      <c r="D226" s="17"/>
      <c r="E226" s="17"/>
      <c r="F226" s="37"/>
      <c r="G226" s="37"/>
      <c r="H226" s="17"/>
      <c r="I226" s="37"/>
      <c r="J226" s="37"/>
      <c r="K226" s="37"/>
      <c r="L226" s="17"/>
      <c r="M226" s="37"/>
      <c r="N226" s="37"/>
      <c r="O226" s="37"/>
      <c r="P226" s="38"/>
      <c r="Q226" s="37"/>
      <c r="R226" s="17"/>
    </row>
    <row r="227" customFormat="false" ht="15" hidden="false" customHeight="false" outlineLevel="0" collapsed="false">
      <c r="A227" s="37"/>
      <c r="B227" s="37"/>
      <c r="C227" s="41" t="str">
        <f aca="false">IF($B227="","",IFERROR(INDEX('LEAD MASTER'!$E$3:$E$402,MATCH($B227,'LEAD MASTER'!$A$3:$A$402,0)),"Lead ID not found"))</f>
        <v/>
      </c>
      <c r="D227" s="17"/>
      <c r="E227" s="17"/>
      <c r="F227" s="37"/>
      <c r="G227" s="37"/>
      <c r="H227" s="17"/>
      <c r="I227" s="37"/>
      <c r="J227" s="37"/>
      <c r="K227" s="37"/>
      <c r="L227" s="17"/>
      <c r="M227" s="37"/>
      <c r="N227" s="37"/>
      <c r="O227" s="37"/>
      <c r="P227" s="38"/>
      <c r="Q227" s="37"/>
      <c r="R227" s="17"/>
    </row>
    <row r="228" customFormat="false" ht="15" hidden="false" customHeight="false" outlineLevel="0" collapsed="false">
      <c r="A228" s="37"/>
      <c r="B228" s="37"/>
      <c r="C228" s="41" t="str">
        <f aca="false">IF($B228="","",IFERROR(INDEX('LEAD MASTER'!$E$3:$E$402,MATCH($B228,'LEAD MASTER'!$A$3:$A$402,0)),"Lead ID not found"))</f>
        <v/>
      </c>
      <c r="D228" s="17"/>
      <c r="E228" s="17"/>
      <c r="F228" s="37"/>
      <c r="G228" s="37"/>
      <c r="H228" s="17"/>
      <c r="I228" s="37"/>
      <c r="J228" s="37"/>
      <c r="K228" s="37"/>
      <c r="L228" s="17"/>
      <c r="M228" s="37"/>
      <c r="N228" s="37"/>
      <c r="O228" s="37"/>
      <c r="P228" s="38"/>
      <c r="Q228" s="37"/>
      <c r="R228" s="17"/>
    </row>
    <row r="229" customFormat="false" ht="15" hidden="false" customHeight="false" outlineLevel="0" collapsed="false">
      <c r="A229" s="37"/>
      <c r="B229" s="37"/>
      <c r="C229" s="41" t="str">
        <f aca="false">IF($B229="","",IFERROR(INDEX('LEAD MASTER'!$E$3:$E$402,MATCH($B229,'LEAD MASTER'!$A$3:$A$402,0)),"Lead ID not found"))</f>
        <v/>
      </c>
      <c r="D229" s="17"/>
      <c r="E229" s="17"/>
      <c r="F229" s="37"/>
      <c r="G229" s="37"/>
      <c r="H229" s="17"/>
      <c r="I229" s="37"/>
      <c r="J229" s="37"/>
      <c r="K229" s="37"/>
      <c r="L229" s="17"/>
      <c r="M229" s="37"/>
      <c r="N229" s="37"/>
      <c r="O229" s="37"/>
      <c r="P229" s="38"/>
      <c r="Q229" s="37"/>
      <c r="R229" s="17"/>
    </row>
    <row r="230" customFormat="false" ht="15" hidden="false" customHeight="false" outlineLevel="0" collapsed="false">
      <c r="A230" s="37"/>
      <c r="B230" s="37"/>
      <c r="C230" s="41" t="str">
        <f aca="false">IF($B230="","",IFERROR(INDEX('LEAD MASTER'!$E$3:$E$402,MATCH($B230,'LEAD MASTER'!$A$3:$A$402,0)),"Lead ID not found"))</f>
        <v/>
      </c>
      <c r="D230" s="17"/>
      <c r="E230" s="17"/>
      <c r="F230" s="37"/>
      <c r="G230" s="37"/>
      <c r="H230" s="17"/>
      <c r="I230" s="37"/>
      <c r="J230" s="37"/>
      <c r="K230" s="37"/>
      <c r="L230" s="17"/>
      <c r="M230" s="37"/>
      <c r="N230" s="37"/>
      <c r="O230" s="37"/>
      <c r="P230" s="38"/>
      <c r="Q230" s="37"/>
      <c r="R230" s="17"/>
    </row>
    <row r="231" customFormat="false" ht="15" hidden="false" customHeight="false" outlineLevel="0" collapsed="false">
      <c r="A231" s="37"/>
      <c r="B231" s="37"/>
      <c r="C231" s="41" t="str">
        <f aca="false">IF($B231="","",IFERROR(INDEX('LEAD MASTER'!$E$3:$E$402,MATCH($B231,'LEAD MASTER'!$A$3:$A$402,0)),"Lead ID not found"))</f>
        <v/>
      </c>
      <c r="D231" s="17"/>
      <c r="E231" s="17"/>
      <c r="F231" s="37"/>
      <c r="G231" s="37"/>
      <c r="H231" s="17"/>
      <c r="I231" s="37"/>
      <c r="J231" s="37"/>
      <c r="K231" s="37"/>
      <c r="L231" s="17"/>
      <c r="M231" s="37"/>
      <c r="N231" s="37"/>
      <c r="O231" s="37"/>
      <c r="P231" s="38"/>
      <c r="Q231" s="37"/>
      <c r="R231" s="17"/>
    </row>
    <row r="232" customFormat="false" ht="15" hidden="false" customHeight="false" outlineLevel="0" collapsed="false">
      <c r="A232" s="37"/>
      <c r="B232" s="37"/>
      <c r="C232" s="41" t="str">
        <f aca="false">IF($B232="","",IFERROR(INDEX('LEAD MASTER'!$E$3:$E$402,MATCH($B232,'LEAD MASTER'!$A$3:$A$402,0)),"Lead ID not found"))</f>
        <v/>
      </c>
      <c r="D232" s="17"/>
      <c r="E232" s="17"/>
      <c r="F232" s="37"/>
      <c r="G232" s="37"/>
      <c r="H232" s="17"/>
      <c r="I232" s="37"/>
      <c r="J232" s="37"/>
      <c r="K232" s="37"/>
      <c r="L232" s="17"/>
      <c r="M232" s="37"/>
      <c r="N232" s="37"/>
      <c r="O232" s="37"/>
      <c r="P232" s="38"/>
      <c r="Q232" s="37"/>
      <c r="R232" s="17"/>
    </row>
    <row r="233" customFormat="false" ht="15" hidden="false" customHeight="false" outlineLevel="0" collapsed="false">
      <c r="A233" s="37"/>
      <c r="B233" s="37"/>
      <c r="C233" s="41" t="str">
        <f aca="false">IF($B233="","",IFERROR(INDEX('LEAD MASTER'!$E$3:$E$402,MATCH($B233,'LEAD MASTER'!$A$3:$A$402,0)),"Lead ID not found"))</f>
        <v/>
      </c>
      <c r="D233" s="17"/>
      <c r="E233" s="17"/>
      <c r="F233" s="37"/>
      <c r="G233" s="37"/>
      <c r="H233" s="17"/>
      <c r="I233" s="37"/>
      <c r="J233" s="37"/>
      <c r="K233" s="37"/>
      <c r="L233" s="17"/>
      <c r="M233" s="37"/>
      <c r="N233" s="37"/>
      <c r="O233" s="37"/>
      <c r="P233" s="38"/>
      <c r="Q233" s="37"/>
      <c r="R233" s="17"/>
    </row>
    <row r="234" customFormat="false" ht="15" hidden="false" customHeight="false" outlineLevel="0" collapsed="false">
      <c r="A234" s="37"/>
      <c r="B234" s="37"/>
      <c r="C234" s="41" t="str">
        <f aca="false">IF($B234="","",IFERROR(INDEX('LEAD MASTER'!$E$3:$E$402,MATCH($B234,'LEAD MASTER'!$A$3:$A$402,0)),"Lead ID not found"))</f>
        <v/>
      </c>
      <c r="D234" s="17"/>
      <c r="E234" s="17"/>
      <c r="F234" s="37"/>
      <c r="G234" s="37"/>
      <c r="H234" s="17"/>
      <c r="I234" s="37"/>
      <c r="J234" s="37"/>
      <c r="K234" s="37"/>
      <c r="L234" s="17"/>
      <c r="M234" s="37"/>
      <c r="N234" s="37"/>
      <c r="O234" s="37"/>
      <c r="P234" s="38"/>
      <c r="Q234" s="37"/>
      <c r="R234" s="17"/>
    </row>
    <row r="235" customFormat="false" ht="15" hidden="false" customHeight="false" outlineLevel="0" collapsed="false">
      <c r="A235" s="37"/>
      <c r="B235" s="37"/>
      <c r="C235" s="41" t="str">
        <f aca="false">IF($B235="","",IFERROR(INDEX('LEAD MASTER'!$E$3:$E$402,MATCH($B235,'LEAD MASTER'!$A$3:$A$402,0)),"Lead ID not found"))</f>
        <v/>
      </c>
      <c r="D235" s="17"/>
      <c r="E235" s="17"/>
      <c r="F235" s="37"/>
      <c r="G235" s="37"/>
      <c r="H235" s="17"/>
      <c r="I235" s="37"/>
      <c r="J235" s="37"/>
      <c r="K235" s="37"/>
      <c r="L235" s="17"/>
      <c r="M235" s="37"/>
      <c r="N235" s="37"/>
      <c r="O235" s="37"/>
      <c r="P235" s="38"/>
      <c r="Q235" s="37"/>
      <c r="R235" s="17"/>
    </row>
    <row r="236" customFormat="false" ht="15" hidden="false" customHeight="false" outlineLevel="0" collapsed="false">
      <c r="A236" s="37"/>
      <c r="B236" s="37"/>
      <c r="C236" s="41" t="str">
        <f aca="false">IF($B236="","",IFERROR(INDEX('LEAD MASTER'!$E$3:$E$402,MATCH($B236,'LEAD MASTER'!$A$3:$A$402,0)),"Lead ID not found"))</f>
        <v/>
      </c>
      <c r="D236" s="17"/>
      <c r="E236" s="17"/>
      <c r="F236" s="37"/>
      <c r="G236" s="37"/>
      <c r="H236" s="17"/>
      <c r="I236" s="37"/>
      <c r="J236" s="37"/>
      <c r="K236" s="37"/>
      <c r="L236" s="17"/>
      <c r="M236" s="37"/>
      <c r="N236" s="37"/>
      <c r="O236" s="37"/>
      <c r="P236" s="38"/>
      <c r="Q236" s="37"/>
      <c r="R236" s="17"/>
    </row>
    <row r="237" customFormat="false" ht="15" hidden="false" customHeight="false" outlineLevel="0" collapsed="false">
      <c r="A237" s="37"/>
      <c r="B237" s="37"/>
      <c r="C237" s="41" t="str">
        <f aca="false">IF($B237="","",IFERROR(INDEX('LEAD MASTER'!$E$3:$E$402,MATCH($B237,'LEAD MASTER'!$A$3:$A$402,0)),"Lead ID not found"))</f>
        <v/>
      </c>
      <c r="D237" s="17"/>
      <c r="E237" s="17"/>
      <c r="F237" s="37"/>
      <c r="G237" s="37"/>
      <c r="H237" s="17"/>
      <c r="I237" s="37"/>
      <c r="J237" s="37"/>
      <c r="K237" s="37"/>
      <c r="L237" s="17"/>
      <c r="M237" s="37"/>
      <c r="N237" s="37"/>
      <c r="O237" s="37"/>
      <c r="P237" s="38"/>
      <c r="Q237" s="37"/>
      <c r="R237" s="17"/>
    </row>
    <row r="238" customFormat="false" ht="15" hidden="false" customHeight="false" outlineLevel="0" collapsed="false">
      <c r="A238" s="37"/>
      <c r="B238" s="37"/>
      <c r="C238" s="41" t="str">
        <f aca="false">IF($B238="","",IFERROR(INDEX('LEAD MASTER'!$E$3:$E$402,MATCH($B238,'LEAD MASTER'!$A$3:$A$402,0)),"Lead ID not found"))</f>
        <v/>
      </c>
      <c r="D238" s="17"/>
      <c r="E238" s="17"/>
      <c r="F238" s="37"/>
      <c r="G238" s="37"/>
      <c r="H238" s="17"/>
      <c r="I238" s="37"/>
      <c r="J238" s="37"/>
      <c r="K238" s="37"/>
      <c r="L238" s="17"/>
      <c r="M238" s="37"/>
      <c r="N238" s="37"/>
      <c r="O238" s="37"/>
      <c r="P238" s="38"/>
      <c r="Q238" s="37"/>
      <c r="R238" s="17"/>
    </row>
    <row r="239" customFormat="false" ht="15" hidden="false" customHeight="false" outlineLevel="0" collapsed="false">
      <c r="A239" s="37"/>
      <c r="B239" s="37"/>
      <c r="C239" s="41" t="str">
        <f aca="false">IF($B239="","",IFERROR(INDEX('LEAD MASTER'!$E$3:$E$402,MATCH($B239,'LEAD MASTER'!$A$3:$A$402,0)),"Lead ID not found"))</f>
        <v/>
      </c>
      <c r="D239" s="17"/>
      <c r="E239" s="17"/>
      <c r="F239" s="37"/>
      <c r="G239" s="37"/>
      <c r="H239" s="17"/>
      <c r="I239" s="37"/>
      <c r="J239" s="37"/>
      <c r="K239" s="37"/>
      <c r="L239" s="17"/>
      <c r="M239" s="37"/>
      <c r="N239" s="37"/>
      <c r="O239" s="37"/>
      <c r="P239" s="38"/>
      <c r="Q239" s="37"/>
      <c r="R239" s="17"/>
    </row>
    <row r="240" customFormat="false" ht="15" hidden="false" customHeight="false" outlineLevel="0" collapsed="false">
      <c r="A240" s="37"/>
      <c r="B240" s="37"/>
      <c r="C240" s="41" t="str">
        <f aca="false">IF($B240="","",IFERROR(INDEX('LEAD MASTER'!$E$3:$E$402,MATCH($B240,'LEAD MASTER'!$A$3:$A$402,0)),"Lead ID not found"))</f>
        <v/>
      </c>
      <c r="D240" s="17"/>
      <c r="E240" s="17"/>
      <c r="F240" s="37"/>
      <c r="G240" s="37"/>
      <c r="H240" s="17"/>
      <c r="I240" s="37"/>
      <c r="J240" s="37"/>
      <c r="K240" s="37"/>
      <c r="L240" s="17"/>
      <c r="M240" s="37"/>
      <c r="N240" s="37"/>
      <c r="O240" s="37"/>
      <c r="P240" s="38"/>
      <c r="Q240" s="37"/>
      <c r="R240" s="17"/>
    </row>
    <row r="241" customFormat="false" ht="15" hidden="false" customHeight="false" outlineLevel="0" collapsed="false">
      <c r="A241" s="37"/>
      <c r="B241" s="37"/>
      <c r="C241" s="41" t="str">
        <f aca="false">IF($B241="","",IFERROR(INDEX('LEAD MASTER'!$E$3:$E$402,MATCH($B241,'LEAD MASTER'!$A$3:$A$402,0)),"Lead ID not found"))</f>
        <v/>
      </c>
      <c r="D241" s="17"/>
      <c r="E241" s="17"/>
      <c r="F241" s="37"/>
      <c r="G241" s="37"/>
      <c r="H241" s="17"/>
      <c r="I241" s="37"/>
      <c r="J241" s="37"/>
      <c r="K241" s="37"/>
      <c r="L241" s="17"/>
      <c r="M241" s="37"/>
      <c r="N241" s="37"/>
      <c r="O241" s="37"/>
      <c r="P241" s="38"/>
      <c r="Q241" s="37"/>
      <c r="R241" s="17"/>
    </row>
    <row r="242" customFormat="false" ht="15" hidden="false" customHeight="false" outlineLevel="0" collapsed="false">
      <c r="A242" s="37"/>
      <c r="B242" s="37"/>
      <c r="C242" s="41" t="str">
        <f aca="false">IF($B242="","",IFERROR(INDEX('LEAD MASTER'!$E$3:$E$402,MATCH($B242,'LEAD MASTER'!$A$3:$A$402,0)),"Lead ID not found"))</f>
        <v/>
      </c>
      <c r="D242" s="17"/>
      <c r="E242" s="17"/>
      <c r="F242" s="37"/>
      <c r="G242" s="37"/>
      <c r="H242" s="17"/>
      <c r="I242" s="37"/>
      <c r="J242" s="37"/>
      <c r="K242" s="37"/>
      <c r="L242" s="17"/>
      <c r="M242" s="37"/>
      <c r="N242" s="37"/>
      <c r="O242" s="37"/>
      <c r="P242" s="38"/>
      <c r="Q242" s="37"/>
      <c r="R242" s="17"/>
    </row>
    <row r="243" customFormat="false" ht="15" hidden="false" customHeight="false" outlineLevel="0" collapsed="false">
      <c r="A243" s="37"/>
      <c r="B243" s="37"/>
      <c r="C243" s="41" t="str">
        <f aca="false">IF($B243="","",IFERROR(INDEX('LEAD MASTER'!$E$3:$E$402,MATCH($B243,'LEAD MASTER'!$A$3:$A$402,0)),"Lead ID not found"))</f>
        <v/>
      </c>
      <c r="D243" s="17"/>
      <c r="E243" s="17"/>
      <c r="F243" s="37"/>
      <c r="G243" s="37"/>
      <c r="H243" s="17"/>
      <c r="I243" s="37"/>
      <c r="J243" s="37"/>
      <c r="K243" s="37"/>
      <c r="L243" s="17"/>
      <c r="M243" s="37"/>
      <c r="N243" s="37"/>
      <c r="O243" s="37"/>
      <c r="P243" s="38"/>
      <c r="Q243" s="37"/>
      <c r="R243" s="17"/>
    </row>
    <row r="244" customFormat="false" ht="15" hidden="false" customHeight="false" outlineLevel="0" collapsed="false">
      <c r="A244" s="37"/>
      <c r="B244" s="37"/>
      <c r="C244" s="41" t="str">
        <f aca="false">IF($B244="","",IFERROR(INDEX('LEAD MASTER'!$E$3:$E$402,MATCH($B244,'LEAD MASTER'!$A$3:$A$402,0)),"Lead ID not found"))</f>
        <v/>
      </c>
      <c r="D244" s="17"/>
      <c r="E244" s="17"/>
      <c r="F244" s="37"/>
      <c r="G244" s="37"/>
      <c r="H244" s="17"/>
      <c r="I244" s="37"/>
      <c r="J244" s="37"/>
      <c r="K244" s="37"/>
      <c r="L244" s="17"/>
      <c r="M244" s="37"/>
      <c r="N244" s="37"/>
      <c r="O244" s="37"/>
      <c r="P244" s="38"/>
      <c r="Q244" s="37"/>
      <c r="R244" s="17"/>
    </row>
    <row r="245" customFormat="false" ht="15" hidden="false" customHeight="false" outlineLevel="0" collapsed="false">
      <c r="A245" s="37"/>
      <c r="B245" s="37"/>
      <c r="C245" s="41" t="str">
        <f aca="false">IF($B245="","",IFERROR(INDEX('LEAD MASTER'!$E$3:$E$402,MATCH($B245,'LEAD MASTER'!$A$3:$A$402,0)),"Lead ID not found"))</f>
        <v/>
      </c>
      <c r="D245" s="17"/>
      <c r="E245" s="17"/>
      <c r="F245" s="37"/>
      <c r="G245" s="37"/>
      <c r="H245" s="17"/>
      <c r="I245" s="37"/>
      <c r="J245" s="37"/>
      <c r="K245" s="37"/>
      <c r="L245" s="17"/>
      <c r="M245" s="37"/>
      <c r="N245" s="37"/>
      <c r="O245" s="37"/>
      <c r="P245" s="38"/>
      <c r="Q245" s="37"/>
      <c r="R245" s="17"/>
    </row>
    <row r="246" customFormat="false" ht="15" hidden="false" customHeight="false" outlineLevel="0" collapsed="false">
      <c r="A246" s="37"/>
      <c r="B246" s="37"/>
      <c r="C246" s="41" t="str">
        <f aca="false">IF($B246="","",IFERROR(INDEX('LEAD MASTER'!$E$3:$E$402,MATCH($B246,'LEAD MASTER'!$A$3:$A$402,0)),"Lead ID not found"))</f>
        <v/>
      </c>
      <c r="D246" s="17"/>
      <c r="E246" s="17"/>
      <c r="F246" s="37"/>
      <c r="G246" s="37"/>
      <c r="H246" s="17"/>
      <c r="I246" s="37"/>
      <c r="J246" s="37"/>
      <c r="K246" s="37"/>
      <c r="L246" s="17"/>
      <c r="M246" s="37"/>
      <c r="N246" s="37"/>
      <c r="O246" s="37"/>
      <c r="P246" s="38"/>
      <c r="Q246" s="37"/>
      <c r="R246" s="17"/>
    </row>
    <row r="247" customFormat="false" ht="15" hidden="false" customHeight="false" outlineLevel="0" collapsed="false">
      <c r="A247" s="37"/>
      <c r="B247" s="37"/>
      <c r="C247" s="41" t="str">
        <f aca="false">IF($B247="","",IFERROR(INDEX('LEAD MASTER'!$E$3:$E$402,MATCH($B247,'LEAD MASTER'!$A$3:$A$402,0)),"Lead ID not found"))</f>
        <v/>
      </c>
      <c r="D247" s="17"/>
      <c r="E247" s="17"/>
      <c r="F247" s="37"/>
      <c r="G247" s="37"/>
      <c r="H247" s="17"/>
      <c r="I247" s="37"/>
      <c r="J247" s="37"/>
      <c r="K247" s="37"/>
      <c r="L247" s="17"/>
      <c r="M247" s="37"/>
      <c r="N247" s="37"/>
      <c r="O247" s="37"/>
      <c r="P247" s="38"/>
      <c r="Q247" s="37"/>
      <c r="R247" s="17"/>
    </row>
    <row r="248" customFormat="false" ht="15" hidden="false" customHeight="false" outlineLevel="0" collapsed="false">
      <c r="A248" s="37"/>
      <c r="B248" s="37"/>
      <c r="C248" s="41" t="str">
        <f aca="false">IF($B248="","",IFERROR(INDEX('LEAD MASTER'!$E$3:$E$402,MATCH($B248,'LEAD MASTER'!$A$3:$A$402,0)),"Lead ID not found"))</f>
        <v/>
      </c>
      <c r="D248" s="17"/>
      <c r="E248" s="17"/>
      <c r="F248" s="37"/>
      <c r="G248" s="37"/>
      <c r="H248" s="17"/>
      <c r="I248" s="37"/>
      <c r="J248" s="37"/>
      <c r="K248" s="37"/>
      <c r="L248" s="17"/>
      <c r="M248" s="37"/>
      <c r="N248" s="37"/>
      <c r="O248" s="37"/>
      <c r="P248" s="38"/>
      <c r="Q248" s="37"/>
      <c r="R248" s="17"/>
    </row>
    <row r="249" customFormat="false" ht="15" hidden="false" customHeight="false" outlineLevel="0" collapsed="false">
      <c r="A249" s="37"/>
      <c r="B249" s="37"/>
      <c r="C249" s="41" t="str">
        <f aca="false">IF($B249="","",IFERROR(INDEX('LEAD MASTER'!$E$3:$E$402,MATCH($B249,'LEAD MASTER'!$A$3:$A$402,0)),"Lead ID not found"))</f>
        <v/>
      </c>
      <c r="D249" s="17"/>
      <c r="E249" s="17"/>
      <c r="F249" s="37"/>
      <c r="G249" s="37"/>
      <c r="H249" s="17"/>
      <c r="I249" s="37"/>
      <c r="J249" s="37"/>
      <c r="K249" s="37"/>
      <c r="L249" s="17"/>
      <c r="M249" s="37"/>
      <c r="N249" s="37"/>
      <c r="O249" s="37"/>
      <c r="P249" s="38"/>
      <c r="Q249" s="37"/>
      <c r="R249" s="17"/>
    </row>
    <row r="250" customFormat="false" ht="15" hidden="false" customHeight="false" outlineLevel="0" collapsed="false">
      <c r="A250" s="37"/>
      <c r="B250" s="37"/>
      <c r="C250" s="41" t="str">
        <f aca="false">IF($B250="","",IFERROR(INDEX('LEAD MASTER'!$E$3:$E$402,MATCH($B250,'LEAD MASTER'!$A$3:$A$402,0)),"Lead ID not found"))</f>
        <v/>
      </c>
      <c r="D250" s="17"/>
      <c r="E250" s="17"/>
      <c r="F250" s="37"/>
      <c r="G250" s="37"/>
      <c r="H250" s="17"/>
      <c r="I250" s="37"/>
      <c r="J250" s="37"/>
      <c r="K250" s="37"/>
      <c r="L250" s="17"/>
      <c r="M250" s="37"/>
      <c r="N250" s="37"/>
      <c r="O250" s="37"/>
      <c r="P250" s="38"/>
      <c r="Q250" s="37"/>
      <c r="R250" s="17"/>
    </row>
    <row r="251" customFormat="false" ht="15" hidden="false" customHeight="false" outlineLevel="0" collapsed="false">
      <c r="A251" s="37"/>
      <c r="B251" s="37"/>
      <c r="C251" s="41" t="str">
        <f aca="false">IF($B251="","",IFERROR(INDEX('LEAD MASTER'!$E$3:$E$402,MATCH($B251,'LEAD MASTER'!$A$3:$A$402,0)),"Lead ID not found"))</f>
        <v/>
      </c>
      <c r="D251" s="17"/>
      <c r="E251" s="17"/>
      <c r="F251" s="37"/>
      <c r="G251" s="37"/>
      <c r="H251" s="17"/>
      <c r="I251" s="37"/>
      <c r="J251" s="37"/>
      <c r="K251" s="37"/>
      <c r="L251" s="17"/>
      <c r="M251" s="37"/>
      <c r="N251" s="37"/>
      <c r="O251" s="37"/>
      <c r="P251" s="38"/>
      <c r="Q251" s="37"/>
      <c r="R251" s="17"/>
    </row>
    <row r="252" customFormat="false" ht="15" hidden="false" customHeight="false" outlineLevel="0" collapsed="false">
      <c r="A252" s="37"/>
      <c r="B252" s="37"/>
      <c r="C252" s="41" t="str">
        <f aca="false">IF($B252="","",IFERROR(INDEX('LEAD MASTER'!$E$3:$E$402,MATCH($B252,'LEAD MASTER'!$A$3:$A$402,0)),"Lead ID not found"))</f>
        <v/>
      </c>
      <c r="D252" s="17"/>
      <c r="E252" s="17"/>
      <c r="F252" s="37"/>
      <c r="G252" s="37"/>
      <c r="H252" s="17"/>
      <c r="I252" s="37"/>
      <c r="J252" s="37"/>
      <c r="K252" s="37"/>
      <c r="L252" s="17"/>
      <c r="M252" s="37"/>
      <c r="N252" s="37"/>
      <c r="O252" s="37"/>
      <c r="P252" s="38"/>
      <c r="Q252" s="37"/>
      <c r="R252" s="17"/>
    </row>
    <row r="253" customFormat="false" ht="15" hidden="false" customHeight="false" outlineLevel="0" collapsed="false">
      <c r="A253" s="37"/>
      <c r="B253" s="37"/>
      <c r="C253" s="41" t="str">
        <f aca="false">IF($B253="","",IFERROR(INDEX('LEAD MASTER'!$E$3:$E$402,MATCH($B253,'LEAD MASTER'!$A$3:$A$402,0)),"Lead ID not found"))</f>
        <v/>
      </c>
      <c r="D253" s="17"/>
      <c r="E253" s="17"/>
      <c r="F253" s="37"/>
      <c r="G253" s="37"/>
      <c r="H253" s="17"/>
      <c r="I253" s="37"/>
      <c r="J253" s="37"/>
      <c r="K253" s="37"/>
      <c r="L253" s="17"/>
      <c r="M253" s="37"/>
      <c r="N253" s="37"/>
      <c r="O253" s="37"/>
      <c r="P253" s="38"/>
      <c r="Q253" s="37"/>
      <c r="R253" s="17"/>
    </row>
    <row r="254" customFormat="false" ht="15" hidden="false" customHeight="false" outlineLevel="0" collapsed="false">
      <c r="A254" s="37"/>
      <c r="B254" s="37"/>
      <c r="C254" s="41" t="str">
        <f aca="false">IF($B254="","",IFERROR(INDEX('LEAD MASTER'!$E$3:$E$402,MATCH($B254,'LEAD MASTER'!$A$3:$A$402,0)),"Lead ID not found"))</f>
        <v/>
      </c>
      <c r="D254" s="17"/>
      <c r="E254" s="17"/>
      <c r="F254" s="37"/>
      <c r="G254" s="37"/>
      <c r="H254" s="17"/>
      <c r="I254" s="37"/>
      <c r="J254" s="37"/>
      <c r="K254" s="37"/>
      <c r="L254" s="17"/>
      <c r="M254" s="37"/>
      <c r="N254" s="37"/>
      <c r="O254" s="37"/>
      <c r="P254" s="38"/>
      <c r="Q254" s="37"/>
      <c r="R254" s="17"/>
    </row>
    <row r="255" customFormat="false" ht="15" hidden="false" customHeight="false" outlineLevel="0" collapsed="false">
      <c r="A255" s="37"/>
      <c r="B255" s="37"/>
      <c r="C255" s="41" t="str">
        <f aca="false">IF($B255="","",IFERROR(INDEX('LEAD MASTER'!$E$3:$E$402,MATCH($B255,'LEAD MASTER'!$A$3:$A$402,0)),"Lead ID not found"))</f>
        <v/>
      </c>
      <c r="D255" s="17"/>
      <c r="E255" s="17"/>
      <c r="F255" s="37"/>
      <c r="G255" s="37"/>
      <c r="H255" s="17"/>
      <c r="I255" s="37"/>
      <c r="J255" s="37"/>
      <c r="K255" s="37"/>
      <c r="L255" s="17"/>
      <c r="M255" s="37"/>
      <c r="N255" s="37"/>
      <c r="O255" s="37"/>
      <c r="P255" s="38"/>
      <c r="Q255" s="37"/>
      <c r="R255" s="17"/>
    </row>
    <row r="256" customFormat="false" ht="15" hidden="false" customHeight="false" outlineLevel="0" collapsed="false">
      <c r="A256" s="37"/>
      <c r="B256" s="37"/>
      <c r="C256" s="41" t="str">
        <f aca="false">IF($B256="","",IFERROR(INDEX('LEAD MASTER'!$E$3:$E$402,MATCH($B256,'LEAD MASTER'!$A$3:$A$402,0)),"Lead ID not found"))</f>
        <v/>
      </c>
      <c r="D256" s="17"/>
      <c r="E256" s="17"/>
      <c r="F256" s="37"/>
      <c r="G256" s="37"/>
      <c r="H256" s="17"/>
      <c r="I256" s="37"/>
      <c r="J256" s="37"/>
      <c r="K256" s="37"/>
      <c r="L256" s="17"/>
      <c r="M256" s="37"/>
      <c r="N256" s="37"/>
      <c r="O256" s="37"/>
      <c r="P256" s="38"/>
      <c r="Q256" s="37"/>
      <c r="R256" s="17"/>
    </row>
    <row r="257" customFormat="false" ht="15" hidden="false" customHeight="false" outlineLevel="0" collapsed="false">
      <c r="A257" s="37"/>
      <c r="B257" s="37"/>
      <c r="C257" s="41" t="str">
        <f aca="false">IF($B257="","",IFERROR(INDEX('LEAD MASTER'!$E$3:$E$402,MATCH($B257,'LEAD MASTER'!$A$3:$A$402,0)),"Lead ID not found"))</f>
        <v/>
      </c>
      <c r="D257" s="17"/>
      <c r="E257" s="17"/>
      <c r="F257" s="37"/>
      <c r="G257" s="37"/>
      <c r="H257" s="17"/>
      <c r="I257" s="37"/>
      <c r="J257" s="37"/>
      <c r="K257" s="37"/>
      <c r="L257" s="17"/>
      <c r="M257" s="37"/>
      <c r="N257" s="37"/>
      <c r="O257" s="37"/>
      <c r="P257" s="38"/>
      <c r="Q257" s="37"/>
      <c r="R257" s="17"/>
    </row>
    <row r="258" customFormat="false" ht="15" hidden="false" customHeight="false" outlineLevel="0" collapsed="false">
      <c r="A258" s="37"/>
      <c r="B258" s="37"/>
      <c r="C258" s="41" t="str">
        <f aca="false">IF($B258="","",IFERROR(INDEX('LEAD MASTER'!$E$3:$E$402,MATCH($B258,'LEAD MASTER'!$A$3:$A$402,0)),"Lead ID not found"))</f>
        <v/>
      </c>
      <c r="D258" s="17"/>
      <c r="E258" s="17"/>
      <c r="F258" s="37"/>
      <c r="G258" s="37"/>
      <c r="H258" s="17"/>
      <c r="I258" s="37"/>
      <c r="J258" s="37"/>
      <c r="K258" s="37"/>
      <c r="L258" s="17"/>
      <c r="M258" s="37"/>
      <c r="N258" s="37"/>
      <c r="O258" s="37"/>
      <c r="P258" s="38"/>
      <c r="Q258" s="37"/>
      <c r="R258" s="17"/>
    </row>
    <row r="259" customFormat="false" ht="15" hidden="false" customHeight="false" outlineLevel="0" collapsed="false">
      <c r="A259" s="37"/>
      <c r="B259" s="37"/>
      <c r="C259" s="41" t="str">
        <f aca="false">IF($B259="","",IFERROR(INDEX('LEAD MASTER'!$E$3:$E$402,MATCH($B259,'LEAD MASTER'!$A$3:$A$402,0)),"Lead ID not found"))</f>
        <v/>
      </c>
      <c r="D259" s="17"/>
      <c r="E259" s="17"/>
      <c r="F259" s="37"/>
      <c r="G259" s="37"/>
      <c r="H259" s="17"/>
      <c r="I259" s="37"/>
      <c r="J259" s="37"/>
      <c r="K259" s="37"/>
      <c r="L259" s="17"/>
      <c r="M259" s="37"/>
      <c r="N259" s="37"/>
      <c r="O259" s="37"/>
      <c r="P259" s="38"/>
      <c r="Q259" s="37"/>
      <c r="R259" s="17"/>
    </row>
    <row r="260" customFormat="false" ht="15" hidden="false" customHeight="false" outlineLevel="0" collapsed="false">
      <c r="A260" s="37"/>
      <c r="B260" s="37"/>
      <c r="C260" s="41" t="str">
        <f aca="false">IF($B260="","",IFERROR(INDEX('LEAD MASTER'!$E$3:$E$402,MATCH($B260,'LEAD MASTER'!$A$3:$A$402,0)),"Lead ID not found"))</f>
        <v/>
      </c>
      <c r="D260" s="17"/>
      <c r="E260" s="17"/>
      <c r="F260" s="37"/>
      <c r="G260" s="37"/>
      <c r="H260" s="17"/>
      <c r="I260" s="37"/>
      <c r="J260" s="37"/>
      <c r="K260" s="37"/>
      <c r="L260" s="17"/>
      <c r="M260" s="37"/>
      <c r="N260" s="37"/>
      <c r="O260" s="37"/>
      <c r="P260" s="38"/>
      <c r="Q260" s="37"/>
      <c r="R260" s="17"/>
    </row>
    <row r="261" customFormat="false" ht="15" hidden="false" customHeight="false" outlineLevel="0" collapsed="false">
      <c r="A261" s="37"/>
      <c r="B261" s="37"/>
      <c r="C261" s="41" t="str">
        <f aca="false">IF($B261="","",IFERROR(INDEX('LEAD MASTER'!$E$3:$E$402,MATCH($B261,'LEAD MASTER'!$A$3:$A$402,0)),"Lead ID not found"))</f>
        <v/>
      </c>
      <c r="D261" s="17"/>
      <c r="E261" s="17"/>
      <c r="F261" s="37"/>
      <c r="G261" s="37"/>
      <c r="H261" s="17"/>
      <c r="I261" s="37"/>
      <c r="J261" s="37"/>
      <c r="K261" s="37"/>
      <c r="L261" s="17"/>
      <c r="M261" s="37"/>
      <c r="N261" s="37"/>
      <c r="O261" s="37"/>
      <c r="P261" s="38"/>
      <c r="Q261" s="37"/>
      <c r="R261" s="17"/>
    </row>
    <row r="262" customFormat="false" ht="15" hidden="false" customHeight="false" outlineLevel="0" collapsed="false">
      <c r="A262" s="37"/>
      <c r="B262" s="37"/>
      <c r="C262" s="41" t="str">
        <f aca="false">IF($B262="","",IFERROR(INDEX('LEAD MASTER'!$E$3:$E$402,MATCH($B262,'LEAD MASTER'!$A$3:$A$402,0)),"Lead ID not found"))</f>
        <v/>
      </c>
      <c r="D262" s="17"/>
      <c r="E262" s="17"/>
      <c r="F262" s="37"/>
      <c r="G262" s="37"/>
      <c r="H262" s="17"/>
      <c r="I262" s="37"/>
      <c r="J262" s="37"/>
      <c r="K262" s="37"/>
      <c r="L262" s="17"/>
      <c r="M262" s="37"/>
      <c r="N262" s="37"/>
      <c r="O262" s="37"/>
      <c r="P262" s="38"/>
      <c r="Q262" s="37"/>
      <c r="R262" s="17"/>
    </row>
    <row r="263" customFormat="false" ht="15" hidden="false" customHeight="false" outlineLevel="0" collapsed="false">
      <c r="A263" s="37"/>
      <c r="B263" s="37"/>
      <c r="C263" s="41" t="str">
        <f aca="false">IF($B263="","",IFERROR(INDEX('LEAD MASTER'!$E$3:$E$402,MATCH($B263,'LEAD MASTER'!$A$3:$A$402,0)),"Lead ID not found"))</f>
        <v/>
      </c>
      <c r="D263" s="17"/>
      <c r="E263" s="17"/>
      <c r="F263" s="37"/>
      <c r="G263" s="37"/>
      <c r="H263" s="17"/>
      <c r="I263" s="37"/>
      <c r="J263" s="37"/>
      <c r="K263" s="37"/>
      <c r="L263" s="17"/>
      <c r="M263" s="37"/>
      <c r="N263" s="37"/>
      <c r="O263" s="37"/>
      <c r="P263" s="38"/>
      <c r="Q263" s="37"/>
      <c r="R263" s="17"/>
    </row>
    <row r="264" customFormat="false" ht="15" hidden="false" customHeight="false" outlineLevel="0" collapsed="false">
      <c r="A264" s="37"/>
      <c r="B264" s="37"/>
      <c r="C264" s="41" t="str">
        <f aca="false">IF($B264="","",IFERROR(INDEX('LEAD MASTER'!$E$3:$E$402,MATCH($B264,'LEAD MASTER'!$A$3:$A$402,0)),"Lead ID not found"))</f>
        <v/>
      </c>
      <c r="D264" s="17"/>
      <c r="E264" s="17"/>
      <c r="F264" s="37"/>
      <c r="G264" s="37"/>
      <c r="H264" s="17"/>
      <c r="I264" s="37"/>
      <c r="J264" s="37"/>
      <c r="K264" s="37"/>
      <c r="L264" s="17"/>
      <c r="M264" s="37"/>
      <c r="N264" s="37"/>
      <c r="O264" s="37"/>
      <c r="P264" s="38"/>
      <c r="Q264" s="37"/>
      <c r="R264" s="17"/>
    </row>
    <row r="265" customFormat="false" ht="15" hidden="false" customHeight="false" outlineLevel="0" collapsed="false">
      <c r="A265" s="37"/>
      <c r="B265" s="37"/>
      <c r="C265" s="41" t="str">
        <f aca="false">IF($B265="","",IFERROR(INDEX('LEAD MASTER'!$E$3:$E$402,MATCH($B265,'LEAD MASTER'!$A$3:$A$402,0)),"Lead ID not found"))</f>
        <v/>
      </c>
      <c r="D265" s="17"/>
      <c r="E265" s="17"/>
      <c r="F265" s="37"/>
      <c r="G265" s="37"/>
      <c r="H265" s="17"/>
      <c r="I265" s="37"/>
      <c r="J265" s="37"/>
      <c r="K265" s="37"/>
      <c r="L265" s="17"/>
      <c r="M265" s="37"/>
      <c r="N265" s="37"/>
      <c r="O265" s="37"/>
      <c r="P265" s="38"/>
      <c r="Q265" s="37"/>
      <c r="R265" s="17"/>
    </row>
    <row r="266" customFormat="false" ht="15" hidden="false" customHeight="false" outlineLevel="0" collapsed="false">
      <c r="A266" s="37"/>
      <c r="B266" s="37"/>
      <c r="C266" s="41" t="str">
        <f aca="false">IF($B266="","",IFERROR(INDEX('LEAD MASTER'!$E$3:$E$402,MATCH($B266,'LEAD MASTER'!$A$3:$A$402,0)),"Lead ID not found"))</f>
        <v/>
      </c>
      <c r="D266" s="17"/>
      <c r="E266" s="17"/>
      <c r="F266" s="37"/>
      <c r="G266" s="37"/>
      <c r="H266" s="17"/>
      <c r="I266" s="37"/>
      <c r="J266" s="37"/>
      <c r="K266" s="37"/>
      <c r="L266" s="17"/>
      <c r="M266" s="37"/>
      <c r="N266" s="37"/>
      <c r="O266" s="37"/>
      <c r="P266" s="38"/>
      <c r="Q266" s="37"/>
      <c r="R266" s="17"/>
    </row>
    <row r="267" customFormat="false" ht="15" hidden="false" customHeight="false" outlineLevel="0" collapsed="false">
      <c r="A267" s="37"/>
      <c r="B267" s="37"/>
      <c r="C267" s="41" t="str">
        <f aca="false">IF($B267="","",IFERROR(INDEX('LEAD MASTER'!$E$3:$E$402,MATCH($B267,'LEAD MASTER'!$A$3:$A$402,0)),"Lead ID not found"))</f>
        <v/>
      </c>
      <c r="D267" s="17"/>
      <c r="E267" s="17"/>
      <c r="F267" s="37"/>
      <c r="G267" s="37"/>
      <c r="H267" s="17"/>
      <c r="I267" s="37"/>
      <c r="J267" s="37"/>
      <c r="K267" s="37"/>
      <c r="L267" s="17"/>
      <c r="M267" s="37"/>
      <c r="N267" s="37"/>
      <c r="O267" s="37"/>
      <c r="P267" s="38"/>
      <c r="Q267" s="37"/>
      <c r="R267" s="17"/>
    </row>
    <row r="268" customFormat="false" ht="15" hidden="false" customHeight="false" outlineLevel="0" collapsed="false">
      <c r="A268" s="37"/>
      <c r="B268" s="37"/>
      <c r="C268" s="41" t="str">
        <f aca="false">IF($B268="","",IFERROR(INDEX('LEAD MASTER'!$E$3:$E$402,MATCH($B268,'LEAD MASTER'!$A$3:$A$402,0)),"Lead ID not found"))</f>
        <v/>
      </c>
      <c r="D268" s="17"/>
      <c r="E268" s="17"/>
      <c r="F268" s="37"/>
      <c r="G268" s="37"/>
      <c r="H268" s="17"/>
      <c r="I268" s="37"/>
      <c r="J268" s="37"/>
      <c r="K268" s="37"/>
      <c r="L268" s="17"/>
      <c r="M268" s="37"/>
      <c r="N268" s="37"/>
      <c r="O268" s="37"/>
      <c r="P268" s="38"/>
      <c r="Q268" s="37"/>
      <c r="R268" s="17"/>
    </row>
    <row r="269" customFormat="false" ht="15" hidden="false" customHeight="false" outlineLevel="0" collapsed="false">
      <c r="A269" s="37"/>
      <c r="B269" s="37"/>
      <c r="C269" s="41" t="str">
        <f aca="false">IF($B269="","",IFERROR(INDEX('LEAD MASTER'!$E$3:$E$402,MATCH($B269,'LEAD MASTER'!$A$3:$A$402,0)),"Lead ID not found"))</f>
        <v/>
      </c>
      <c r="D269" s="17"/>
      <c r="E269" s="17"/>
      <c r="F269" s="37"/>
      <c r="G269" s="37"/>
      <c r="H269" s="17"/>
      <c r="I269" s="37"/>
      <c r="J269" s="37"/>
      <c r="K269" s="37"/>
      <c r="L269" s="17"/>
      <c r="M269" s="37"/>
      <c r="N269" s="37"/>
      <c r="O269" s="37"/>
      <c r="P269" s="38"/>
      <c r="Q269" s="37"/>
      <c r="R269" s="17"/>
    </row>
    <row r="270" customFormat="false" ht="15" hidden="false" customHeight="false" outlineLevel="0" collapsed="false">
      <c r="A270" s="37"/>
      <c r="B270" s="37"/>
      <c r="C270" s="41" t="str">
        <f aca="false">IF($B270="","",IFERROR(INDEX('LEAD MASTER'!$E$3:$E$402,MATCH($B270,'LEAD MASTER'!$A$3:$A$402,0)),"Lead ID not found"))</f>
        <v/>
      </c>
      <c r="D270" s="17"/>
      <c r="E270" s="17"/>
      <c r="F270" s="37"/>
      <c r="G270" s="37"/>
      <c r="H270" s="17"/>
      <c r="I270" s="37"/>
      <c r="J270" s="37"/>
      <c r="K270" s="37"/>
      <c r="L270" s="17"/>
      <c r="M270" s="37"/>
      <c r="N270" s="37"/>
      <c r="O270" s="37"/>
      <c r="P270" s="38"/>
      <c r="Q270" s="37"/>
      <c r="R270" s="17"/>
    </row>
    <row r="271" customFormat="false" ht="15" hidden="false" customHeight="false" outlineLevel="0" collapsed="false">
      <c r="A271" s="37"/>
      <c r="B271" s="37"/>
      <c r="C271" s="41" t="str">
        <f aca="false">IF($B271="","",IFERROR(INDEX('LEAD MASTER'!$E$3:$E$402,MATCH($B271,'LEAD MASTER'!$A$3:$A$402,0)),"Lead ID not found"))</f>
        <v/>
      </c>
      <c r="D271" s="17"/>
      <c r="E271" s="17"/>
      <c r="F271" s="37"/>
      <c r="G271" s="37"/>
      <c r="H271" s="17"/>
      <c r="I271" s="37"/>
      <c r="J271" s="37"/>
      <c r="K271" s="37"/>
      <c r="L271" s="17"/>
      <c r="M271" s="37"/>
      <c r="N271" s="37"/>
      <c r="O271" s="37"/>
      <c r="P271" s="38"/>
      <c r="Q271" s="37"/>
      <c r="R271" s="17"/>
    </row>
    <row r="272" customFormat="false" ht="15" hidden="false" customHeight="false" outlineLevel="0" collapsed="false">
      <c r="A272" s="37"/>
      <c r="B272" s="37"/>
      <c r="C272" s="41" t="str">
        <f aca="false">IF($B272="","",IFERROR(INDEX('LEAD MASTER'!$E$3:$E$402,MATCH($B272,'LEAD MASTER'!$A$3:$A$402,0)),"Lead ID not found"))</f>
        <v/>
      </c>
      <c r="D272" s="17"/>
      <c r="E272" s="17"/>
      <c r="F272" s="37"/>
      <c r="G272" s="37"/>
      <c r="H272" s="17"/>
      <c r="I272" s="37"/>
      <c r="J272" s="37"/>
      <c r="K272" s="37"/>
      <c r="L272" s="17"/>
      <c r="M272" s="37"/>
      <c r="N272" s="37"/>
      <c r="O272" s="37"/>
      <c r="P272" s="38"/>
      <c r="Q272" s="37"/>
      <c r="R272" s="17"/>
    </row>
    <row r="273" customFormat="false" ht="15" hidden="false" customHeight="false" outlineLevel="0" collapsed="false">
      <c r="A273" s="37"/>
      <c r="B273" s="37"/>
      <c r="C273" s="41" t="str">
        <f aca="false">IF($B273="","",IFERROR(INDEX('LEAD MASTER'!$E$3:$E$402,MATCH($B273,'LEAD MASTER'!$A$3:$A$402,0)),"Lead ID not found"))</f>
        <v/>
      </c>
      <c r="D273" s="17"/>
      <c r="E273" s="17"/>
      <c r="F273" s="37"/>
      <c r="G273" s="37"/>
      <c r="H273" s="17"/>
      <c r="I273" s="37"/>
      <c r="J273" s="37"/>
      <c r="K273" s="37"/>
      <c r="L273" s="17"/>
      <c r="M273" s="37"/>
      <c r="N273" s="37"/>
      <c r="O273" s="37"/>
      <c r="P273" s="38"/>
      <c r="Q273" s="37"/>
      <c r="R273" s="17"/>
    </row>
    <row r="274" customFormat="false" ht="15" hidden="false" customHeight="false" outlineLevel="0" collapsed="false">
      <c r="A274" s="37"/>
      <c r="B274" s="37"/>
      <c r="C274" s="41" t="str">
        <f aca="false">IF($B274="","",IFERROR(INDEX('LEAD MASTER'!$E$3:$E$402,MATCH($B274,'LEAD MASTER'!$A$3:$A$402,0)),"Lead ID not found"))</f>
        <v/>
      </c>
      <c r="D274" s="17"/>
      <c r="E274" s="17"/>
      <c r="F274" s="37"/>
      <c r="G274" s="37"/>
      <c r="H274" s="17"/>
      <c r="I274" s="37"/>
      <c r="J274" s="37"/>
      <c r="K274" s="37"/>
      <c r="L274" s="17"/>
      <c r="M274" s="37"/>
      <c r="N274" s="37"/>
      <c r="O274" s="37"/>
      <c r="P274" s="38"/>
      <c r="Q274" s="37"/>
      <c r="R274" s="17"/>
    </row>
    <row r="275" customFormat="false" ht="15" hidden="false" customHeight="false" outlineLevel="0" collapsed="false">
      <c r="A275" s="37"/>
      <c r="B275" s="37"/>
      <c r="C275" s="41" t="str">
        <f aca="false">IF($B275="","",IFERROR(INDEX('LEAD MASTER'!$E$3:$E$402,MATCH($B275,'LEAD MASTER'!$A$3:$A$402,0)),"Lead ID not found"))</f>
        <v/>
      </c>
      <c r="D275" s="17"/>
      <c r="E275" s="17"/>
      <c r="F275" s="37"/>
      <c r="G275" s="37"/>
      <c r="H275" s="17"/>
      <c r="I275" s="37"/>
      <c r="J275" s="37"/>
      <c r="K275" s="37"/>
      <c r="L275" s="17"/>
      <c r="M275" s="37"/>
      <c r="N275" s="37"/>
      <c r="O275" s="37"/>
      <c r="P275" s="38"/>
      <c r="Q275" s="37"/>
      <c r="R275" s="17"/>
    </row>
    <row r="276" customFormat="false" ht="15" hidden="false" customHeight="false" outlineLevel="0" collapsed="false">
      <c r="A276" s="37"/>
      <c r="B276" s="37"/>
      <c r="C276" s="41" t="str">
        <f aca="false">IF($B276="","",IFERROR(INDEX('LEAD MASTER'!$E$3:$E$402,MATCH($B276,'LEAD MASTER'!$A$3:$A$402,0)),"Lead ID not found"))</f>
        <v/>
      </c>
      <c r="D276" s="17"/>
      <c r="E276" s="17"/>
      <c r="F276" s="37"/>
      <c r="G276" s="37"/>
      <c r="H276" s="17"/>
      <c r="I276" s="37"/>
      <c r="J276" s="37"/>
      <c r="K276" s="37"/>
      <c r="L276" s="17"/>
      <c r="M276" s="37"/>
      <c r="N276" s="37"/>
      <c r="O276" s="37"/>
      <c r="P276" s="38"/>
      <c r="Q276" s="37"/>
      <c r="R276" s="17"/>
    </row>
    <row r="277" customFormat="false" ht="15" hidden="false" customHeight="false" outlineLevel="0" collapsed="false">
      <c r="A277" s="37"/>
      <c r="B277" s="37"/>
      <c r="C277" s="41" t="str">
        <f aca="false">IF($B277="","",IFERROR(INDEX('LEAD MASTER'!$E$3:$E$402,MATCH($B277,'LEAD MASTER'!$A$3:$A$402,0)),"Lead ID not found"))</f>
        <v/>
      </c>
      <c r="D277" s="17"/>
      <c r="E277" s="17"/>
      <c r="F277" s="37"/>
      <c r="G277" s="37"/>
      <c r="H277" s="17"/>
      <c r="I277" s="37"/>
      <c r="J277" s="37"/>
      <c r="K277" s="37"/>
      <c r="L277" s="17"/>
      <c r="M277" s="37"/>
      <c r="N277" s="37"/>
      <c r="O277" s="37"/>
      <c r="P277" s="38"/>
      <c r="Q277" s="37"/>
      <c r="R277" s="17"/>
    </row>
    <row r="278" customFormat="false" ht="15" hidden="false" customHeight="false" outlineLevel="0" collapsed="false">
      <c r="A278" s="37"/>
      <c r="B278" s="37"/>
      <c r="C278" s="41" t="str">
        <f aca="false">IF($B278="","",IFERROR(INDEX('LEAD MASTER'!$E$3:$E$402,MATCH($B278,'LEAD MASTER'!$A$3:$A$402,0)),"Lead ID not found"))</f>
        <v/>
      </c>
      <c r="D278" s="17"/>
      <c r="E278" s="17"/>
      <c r="F278" s="37"/>
      <c r="G278" s="37"/>
      <c r="H278" s="17"/>
      <c r="I278" s="37"/>
      <c r="J278" s="37"/>
      <c r="K278" s="37"/>
      <c r="L278" s="17"/>
      <c r="M278" s="37"/>
      <c r="N278" s="37"/>
      <c r="O278" s="37"/>
      <c r="P278" s="38"/>
      <c r="Q278" s="37"/>
      <c r="R278" s="17"/>
    </row>
    <row r="279" customFormat="false" ht="15" hidden="false" customHeight="false" outlineLevel="0" collapsed="false">
      <c r="A279" s="37"/>
      <c r="B279" s="37"/>
      <c r="C279" s="41" t="str">
        <f aca="false">IF($B279="","",IFERROR(INDEX('LEAD MASTER'!$E$3:$E$402,MATCH($B279,'LEAD MASTER'!$A$3:$A$402,0)),"Lead ID not found"))</f>
        <v/>
      </c>
      <c r="D279" s="17"/>
      <c r="E279" s="17"/>
      <c r="F279" s="37"/>
      <c r="G279" s="37"/>
      <c r="H279" s="17"/>
      <c r="I279" s="37"/>
      <c r="J279" s="37"/>
      <c r="K279" s="37"/>
      <c r="L279" s="17"/>
      <c r="M279" s="37"/>
      <c r="N279" s="37"/>
      <c r="O279" s="37"/>
      <c r="P279" s="38"/>
      <c r="Q279" s="37"/>
      <c r="R279" s="17"/>
    </row>
    <row r="280" customFormat="false" ht="15" hidden="false" customHeight="false" outlineLevel="0" collapsed="false">
      <c r="A280" s="37"/>
      <c r="B280" s="37"/>
      <c r="C280" s="41" t="str">
        <f aca="false">IF($B280="","",IFERROR(INDEX('LEAD MASTER'!$E$3:$E$402,MATCH($B280,'LEAD MASTER'!$A$3:$A$402,0)),"Lead ID not found"))</f>
        <v/>
      </c>
      <c r="D280" s="17"/>
      <c r="E280" s="17"/>
      <c r="F280" s="37"/>
      <c r="G280" s="37"/>
      <c r="H280" s="17"/>
      <c r="I280" s="37"/>
      <c r="J280" s="37"/>
      <c r="K280" s="37"/>
      <c r="L280" s="17"/>
      <c r="M280" s="37"/>
      <c r="N280" s="37"/>
      <c r="O280" s="37"/>
      <c r="P280" s="38"/>
      <c r="Q280" s="37"/>
      <c r="R280" s="17"/>
    </row>
    <row r="281" customFormat="false" ht="15" hidden="false" customHeight="false" outlineLevel="0" collapsed="false">
      <c r="A281" s="37"/>
      <c r="B281" s="37"/>
      <c r="C281" s="41" t="str">
        <f aca="false">IF($B281="","",IFERROR(INDEX('LEAD MASTER'!$E$3:$E$402,MATCH($B281,'LEAD MASTER'!$A$3:$A$402,0)),"Lead ID not found"))</f>
        <v/>
      </c>
      <c r="D281" s="17"/>
      <c r="E281" s="17"/>
      <c r="F281" s="37"/>
      <c r="G281" s="37"/>
      <c r="H281" s="17"/>
      <c r="I281" s="37"/>
      <c r="J281" s="37"/>
      <c r="K281" s="37"/>
      <c r="L281" s="17"/>
      <c r="M281" s="37"/>
      <c r="N281" s="37"/>
      <c r="O281" s="37"/>
      <c r="P281" s="38"/>
      <c r="Q281" s="37"/>
      <c r="R281" s="17"/>
    </row>
    <row r="282" customFormat="false" ht="15" hidden="false" customHeight="false" outlineLevel="0" collapsed="false">
      <c r="A282" s="37"/>
      <c r="B282" s="37"/>
      <c r="C282" s="41" t="str">
        <f aca="false">IF($B282="","",IFERROR(INDEX('LEAD MASTER'!$E$3:$E$402,MATCH($B282,'LEAD MASTER'!$A$3:$A$402,0)),"Lead ID not found"))</f>
        <v/>
      </c>
      <c r="D282" s="17"/>
      <c r="E282" s="17"/>
      <c r="F282" s="37"/>
      <c r="G282" s="37"/>
      <c r="H282" s="17"/>
      <c r="I282" s="37"/>
      <c r="J282" s="37"/>
      <c r="K282" s="37"/>
      <c r="L282" s="17"/>
      <c r="M282" s="37"/>
      <c r="N282" s="37"/>
      <c r="O282" s="37"/>
      <c r="P282" s="38"/>
      <c r="Q282" s="37"/>
      <c r="R282" s="17"/>
    </row>
    <row r="283" customFormat="false" ht="15" hidden="false" customHeight="false" outlineLevel="0" collapsed="false">
      <c r="A283" s="37"/>
      <c r="B283" s="37"/>
      <c r="C283" s="41" t="str">
        <f aca="false">IF($B283="","",IFERROR(INDEX('LEAD MASTER'!$E$3:$E$402,MATCH($B283,'LEAD MASTER'!$A$3:$A$402,0)),"Lead ID not found"))</f>
        <v/>
      </c>
      <c r="D283" s="17"/>
      <c r="E283" s="17"/>
      <c r="F283" s="37"/>
      <c r="G283" s="37"/>
      <c r="H283" s="17"/>
      <c r="I283" s="37"/>
      <c r="J283" s="37"/>
      <c r="K283" s="37"/>
      <c r="L283" s="17"/>
      <c r="M283" s="37"/>
      <c r="N283" s="37"/>
      <c r="O283" s="37"/>
      <c r="P283" s="38"/>
      <c r="Q283" s="37"/>
      <c r="R283" s="17"/>
    </row>
    <row r="284" customFormat="false" ht="15" hidden="false" customHeight="false" outlineLevel="0" collapsed="false">
      <c r="A284" s="37"/>
      <c r="B284" s="37"/>
      <c r="C284" s="41" t="str">
        <f aca="false">IF($B284="","",IFERROR(INDEX('LEAD MASTER'!$E$3:$E$402,MATCH($B284,'LEAD MASTER'!$A$3:$A$402,0)),"Lead ID not found"))</f>
        <v/>
      </c>
      <c r="D284" s="17"/>
      <c r="E284" s="17"/>
      <c r="F284" s="37"/>
      <c r="G284" s="37"/>
      <c r="H284" s="17"/>
      <c r="I284" s="37"/>
      <c r="J284" s="37"/>
      <c r="K284" s="37"/>
      <c r="L284" s="17"/>
      <c r="M284" s="37"/>
      <c r="N284" s="37"/>
      <c r="O284" s="37"/>
      <c r="P284" s="38"/>
      <c r="Q284" s="37"/>
      <c r="R284" s="17"/>
    </row>
    <row r="285" customFormat="false" ht="15" hidden="false" customHeight="false" outlineLevel="0" collapsed="false">
      <c r="A285" s="37"/>
      <c r="B285" s="37"/>
      <c r="C285" s="41" t="str">
        <f aca="false">IF($B285="","",IFERROR(INDEX('LEAD MASTER'!$E$3:$E$402,MATCH($B285,'LEAD MASTER'!$A$3:$A$402,0)),"Lead ID not found"))</f>
        <v/>
      </c>
      <c r="D285" s="17"/>
      <c r="E285" s="17"/>
      <c r="F285" s="37"/>
      <c r="G285" s="37"/>
      <c r="H285" s="17"/>
      <c r="I285" s="37"/>
      <c r="J285" s="37"/>
      <c r="K285" s="37"/>
      <c r="L285" s="17"/>
      <c r="M285" s="37"/>
      <c r="N285" s="37"/>
      <c r="O285" s="37"/>
      <c r="P285" s="38"/>
      <c r="Q285" s="37"/>
      <c r="R285" s="17"/>
    </row>
    <row r="286" customFormat="false" ht="15" hidden="false" customHeight="false" outlineLevel="0" collapsed="false">
      <c r="A286" s="37"/>
      <c r="B286" s="37"/>
      <c r="C286" s="41" t="str">
        <f aca="false">IF($B286="","",IFERROR(INDEX('LEAD MASTER'!$E$3:$E$402,MATCH($B286,'LEAD MASTER'!$A$3:$A$402,0)),"Lead ID not found"))</f>
        <v/>
      </c>
      <c r="D286" s="17"/>
      <c r="E286" s="17"/>
      <c r="F286" s="37"/>
      <c r="G286" s="37"/>
      <c r="H286" s="17"/>
      <c r="I286" s="37"/>
      <c r="J286" s="37"/>
      <c r="K286" s="37"/>
      <c r="L286" s="17"/>
      <c r="M286" s="37"/>
      <c r="N286" s="37"/>
      <c r="O286" s="37"/>
      <c r="P286" s="38"/>
      <c r="Q286" s="37"/>
      <c r="R286" s="17"/>
    </row>
    <row r="287" customFormat="false" ht="15" hidden="false" customHeight="false" outlineLevel="0" collapsed="false">
      <c r="A287" s="37"/>
      <c r="B287" s="37"/>
      <c r="C287" s="41" t="str">
        <f aca="false">IF($B287="","",IFERROR(INDEX('LEAD MASTER'!$E$3:$E$402,MATCH($B287,'LEAD MASTER'!$A$3:$A$402,0)),"Lead ID not found"))</f>
        <v/>
      </c>
      <c r="D287" s="17"/>
      <c r="E287" s="17"/>
      <c r="F287" s="37"/>
      <c r="G287" s="37"/>
      <c r="H287" s="17"/>
      <c r="I287" s="37"/>
      <c r="J287" s="37"/>
      <c r="K287" s="37"/>
      <c r="L287" s="17"/>
      <c r="M287" s="37"/>
      <c r="N287" s="37"/>
      <c r="O287" s="37"/>
      <c r="P287" s="38"/>
      <c r="Q287" s="37"/>
      <c r="R287" s="17"/>
    </row>
    <row r="288" customFormat="false" ht="15" hidden="false" customHeight="false" outlineLevel="0" collapsed="false">
      <c r="A288" s="37"/>
      <c r="B288" s="37"/>
      <c r="C288" s="41" t="str">
        <f aca="false">IF($B288="","",IFERROR(INDEX('LEAD MASTER'!$E$3:$E$402,MATCH($B288,'LEAD MASTER'!$A$3:$A$402,0)),"Lead ID not found"))</f>
        <v/>
      </c>
      <c r="D288" s="17"/>
      <c r="E288" s="17"/>
      <c r="F288" s="37"/>
      <c r="G288" s="37"/>
      <c r="H288" s="17"/>
      <c r="I288" s="37"/>
      <c r="J288" s="37"/>
      <c r="K288" s="37"/>
      <c r="L288" s="17"/>
      <c r="M288" s="37"/>
      <c r="N288" s="37"/>
      <c r="O288" s="37"/>
      <c r="P288" s="38"/>
      <c r="Q288" s="37"/>
      <c r="R288" s="17"/>
    </row>
    <row r="289" customFormat="false" ht="15" hidden="false" customHeight="false" outlineLevel="0" collapsed="false">
      <c r="A289" s="37"/>
      <c r="B289" s="37"/>
      <c r="C289" s="41" t="str">
        <f aca="false">IF($B289="","",IFERROR(INDEX('LEAD MASTER'!$E$3:$E$402,MATCH($B289,'LEAD MASTER'!$A$3:$A$402,0)),"Lead ID not found"))</f>
        <v/>
      </c>
      <c r="D289" s="17"/>
      <c r="E289" s="17"/>
      <c r="F289" s="37"/>
      <c r="G289" s="37"/>
      <c r="H289" s="17"/>
      <c r="I289" s="37"/>
      <c r="J289" s="37"/>
      <c r="K289" s="37"/>
      <c r="L289" s="17"/>
      <c r="M289" s="37"/>
      <c r="N289" s="37"/>
      <c r="O289" s="37"/>
      <c r="P289" s="38"/>
      <c r="Q289" s="37"/>
      <c r="R289" s="17"/>
    </row>
    <row r="290" customFormat="false" ht="15" hidden="false" customHeight="false" outlineLevel="0" collapsed="false">
      <c r="A290" s="37"/>
      <c r="B290" s="37"/>
      <c r="C290" s="41" t="str">
        <f aca="false">IF($B290="","",IFERROR(INDEX('LEAD MASTER'!$E$3:$E$402,MATCH($B290,'LEAD MASTER'!$A$3:$A$402,0)),"Lead ID not found"))</f>
        <v/>
      </c>
      <c r="D290" s="17"/>
      <c r="E290" s="17"/>
      <c r="F290" s="37"/>
      <c r="G290" s="37"/>
      <c r="H290" s="17"/>
      <c r="I290" s="37"/>
      <c r="J290" s="37"/>
      <c r="K290" s="37"/>
      <c r="L290" s="17"/>
      <c r="M290" s="37"/>
      <c r="N290" s="37"/>
      <c r="O290" s="37"/>
      <c r="P290" s="38"/>
      <c r="Q290" s="37"/>
      <c r="R290" s="17"/>
    </row>
    <row r="291" customFormat="false" ht="15" hidden="false" customHeight="false" outlineLevel="0" collapsed="false">
      <c r="A291" s="37"/>
      <c r="B291" s="37"/>
      <c r="C291" s="41" t="str">
        <f aca="false">IF($B291="","",IFERROR(INDEX('LEAD MASTER'!$E$3:$E$402,MATCH($B291,'LEAD MASTER'!$A$3:$A$402,0)),"Lead ID not found"))</f>
        <v/>
      </c>
      <c r="D291" s="17"/>
      <c r="E291" s="17"/>
      <c r="F291" s="37"/>
      <c r="G291" s="37"/>
      <c r="H291" s="17"/>
      <c r="I291" s="37"/>
      <c r="J291" s="37"/>
      <c r="K291" s="37"/>
      <c r="L291" s="17"/>
      <c r="M291" s="37"/>
      <c r="N291" s="37"/>
      <c r="O291" s="37"/>
      <c r="P291" s="38"/>
      <c r="Q291" s="37"/>
      <c r="R291" s="17"/>
    </row>
    <row r="292" customFormat="false" ht="15" hidden="false" customHeight="false" outlineLevel="0" collapsed="false">
      <c r="A292" s="37"/>
      <c r="B292" s="37"/>
      <c r="C292" s="41" t="str">
        <f aca="false">IF($B292="","",IFERROR(INDEX('LEAD MASTER'!$E$3:$E$402,MATCH($B292,'LEAD MASTER'!$A$3:$A$402,0)),"Lead ID not found"))</f>
        <v/>
      </c>
      <c r="D292" s="17"/>
      <c r="E292" s="17"/>
      <c r="F292" s="37"/>
      <c r="G292" s="37"/>
      <c r="H292" s="17"/>
      <c r="I292" s="37"/>
      <c r="J292" s="37"/>
      <c r="K292" s="37"/>
      <c r="L292" s="17"/>
      <c r="M292" s="37"/>
      <c r="N292" s="37"/>
      <c r="O292" s="37"/>
      <c r="P292" s="38"/>
      <c r="Q292" s="37"/>
      <c r="R292" s="17"/>
    </row>
    <row r="293" customFormat="false" ht="15" hidden="false" customHeight="false" outlineLevel="0" collapsed="false">
      <c r="A293" s="37"/>
      <c r="B293" s="37"/>
      <c r="C293" s="41" t="str">
        <f aca="false">IF($B293="","",IFERROR(INDEX('LEAD MASTER'!$E$3:$E$402,MATCH($B293,'LEAD MASTER'!$A$3:$A$402,0)),"Lead ID not found"))</f>
        <v/>
      </c>
      <c r="D293" s="17"/>
      <c r="E293" s="17"/>
      <c r="F293" s="37"/>
      <c r="G293" s="37"/>
      <c r="H293" s="17"/>
      <c r="I293" s="37"/>
      <c r="J293" s="37"/>
      <c r="K293" s="37"/>
      <c r="L293" s="17"/>
      <c r="M293" s="37"/>
      <c r="N293" s="37"/>
      <c r="O293" s="37"/>
      <c r="P293" s="38"/>
      <c r="Q293" s="37"/>
      <c r="R293" s="17"/>
    </row>
    <row r="294" customFormat="false" ht="15" hidden="false" customHeight="false" outlineLevel="0" collapsed="false">
      <c r="A294" s="37"/>
      <c r="B294" s="37"/>
      <c r="C294" s="41" t="str">
        <f aca="false">IF($B294="","",IFERROR(INDEX('LEAD MASTER'!$E$3:$E$402,MATCH($B294,'LEAD MASTER'!$A$3:$A$402,0)),"Lead ID not found"))</f>
        <v/>
      </c>
      <c r="D294" s="17"/>
      <c r="E294" s="17"/>
      <c r="F294" s="37"/>
      <c r="G294" s="37"/>
      <c r="H294" s="17"/>
      <c r="I294" s="37"/>
      <c r="J294" s="37"/>
      <c r="K294" s="37"/>
      <c r="L294" s="17"/>
      <c r="M294" s="37"/>
      <c r="N294" s="37"/>
      <c r="O294" s="37"/>
      <c r="P294" s="38"/>
      <c r="Q294" s="37"/>
      <c r="R294" s="17"/>
    </row>
    <row r="295" customFormat="false" ht="15" hidden="false" customHeight="false" outlineLevel="0" collapsed="false">
      <c r="A295" s="37"/>
      <c r="B295" s="37"/>
      <c r="C295" s="41" t="str">
        <f aca="false">IF($B295="","",IFERROR(INDEX('LEAD MASTER'!$E$3:$E$402,MATCH($B295,'LEAD MASTER'!$A$3:$A$402,0)),"Lead ID not found"))</f>
        <v/>
      </c>
      <c r="D295" s="17"/>
      <c r="E295" s="17"/>
      <c r="F295" s="37"/>
      <c r="G295" s="37"/>
      <c r="H295" s="17"/>
      <c r="I295" s="37"/>
      <c r="J295" s="37"/>
      <c r="K295" s="37"/>
      <c r="L295" s="17"/>
      <c r="M295" s="37"/>
      <c r="N295" s="37"/>
      <c r="O295" s="37"/>
      <c r="P295" s="38"/>
      <c r="Q295" s="37"/>
      <c r="R295" s="17"/>
    </row>
    <row r="296" customFormat="false" ht="15" hidden="false" customHeight="false" outlineLevel="0" collapsed="false">
      <c r="A296" s="37"/>
      <c r="B296" s="37"/>
      <c r="C296" s="41" t="str">
        <f aca="false">IF($B296="","",IFERROR(INDEX('LEAD MASTER'!$E$3:$E$402,MATCH($B296,'LEAD MASTER'!$A$3:$A$402,0)),"Lead ID not found"))</f>
        <v/>
      </c>
      <c r="D296" s="17"/>
      <c r="E296" s="17"/>
      <c r="F296" s="37"/>
      <c r="G296" s="37"/>
      <c r="H296" s="17"/>
      <c r="I296" s="37"/>
      <c r="J296" s="37"/>
      <c r="K296" s="37"/>
      <c r="L296" s="17"/>
      <c r="M296" s="37"/>
      <c r="N296" s="37"/>
      <c r="O296" s="37"/>
      <c r="P296" s="38"/>
      <c r="Q296" s="37"/>
      <c r="R296" s="17"/>
    </row>
    <row r="297" customFormat="false" ht="15" hidden="false" customHeight="false" outlineLevel="0" collapsed="false">
      <c r="A297" s="37"/>
      <c r="B297" s="37"/>
      <c r="C297" s="41" t="str">
        <f aca="false">IF($B297="","",IFERROR(INDEX('LEAD MASTER'!$E$3:$E$402,MATCH($B297,'LEAD MASTER'!$A$3:$A$402,0)),"Lead ID not found"))</f>
        <v/>
      </c>
      <c r="D297" s="17"/>
      <c r="E297" s="17"/>
      <c r="F297" s="37"/>
      <c r="G297" s="37"/>
      <c r="H297" s="17"/>
      <c r="I297" s="37"/>
      <c r="J297" s="37"/>
      <c r="K297" s="37"/>
      <c r="L297" s="17"/>
      <c r="M297" s="37"/>
      <c r="N297" s="37"/>
      <c r="O297" s="37"/>
      <c r="P297" s="38"/>
      <c r="Q297" s="37"/>
      <c r="R297" s="17"/>
    </row>
    <row r="298" customFormat="false" ht="15" hidden="false" customHeight="false" outlineLevel="0" collapsed="false">
      <c r="A298" s="37"/>
      <c r="B298" s="37"/>
      <c r="C298" s="41" t="str">
        <f aca="false">IF($B298="","",IFERROR(INDEX('LEAD MASTER'!$E$3:$E$402,MATCH($B298,'LEAD MASTER'!$A$3:$A$402,0)),"Lead ID not found"))</f>
        <v/>
      </c>
      <c r="D298" s="17"/>
      <c r="E298" s="17"/>
      <c r="F298" s="37"/>
      <c r="G298" s="37"/>
      <c r="H298" s="17"/>
      <c r="I298" s="37"/>
      <c r="J298" s="37"/>
      <c r="K298" s="37"/>
      <c r="L298" s="17"/>
      <c r="M298" s="37"/>
      <c r="N298" s="37"/>
      <c r="O298" s="37"/>
      <c r="P298" s="38"/>
      <c r="Q298" s="37"/>
      <c r="R298" s="17"/>
    </row>
    <row r="299" customFormat="false" ht="15" hidden="false" customHeight="false" outlineLevel="0" collapsed="false">
      <c r="A299" s="37"/>
      <c r="B299" s="37"/>
      <c r="C299" s="41" t="str">
        <f aca="false">IF($B299="","",IFERROR(INDEX('LEAD MASTER'!$E$3:$E$402,MATCH($B299,'LEAD MASTER'!$A$3:$A$402,0)),"Lead ID not found"))</f>
        <v/>
      </c>
      <c r="D299" s="17"/>
      <c r="E299" s="17"/>
      <c r="F299" s="37"/>
      <c r="G299" s="37"/>
      <c r="H299" s="17"/>
      <c r="I299" s="37"/>
      <c r="J299" s="37"/>
      <c r="K299" s="37"/>
      <c r="L299" s="17"/>
      <c r="M299" s="37"/>
      <c r="N299" s="37"/>
      <c r="O299" s="37"/>
      <c r="P299" s="38"/>
      <c r="Q299" s="37"/>
      <c r="R299" s="17"/>
    </row>
    <row r="300" customFormat="false" ht="15" hidden="false" customHeight="false" outlineLevel="0" collapsed="false">
      <c r="A300" s="37"/>
      <c r="B300" s="37"/>
      <c r="C300" s="41" t="str">
        <f aca="false">IF($B300="","",IFERROR(INDEX('LEAD MASTER'!$E$3:$E$402,MATCH($B300,'LEAD MASTER'!$A$3:$A$402,0)),"Lead ID not found"))</f>
        <v/>
      </c>
      <c r="D300" s="17"/>
      <c r="E300" s="17"/>
      <c r="F300" s="37"/>
      <c r="G300" s="37"/>
      <c r="H300" s="17"/>
      <c r="I300" s="37"/>
      <c r="J300" s="37"/>
      <c r="K300" s="37"/>
      <c r="L300" s="17"/>
      <c r="M300" s="37"/>
      <c r="N300" s="37"/>
      <c r="O300" s="37"/>
      <c r="P300" s="38"/>
      <c r="Q300" s="37"/>
      <c r="R300" s="17"/>
    </row>
    <row r="301" customFormat="false" ht="15" hidden="false" customHeight="false" outlineLevel="0" collapsed="false">
      <c r="A301" s="37"/>
      <c r="B301" s="37"/>
      <c r="C301" s="41" t="str">
        <f aca="false">IF($B301="","",IFERROR(INDEX('LEAD MASTER'!$E$3:$E$402,MATCH($B301,'LEAD MASTER'!$A$3:$A$402,0)),"Lead ID not found"))</f>
        <v/>
      </c>
      <c r="D301" s="17"/>
      <c r="E301" s="17"/>
      <c r="F301" s="37"/>
      <c r="G301" s="37"/>
      <c r="H301" s="17"/>
      <c r="I301" s="37"/>
      <c r="J301" s="37"/>
      <c r="K301" s="37"/>
      <c r="L301" s="17"/>
      <c r="M301" s="37"/>
      <c r="N301" s="37"/>
      <c r="O301" s="37"/>
      <c r="P301" s="38"/>
      <c r="Q301" s="37"/>
      <c r="R301" s="17"/>
    </row>
    <row r="302" customFormat="false" ht="15" hidden="false" customHeight="false" outlineLevel="0" collapsed="false">
      <c r="A302" s="37"/>
      <c r="B302" s="37"/>
      <c r="C302" s="41" t="str">
        <f aca="false">IF($B302="","",IFERROR(INDEX('LEAD MASTER'!$E$3:$E$402,MATCH($B302,'LEAD MASTER'!$A$3:$A$402,0)),"Lead ID not found"))</f>
        <v/>
      </c>
      <c r="D302" s="17"/>
      <c r="E302" s="17"/>
      <c r="F302" s="37"/>
      <c r="G302" s="37"/>
      <c r="H302" s="17"/>
      <c r="I302" s="37"/>
      <c r="J302" s="37"/>
      <c r="K302" s="37"/>
      <c r="L302" s="17"/>
      <c r="M302" s="37"/>
      <c r="N302" s="37"/>
      <c r="O302" s="37"/>
      <c r="P302" s="38"/>
      <c r="Q302" s="37"/>
      <c r="R302" s="17"/>
    </row>
    <row r="303" customFormat="false" ht="15" hidden="false" customHeight="false" outlineLevel="0" collapsed="false">
      <c r="A303" s="37"/>
      <c r="B303" s="37"/>
      <c r="C303" s="41" t="str">
        <f aca="false">IF($B303="","",IFERROR(INDEX('LEAD MASTER'!$E$3:$E$402,MATCH($B303,'LEAD MASTER'!$A$3:$A$402,0)),"Lead ID not found"))</f>
        <v/>
      </c>
      <c r="D303" s="17"/>
      <c r="E303" s="17"/>
      <c r="F303" s="37"/>
      <c r="G303" s="37"/>
      <c r="H303" s="17"/>
      <c r="I303" s="37"/>
      <c r="J303" s="37"/>
      <c r="K303" s="37"/>
      <c r="L303" s="17"/>
      <c r="M303" s="37"/>
      <c r="N303" s="37"/>
      <c r="O303" s="37"/>
      <c r="P303" s="38"/>
      <c r="Q303" s="37"/>
      <c r="R303" s="17"/>
    </row>
    <row r="304" customFormat="false" ht="15" hidden="false" customHeight="false" outlineLevel="0" collapsed="false">
      <c r="A304" s="37"/>
      <c r="B304" s="37"/>
      <c r="C304" s="41" t="str">
        <f aca="false">IF($B304="","",IFERROR(INDEX('LEAD MASTER'!$E$3:$E$402,MATCH($B304,'LEAD MASTER'!$A$3:$A$402,0)),"Lead ID not found"))</f>
        <v/>
      </c>
      <c r="D304" s="17"/>
      <c r="E304" s="17"/>
      <c r="F304" s="37"/>
      <c r="G304" s="37"/>
      <c r="H304" s="17"/>
      <c r="I304" s="37"/>
      <c r="J304" s="37"/>
      <c r="K304" s="37"/>
      <c r="L304" s="17"/>
      <c r="M304" s="37"/>
      <c r="N304" s="37"/>
      <c r="O304" s="37"/>
      <c r="P304" s="38"/>
      <c r="Q304" s="37"/>
      <c r="R304" s="17"/>
    </row>
    <row r="305" customFormat="false" ht="15" hidden="false" customHeight="false" outlineLevel="0" collapsed="false">
      <c r="A305" s="37"/>
      <c r="B305" s="37"/>
      <c r="C305" s="41" t="str">
        <f aca="false">IF($B305="","",IFERROR(INDEX('LEAD MASTER'!$E$3:$E$402,MATCH($B305,'LEAD MASTER'!$A$3:$A$402,0)),"Lead ID not found"))</f>
        <v/>
      </c>
      <c r="D305" s="17"/>
      <c r="E305" s="17"/>
      <c r="F305" s="37"/>
      <c r="G305" s="37"/>
      <c r="H305" s="17"/>
      <c r="I305" s="37"/>
      <c r="J305" s="37"/>
      <c r="K305" s="37"/>
      <c r="L305" s="17"/>
      <c r="M305" s="37"/>
      <c r="N305" s="37"/>
      <c r="O305" s="37"/>
      <c r="P305" s="38"/>
      <c r="Q305" s="37"/>
      <c r="R305" s="17"/>
    </row>
    <row r="306" customFormat="false" ht="15" hidden="false" customHeight="false" outlineLevel="0" collapsed="false">
      <c r="A306" s="37"/>
      <c r="B306" s="37"/>
      <c r="C306" s="41" t="str">
        <f aca="false">IF($B306="","",IFERROR(INDEX('LEAD MASTER'!$E$3:$E$402,MATCH($B306,'LEAD MASTER'!$A$3:$A$402,0)),"Lead ID not found"))</f>
        <v/>
      </c>
      <c r="D306" s="17"/>
      <c r="E306" s="17"/>
      <c r="F306" s="37"/>
      <c r="G306" s="37"/>
      <c r="H306" s="17"/>
      <c r="I306" s="37"/>
      <c r="J306" s="37"/>
      <c r="K306" s="37"/>
      <c r="L306" s="17"/>
      <c r="M306" s="37"/>
      <c r="N306" s="37"/>
      <c r="O306" s="37"/>
      <c r="P306" s="38"/>
      <c r="Q306" s="37"/>
      <c r="R306" s="17"/>
    </row>
    <row r="307" customFormat="false" ht="15" hidden="false" customHeight="false" outlineLevel="0" collapsed="false">
      <c r="A307" s="37"/>
      <c r="B307" s="37"/>
      <c r="C307" s="41" t="str">
        <f aca="false">IF($B307="","",IFERROR(INDEX('LEAD MASTER'!$E$3:$E$402,MATCH($B307,'LEAD MASTER'!$A$3:$A$402,0)),"Lead ID not found"))</f>
        <v/>
      </c>
      <c r="D307" s="17"/>
      <c r="E307" s="17"/>
      <c r="F307" s="37"/>
      <c r="G307" s="37"/>
      <c r="H307" s="17"/>
      <c r="I307" s="37"/>
      <c r="J307" s="37"/>
      <c r="K307" s="37"/>
      <c r="L307" s="17"/>
      <c r="M307" s="37"/>
      <c r="N307" s="37"/>
      <c r="O307" s="37"/>
      <c r="P307" s="38"/>
      <c r="Q307" s="37"/>
      <c r="R307" s="17"/>
    </row>
    <row r="308" customFormat="false" ht="15" hidden="false" customHeight="false" outlineLevel="0" collapsed="false">
      <c r="A308" s="37"/>
      <c r="B308" s="37"/>
      <c r="C308" s="41" t="str">
        <f aca="false">IF($B308="","",IFERROR(INDEX('LEAD MASTER'!$E$3:$E$402,MATCH($B308,'LEAD MASTER'!$A$3:$A$402,0)),"Lead ID not found"))</f>
        <v/>
      </c>
      <c r="D308" s="17"/>
      <c r="E308" s="17"/>
      <c r="F308" s="37"/>
      <c r="G308" s="37"/>
      <c r="H308" s="17"/>
      <c r="I308" s="37"/>
      <c r="J308" s="37"/>
      <c r="K308" s="37"/>
      <c r="L308" s="17"/>
      <c r="M308" s="37"/>
      <c r="N308" s="37"/>
      <c r="O308" s="37"/>
      <c r="P308" s="38"/>
      <c r="Q308" s="37"/>
      <c r="R308" s="17"/>
    </row>
    <row r="309" customFormat="false" ht="15" hidden="false" customHeight="false" outlineLevel="0" collapsed="false">
      <c r="A309" s="37"/>
      <c r="B309" s="37"/>
      <c r="C309" s="41" t="str">
        <f aca="false">IF($B309="","",IFERROR(INDEX('LEAD MASTER'!$E$3:$E$402,MATCH($B309,'LEAD MASTER'!$A$3:$A$402,0)),"Lead ID not found"))</f>
        <v/>
      </c>
      <c r="D309" s="17"/>
      <c r="E309" s="17"/>
      <c r="F309" s="37"/>
      <c r="G309" s="37"/>
      <c r="H309" s="17"/>
      <c r="I309" s="37"/>
      <c r="J309" s="37"/>
      <c r="K309" s="37"/>
      <c r="L309" s="17"/>
      <c r="M309" s="37"/>
      <c r="N309" s="37"/>
      <c r="O309" s="37"/>
      <c r="P309" s="38"/>
      <c r="Q309" s="37"/>
      <c r="R309" s="17"/>
    </row>
    <row r="310" customFormat="false" ht="15" hidden="false" customHeight="false" outlineLevel="0" collapsed="false">
      <c r="A310" s="37"/>
      <c r="B310" s="37"/>
      <c r="C310" s="41" t="str">
        <f aca="false">IF($B310="","",IFERROR(INDEX('LEAD MASTER'!$E$3:$E$402,MATCH($B310,'LEAD MASTER'!$A$3:$A$402,0)),"Lead ID not found"))</f>
        <v/>
      </c>
      <c r="D310" s="17"/>
      <c r="E310" s="17"/>
      <c r="F310" s="37"/>
      <c r="G310" s="37"/>
      <c r="H310" s="17"/>
      <c r="I310" s="37"/>
      <c r="J310" s="37"/>
      <c r="K310" s="37"/>
      <c r="L310" s="17"/>
      <c r="M310" s="37"/>
      <c r="N310" s="37"/>
      <c r="O310" s="37"/>
      <c r="P310" s="38"/>
      <c r="Q310" s="37"/>
      <c r="R310" s="17"/>
    </row>
    <row r="311" customFormat="false" ht="15" hidden="false" customHeight="false" outlineLevel="0" collapsed="false">
      <c r="A311" s="37"/>
      <c r="B311" s="37"/>
      <c r="C311" s="41" t="str">
        <f aca="false">IF($B311="","",IFERROR(INDEX('LEAD MASTER'!$E$3:$E$402,MATCH($B311,'LEAD MASTER'!$A$3:$A$402,0)),"Lead ID not found"))</f>
        <v/>
      </c>
      <c r="D311" s="17"/>
      <c r="E311" s="17"/>
      <c r="F311" s="37"/>
      <c r="G311" s="37"/>
      <c r="H311" s="17"/>
      <c r="I311" s="37"/>
      <c r="J311" s="37"/>
      <c r="K311" s="37"/>
      <c r="L311" s="17"/>
      <c r="M311" s="37"/>
      <c r="N311" s="37"/>
      <c r="O311" s="37"/>
      <c r="P311" s="38"/>
      <c r="Q311" s="37"/>
      <c r="R311" s="17"/>
    </row>
    <row r="312" customFormat="false" ht="15" hidden="false" customHeight="false" outlineLevel="0" collapsed="false">
      <c r="A312" s="37"/>
      <c r="B312" s="37"/>
      <c r="C312" s="41" t="str">
        <f aca="false">IF($B312="","",IFERROR(INDEX('LEAD MASTER'!$E$3:$E$402,MATCH($B312,'LEAD MASTER'!$A$3:$A$402,0)),"Lead ID not found"))</f>
        <v/>
      </c>
      <c r="D312" s="17"/>
      <c r="E312" s="17"/>
      <c r="F312" s="37"/>
      <c r="G312" s="37"/>
      <c r="H312" s="17"/>
      <c r="I312" s="37"/>
      <c r="J312" s="37"/>
      <c r="K312" s="37"/>
      <c r="L312" s="17"/>
      <c r="M312" s="37"/>
      <c r="N312" s="37"/>
      <c r="O312" s="37"/>
      <c r="P312" s="38"/>
      <c r="Q312" s="37"/>
      <c r="R312" s="17"/>
    </row>
    <row r="313" customFormat="false" ht="15" hidden="false" customHeight="false" outlineLevel="0" collapsed="false">
      <c r="A313" s="37"/>
      <c r="B313" s="37"/>
      <c r="C313" s="41" t="str">
        <f aca="false">IF($B313="","",IFERROR(INDEX('LEAD MASTER'!$E$3:$E$402,MATCH($B313,'LEAD MASTER'!$A$3:$A$402,0)),"Lead ID not found"))</f>
        <v/>
      </c>
      <c r="D313" s="17"/>
      <c r="E313" s="17"/>
      <c r="F313" s="37"/>
      <c r="G313" s="37"/>
      <c r="H313" s="17"/>
      <c r="I313" s="37"/>
      <c r="J313" s="37"/>
      <c r="K313" s="37"/>
      <c r="L313" s="17"/>
      <c r="M313" s="37"/>
      <c r="N313" s="37"/>
      <c r="O313" s="37"/>
      <c r="P313" s="38"/>
      <c r="Q313" s="37"/>
      <c r="R313" s="17"/>
    </row>
    <row r="314" customFormat="false" ht="15" hidden="false" customHeight="false" outlineLevel="0" collapsed="false">
      <c r="A314" s="37"/>
      <c r="B314" s="37"/>
      <c r="C314" s="41" t="str">
        <f aca="false">IF($B314="","",IFERROR(INDEX('LEAD MASTER'!$E$3:$E$402,MATCH($B314,'LEAD MASTER'!$A$3:$A$402,0)),"Lead ID not found"))</f>
        <v/>
      </c>
      <c r="D314" s="17"/>
      <c r="E314" s="17"/>
      <c r="F314" s="37"/>
      <c r="G314" s="37"/>
      <c r="H314" s="17"/>
      <c r="I314" s="37"/>
      <c r="J314" s="37"/>
      <c r="K314" s="37"/>
      <c r="L314" s="17"/>
      <c r="M314" s="37"/>
      <c r="N314" s="37"/>
      <c r="O314" s="37"/>
      <c r="P314" s="38"/>
      <c r="Q314" s="37"/>
      <c r="R314" s="17"/>
    </row>
    <row r="315" customFormat="false" ht="15" hidden="false" customHeight="false" outlineLevel="0" collapsed="false">
      <c r="A315" s="37"/>
      <c r="B315" s="37"/>
      <c r="C315" s="41" t="str">
        <f aca="false">IF($B315="","",IFERROR(INDEX('LEAD MASTER'!$E$3:$E$402,MATCH($B315,'LEAD MASTER'!$A$3:$A$402,0)),"Lead ID not found"))</f>
        <v/>
      </c>
      <c r="D315" s="17"/>
      <c r="E315" s="17"/>
      <c r="F315" s="37"/>
      <c r="G315" s="37"/>
      <c r="H315" s="17"/>
      <c r="I315" s="37"/>
      <c r="J315" s="37"/>
      <c r="K315" s="37"/>
      <c r="L315" s="17"/>
      <c r="M315" s="37"/>
      <c r="N315" s="37"/>
      <c r="O315" s="37"/>
      <c r="P315" s="38"/>
      <c r="Q315" s="37"/>
      <c r="R315" s="17"/>
    </row>
    <row r="316" customFormat="false" ht="15" hidden="false" customHeight="false" outlineLevel="0" collapsed="false">
      <c r="A316" s="37"/>
      <c r="B316" s="37"/>
      <c r="C316" s="41" t="str">
        <f aca="false">IF($B316="","",IFERROR(INDEX('LEAD MASTER'!$E$3:$E$402,MATCH($B316,'LEAD MASTER'!$A$3:$A$402,0)),"Lead ID not found"))</f>
        <v/>
      </c>
      <c r="D316" s="17"/>
      <c r="E316" s="17"/>
      <c r="F316" s="37"/>
      <c r="G316" s="37"/>
      <c r="H316" s="17"/>
      <c r="I316" s="37"/>
      <c r="J316" s="37"/>
      <c r="K316" s="37"/>
      <c r="L316" s="17"/>
      <c r="M316" s="37"/>
      <c r="N316" s="37"/>
      <c r="O316" s="37"/>
      <c r="P316" s="38"/>
      <c r="Q316" s="37"/>
      <c r="R316" s="17"/>
    </row>
    <row r="317" customFormat="false" ht="15" hidden="false" customHeight="false" outlineLevel="0" collapsed="false">
      <c r="A317" s="37"/>
      <c r="B317" s="37"/>
      <c r="C317" s="41" t="str">
        <f aca="false">IF($B317="","",IFERROR(INDEX('LEAD MASTER'!$E$3:$E$402,MATCH($B317,'LEAD MASTER'!$A$3:$A$402,0)),"Lead ID not found"))</f>
        <v/>
      </c>
      <c r="D317" s="17"/>
      <c r="E317" s="17"/>
      <c r="F317" s="37"/>
      <c r="G317" s="37"/>
      <c r="H317" s="17"/>
      <c r="I317" s="37"/>
      <c r="J317" s="37"/>
      <c r="K317" s="37"/>
      <c r="L317" s="17"/>
      <c r="M317" s="37"/>
      <c r="N317" s="37"/>
      <c r="O317" s="37"/>
      <c r="P317" s="38"/>
      <c r="Q317" s="37"/>
      <c r="R317" s="17"/>
    </row>
    <row r="318" customFormat="false" ht="15" hidden="false" customHeight="false" outlineLevel="0" collapsed="false">
      <c r="A318" s="37"/>
      <c r="B318" s="37"/>
      <c r="C318" s="41" t="str">
        <f aca="false">IF($B318="","",IFERROR(INDEX('LEAD MASTER'!$E$3:$E$402,MATCH($B318,'LEAD MASTER'!$A$3:$A$402,0)),"Lead ID not found"))</f>
        <v/>
      </c>
      <c r="D318" s="17"/>
      <c r="E318" s="17"/>
      <c r="F318" s="37"/>
      <c r="G318" s="37"/>
      <c r="H318" s="17"/>
      <c r="I318" s="37"/>
      <c r="J318" s="37"/>
      <c r="K318" s="37"/>
      <c r="L318" s="17"/>
      <c r="M318" s="37"/>
      <c r="N318" s="37"/>
      <c r="O318" s="37"/>
      <c r="P318" s="38"/>
      <c r="Q318" s="37"/>
      <c r="R318" s="17"/>
    </row>
    <row r="319" customFormat="false" ht="15" hidden="false" customHeight="false" outlineLevel="0" collapsed="false">
      <c r="A319" s="37"/>
      <c r="B319" s="37"/>
      <c r="C319" s="41" t="str">
        <f aca="false">IF($B319="","",IFERROR(INDEX('LEAD MASTER'!$E$3:$E$402,MATCH($B319,'LEAD MASTER'!$A$3:$A$402,0)),"Lead ID not found"))</f>
        <v/>
      </c>
      <c r="D319" s="17"/>
      <c r="E319" s="17"/>
      <c r="F319" s="37"/>
      <c r="G319" s="37"/>
      <c r="H319" s="17"/>
      <c r="I319" s="37"/>
      <c r="J319" s="37"/>
      <c r="K319" s="37"/>
      <c r="L319" s="17"/>
      <c r="M319" s="37"/>
      <c r="N319" s="37"/>
      <c r="O319" s="37"/>
      <c r="P319" s="38"/>
      <c r="Q319" s="37"/>
      <c r="R319" s="17"/>
    </row>
    <row r="320" customFormat="false" ht="15" hidden="false" customHeight="false" outlineLevel="0" collapsed="false">
      <c r="A320" s="37"/>
      <c r="B320" s="37"/>
      <c r="C320" s="41" t="str">
        <f aca="false">IF($B320="","",IFERROR(INDEX('LEAD MASTER'!$E$3:$E$402,MATCH($B320,'LEAD MASTER'!$A$3:$A$402,0)),"Lead ID not found"))</f>
        <v/>
      </c>
      <c r="D320" s="17"/>
      <c r="E320" s="17"/>
      <c r="F320" s="37"/>
      <c r="G320" s="37"/>
      <c r="H320" s="17"/>
      <c r="I320" s="37"/>
      <c r="J320" s="37"/>
      <c r="K320" s="37"/>
      <c r="L320" s="17"/>
      <c r="M320" s="37"/>
      <c r="N320" s="37"/>
      <c r="O320" s="37"/>
      <c r="P320" s="38"/>
      <c r="Q320" s="37"/>
      <c r="R320" s="17"/>
    </row>
    <row r="321" customFormat="false" ht="15" hidden="false" customHeight="false" outlineLevel="0" collapsed="false">
      <c r="A321" s="37"/>
      <c r="B321" s="37"/>
      <c r="C321" s="41" t="str">
        <f aca="false">IF($B321="","",IFERROR(INDEX('LEAD MASTER'!$E$3:$E$402,MATCH($B321,'LEAD MASTER'!$A$3:$A$402,0)),"Lead ID not found"))</f>
        <v/>
      </c>
      <c r="D321" s="17"/>
      <c r="E321" s="17"/>
      <c r="F321" s="37"/>
      <c r="G321" s="37"/>
      <c r="H321" s="17"/>
      <c r="I321" s="37"/>
      <c r="J321" s="37"/>
      <c r="K321" s="37"/>
      <c r="L321" s="17"/>
      <c r="M321" s="37"/>
      <c r="N321" s="37"/>
      <c r="O321" s="37"/>
      <c r="P321" s="38"/>
      <c r="Q321" s="37"/>
      <c r="R321" s="17"/>
    </row>
    <row r="322" customFormat="false" ht="15" hidden="false" customHeight="false" outlineLevel="0" collapsed="false">
      <c r="A322" s="37"/>
      <c r="B322" s="37"/>
      <c r="C322" s="41" t="str">
        <f aca="false">IF($B322="","",IFERROR(INDEX('LEAD MASTER'!$E$3:$E$402,MATCH($B322,'LEAD MASTER'!$A$3:$A$402,0)),"Lead ID not found"))</f>
        <v/>
      </c>
      <c r="D322" s="17"/>
      <c r="E322" s="17"/>
      <c r="F322" s="37"/>
      <c r="G322" s="37"/>
      <c r="H322" s="17"/>
      <c r="I322" s="37"/>
      <c r="J322" s="37"/>
      <c r="K322" s="37"/>
      <c r="L322" s="17"/>
      <c r="M322" s="37"/>
      <c r="N322" s="37"/>
      <c r="O322" s="37"/>
      <c r="P322" s="38"/>
      <c r="Q322" s="37"/>
      <c r="R322" s="17"/>
    </row>
    <row r="323" customFormat="false" ht="15" hidden="false" customHeight="false" outlineLevel="0" collapsed="false">
      <c r="A323" s="37"/>
      <c r="B323" s="37"/>
      <c r="C323" s="41" t="str">
        <f aca="false">IF($B323="","",IFERROR(INDEX('LEAD MASTER'!$E$3:$E$402,MATCH($B323,'LEAD MASTER'!$A$3:$A$402,0)),"Lead ID not found"))</f>
        <v/>
      </c>
      <c r="D323" s="17"/>
      <c r="E323" s="17"/>
      <c r="F323" s="37"/>
      <c r="G323" s="37"/>
      <c r="H323" s="17"/>
      <c r="I323" s="37"/>
      <c r="J323" s="37"/>
      <c r="K323" s="37"/>
      <c r="L323" s="17"/>
      <c r="M323" s="37"/>
      <c r="N323" s="37"/>
      <c r="O323" s="37"/>
      <c r="P323" s="38"/>
      <c r="Q323" s="37"/>
      <c r="R323" s="17"/>
    </row>
    <row r="324" customFormat="false" ht="15" hidden="false" customHeight="false" outlineLevel="0" collapsed="false">
      <c r="A324" s="37"/>
      <c r="B324" s="37"/>
      <c r="C324" s="41" t="str">
        <f aca="false">IF($B324="","",IFERROR(INDEX('LEAD MASTER'!$E$3:$E$402,MATCH($B324,'LEAD MASTER'!$A$3:$A$402,0)),"Lead ID not found"))</f>
        <v/>
      </c>
      <c r="D324" s="17"/>
      <c r="E324" s="17"/>
      <c r="F324" s="37"/>
      <c r="G324" s="37"/>
      <c r="H324" s="17"/>
      <c r="I324" s="37"/>
      <c r="J324" s="37"/>
      <c r="K324" s="37"/>
      <c r="L324" s="17"/>
      <c r="M324" s="37"/>
      <c r="N324" s="37"/>
      <c r="O324" s="37"/>
      <c r="P324" s="38"/>
      <c r="Q324" s="37"/>
      <c r="R324" s="17"/>
    </row>
    <row r="325" customFormat="false" ht="15" hidden="false" customHeight="false" outlineLevel="0" collapsed="false">
      <c r="A325" s="37"/>
      <c r="B325" s="37"/>
      <c r="C325" s="41" t="str">
        <f aca="false">IF($B325="","",IFERROR(INDEX('LEAD MASTER'!$E$3:$E$402,MATCH($B325,'LEAD MASTER'!$A$3:$A$402,0)),"Lead ID not found"))</f>
        <v/>
      </c>
      <c r="D325" s="17"/>
      <c r="E325" s="17"/>
      <c r="F325" s="37"/>
      <c r="G325" s="37"/>
      <c r="H325" s="17"/>
      <c r="I325" s="37"/>
      <c r="J325" s="37"/>
      <c r="K325" s="37"/>
      <c r="L325" s="17"/>
      <c r="M325" s="37"/>
      <c r="N325" s="37"/>
      <c r="O325" s="37"/>
      <c r="P325" s="38"/>
      <c r="Q325" s="37"/>
      <c r="R325" s="17"/>
    </row>
    <row r="326" customFormat="false" ht="15" hidden="false" customHeight="false" outlineLevel="0" collapsed="false">
      <c r="A326" s="37"/>
      <c r="B326" s="37"/>
      <c r="C326" s="41" t="str">
        <f aca="false">IF($B326="","",IFERROR(INDEX('LEAD MASTER'!$E$3:$E$402,MATCH($B326,'LEAD MASTER'!$A$3:$A$402,0)),"Lead ID not found"))</f>
        <v/>
      </c>
      <c r="D326" s="17"/>
      <c r="E326" s="17"/>
      <c r="F326" s="37"/>
      <c r="G326" s="37"/>
      <c r="H326" s="17"/>
      <c r="I326" s="37"/>
      <c r="J326" s="37"/>
      <c r="K326" s="37"/>
      <c r="L326" s="17"/>
      <c r="M326" s="37"/>
      <c r="N326" s="37"/>
      <c r="O326" s="37"/>
      <c r="P326" s="38"/>
      <c r="Q326" s="37"/>
      <c r="R326" s="17"/>
    </row>
    <row r="327" customFormat="false" ht="15" hidden="false" customHeight="false" outlineLevel="0" collapsed="false">
      <c r="A327" s="37"/>
      <c r="B327" s="37"/>
      <c r="C327" s="41" t="str">
        <f aca="false">IF($B327="","",IFERROR(INDEX('LEAD MASTER'!$E$3:$E$402,MATCH($B327,'LEAD MASTER'!$A$3:$A$402,0)),"Lead ID not found"))</f>
        <v/>
      </c>
      <c r="D327" s="17"/>
      <c r="E327" s="17"/>
      <c r="F327" s="37"/>
      <c r="G327" s="37"/>
      <c r="H327" s="17"/>
      <c r="I327" s="37"/>
      <c r="J327" s="37"/>
      <c r="K327" s="37"/>
      <c r="L327" s="17"/>
      <c r="M327" s="37"/>
      <c r="N327" s="37"/>
      <c r="O327" s="37"/>
      <c r="P327" s="38"/>
      <c r="Q327" s="37"/>
      <c r="R327" s="17"/>
    </row>
    <row r="328" customFormat="false" ht="15" hidden="false" customHeight="false" outlineLevel="0" collapsed="false">
      <c r="A328" s="37"/>
      <c r="B328" s="37"/>
      <c r="C328" s="41" t="str">
        <f aca="false">IF($B328="","",IFERROR(INDEX('LEAD MASTER'!$E$3:$E$402,MATCH($B328,'LEAD MASTER'!$A$3:$A$402,0)),"Lead ID not found"))</f>
        <v/>
      </c>
      <c r="D328" s="17"/>
      <c r="E328" s="17"/>
      <c r="F328" s="37"/>
      <c r="G328" s="37"/>
      <c r="H328" s="17"/>
      <c r="I328" s="37"/>
      <c r="J328" s="37"/>
      <c r="K328" s="37"/>
      <c r="L328" s="17"/>
      <c r="M328" s="37"/>
      <c r="N328" s="37"/>
      <c r="O328" s="37"/>
      <c r="P328" s="38"/>
      <c r="Q328" s="37"/>
      <c r="R328" s="17"/>
    </row>
    <row r="329" customFormat="false" ht="15" hidden="false" customHeight="false" outlineLevel="0" collapsed="false">
      <c r="A329" s="37"/>
      <c r="B329" s="37"/>
      <c r="C329" s="41" t="str">
        <f aca="false">IF($B329="","",IFERROR(INDEX('LEAD MASTER'!$E$3:$E$402,MATCH($B329,'LEAD MASTER'!$A$3:$A$402,0)),"Lead ID not found"))</f>
        <v/>
      </c>
      <c r="D329" s="17"/>
      <c r="E329" s="17"/>
      <c r="F329" s="37"/>
      <c r="G329" s="37"/>
      <c r="H329" s="17"/>
      <c r="I329" s="37"/>
      <c r="J329" s="37"/>
      <c r="K329" s="37"/>
      <c r="L329" s="17"/>
      <c r="M329" s="37"/>
      <c r="N329" s="37"/>
      <c r="O329" s="37"/>
      <c r="P329" s="38"/>
      <c r="Q329" s="37"/>
      <c r="R329" s="17"/>
    </row>
    <row r="330" customFormat="false" ht="15" hidden="false" customHeight="false" outlineLevel="0" collapsed="false">
      <c r="A330" s="37"/>
      <c r="B330" s="37"/>
      <c r="C330" s="41" t="str">
        <f aca="false">IF($B330="","",IFERROR(INDEX('LEAD MASTER'!$E$3:$E$402,MATCH($B330,'LEAD MASTER'!$A$3:$A$402,0)),"Lead ID not found"))</f>
        <v/>
      </c>
      <c r="D330" s="17"/>
      <c r="E330" s="17"/>
      <c r="F330" s="37"/>
      <c r="G330" s="37"/>
      <c r="H330" s="17"/>
      <c r="I330" s="37"/>
      <c r="J330" s="37"/>
      <c r="K330" s="37"/>
      <c r="L330" s="17"/>
      <c r="M330" s="37"/>
      <c r="N330" s="37"/>
      <c r="O330" s="37"/>
      <c r="P330" s="38"/>
      <c r="Q330" s="37"/>
      <c r="R330" s="17"/>
    </row>
    <row r="331" customFormat="false" ht="15" hidden="false" customHeight="false" outlineLevel="0" collapsed="false">
      <c r="A331" s="37"/>
      <c r="B331" s="37"/>
      <c r="C331" s="41" t="str">
        <f aca="false">IF($B331="","",IFERROR(INDEX('LEAD MASTER'!$E$3:$E$402,MATCH($B331,'LEAD MASTER'!$A$3:$A$402,0)),"Lead ID not found"))</f>
        <v/>
      </c>
      <c r="D331" s="17"/>
      <c r="E331" s="17"/>
      <c r="F331" s="37"/>
      <c r="G331" s="37"/>
      <c r="H331" s="17"/>
      <c r="I331" s="37"/>
      <c r="J331" s="37"/>
      <c r="K331" s="37"/>
      <c r="L331" s="17"/>
      <c r="M331" s="37"/>
      <c r="N331" s="37"/>
      <c r="O331" s="37"/>
      <c r="P331" s="38"/>
      <c r="Q331" s="37"/>
      <c r="R331" s="17"/>
    </row>
    <row r="332" customFormat="false" ht="15" hidden="false" customHeight="false" outlineLevel="0" collapsed="false">
      <c r="A332" s="37"/>
      <c r="B332" s="37"/>
      <c r="C332" s="41" t="str">
        <f aca="false">IF($B332="","",IFERROR(INDEX('LEAD MASTER'!$E$3:$E$402,MATCH($B332,'LEAD MASTER'!$A$3:$A$402,0)),"Lead ID not found"))</f>
        <v/>
      </c>
      <c r="D332" s="17"/>
      <c r="E332" s="17"/>
      <c r="F332" s="37"/>
      <c r="G332" s="37"/>
      <c r="H332" s="17"/>
      <c r="I332" s="37"/>
      <c r="J332" s="37"/>
      <c r="K332" s="37"/>
      <c r="L332" s="17"/>
      <c r="M332" s="37"/>
      <c r="N332" s="37"/>
      <c r="O332" s="37"/>
      <c r="P332" s="38"/>
      <c r="Q332" s="37"/>
      <c r="R332" s="17"/>
    </row>
    <row r="333" customFormat="false" ht="15" hidden="false" customHeight="false" outlineLevel="0" collapsed="false">
      <c r="A333" s="37"/>
      <c r="B333" s="37"/>
      <c r="C333" s="41" t="str">
        <f aca="false">IF($B333="","",IFERROR(INDEX('LEAD MASTER'!$E$3:$E$402,MATCH($B333,'LEAD MASTER'!$A$3:$A$402,0)),"Lead ID not found"))</f>
        <v/>
      </c>
      <c r="D333" s="17"/>
      <c r="E333" s="17"/>
      <c r="F333" s="37"/>
      <c r="G333" s="37"/>
      <c r="H333" s="17"/>
      <c r="I333" s="37"/>
      <c r="J333" s="37"/>
      <c r="K333" s="37"/>
      <c r="L333" s="17"/>
      <c r="M333" s="37"/>
      <c r="N333" s="37"/>
      <c r="O333" s="37"/>
      <c r="P333" s="38"/>
      <c r="Q333" s="37"/>
      <c r="R333" s="17"/>
    </row>
    <row r="334" customFormat="false" ht="15" hidden="false" customHeight="false" outlineLevel="0" collapsed="false">
      <c r="A334" s="37"/>
      <c r="B334" s="37"/>
      <c r="C334" s="41" t="str">
        <f aca="false">IF($B334="","",IFERROR(INDEX('LEAD MASTER'!$E$3:$E$402,MATCH($B334,'LEAD MASTER'!$A$3:$A$402,0)),"Lead ID not found"))</f>
        <v/>
      </c>
      <c r="D334" s="17"/>
      <c r="E334" s="17"/>
      <c r="F334" s="37"/>
      <c r="G334" s="37"/>
      <c r="H334" s="17"/>
      <c r="I334" s="37"/>
      <c r="J334" s="37"/>
      <c r="K334" s="37"/>
      <c r="L334" s="17"/>
      <c r="M334" s="37"/>
      <c r="N334" s="37"/>
      <c r="O334" s="37"/>
      <c r="P334" s="38"/>
      <c r="Q334" s="37"/>
      <c r="R334" s="17"/>
    </row>
    <row r="335" customFormat="false" ht="15" hidden="false" customHeight="false" outlineLevel="0" collapsed="false">
      <c r="A335" s="37"/>
      <c r="B335" s="37"/>
      <c r="C335" s="41" t="str">
        <f aca="false">IF($B335="","",IFERROR(INDEX('LEAD MASTER'!$E$3:$E$402,MATCH($B335,'LEAD MASTER'!$A$3:$A$402,0)),"Lead ID not found"))</f>
        <v/>
      </c>
      <c r="D335" s="17"/>
      <c r="E335" s="17"/>
      <c r="F335" s="37"/>
      <c r="G335" s="37"/>
      <c r="H335" s="17"/>
      <c r="I335" s="37"/>
      <c r="J335" s="37"/>
      <c r="K335" s="37"/>
      <c r="L335" s="17"/>
      <c r="M335" s="37"/>
      <c r="N335" s="37"/>
      <c r="O335" s="37"/>
      <c r="P335" s="38"/>
      <c r="Q335" s="37"/>
      <c r="R335" s="17"/>
    </row>
    <row r="336" customFormat="false" ht="15" hidden="false" customHeight="false" outlineLevel="0" collapsed="false">
      <c r="A336" s="37"/>
      <c r="B336" s="37"/>
      <c r="C336" s="41" t="str">
        <f aca="false">IF($B336="","",IFERROR(INDEX('LEAD MASTER'!$E$3:$E$402,MATCH($B336,'LEAD MASTER'!$A$3:$A$402,0)),"Lead ID not found"))</f>
        <v/>
      </c>
      <c r="D336" s="17"/>
      <c r="E336" s="17"/>
      <c r="F336" s="37"/>
      <c r="G336" s="37"/>
      <c r="H336" s="17"/>
      <c r="I336" s="37"/>
      <c r="J336" s="37"/>
      <c r="K336" s="37"/>
      <c r="L336" s="17"/>
      <c r="M336" s="37"/>
      <c r="N336" s="37"/>
      <c r="O336" s="37"/>
      <c r="P336" s="38"/>
      <c r="Q336" s="37"/>
      <c r="R336" s="17"/>
    </row>
    <row r="337" customFormat="false" ht="15" hidden="false" customHeight="false" outlineLevel="0" collapsed="false">
      <c r="A337" s="37"/>
      <c r="B337" s="37"/>
      <c r="C337" s="41" t="str">
        <f aca="false">IF($B337="","",IFERROR(INDEX('LEAD MASTER'!$E$3:$E$402,MATCH($B337,'LEAD MASTER'!$A$3:$A$402,0)),"Lead ID not found"))</f>
        <v/>
      </c>
      <c r="D337" s="17"/>
      <c r="E337" s="17"/>
      <c r="F337" s="37"/>
      <c r="G337" s="37"/>
      <c r="H337" s="17"/>
      <c r="I337" s="37"/>
      <c r="J337" s="37"/>
      <c r="K337" s="37"/>
      <c r="L337" s="17"/>
      <c r="M337" s="37"/>
      <c r="N337" s="37"/>
      <c r="O337" s="37"/>
      <c r="P337" s="38"/>
      <c r="Q337" s="37"/>
      <c r="R337" s="17"/>
    </row>
    <row r="338" customFormat="false" ht="15" hidden="false" customHeight="false" outlineLevel="0" collapsed="false">
      <c r="A338" s="37"/>
      <c r="B338" s="37"/>
      <c r="C338" s="41" t="str">
        <f aca="false">IF($B338="","",IFERROR(INDEX('LEAD MASTER'!$E$3:$E$402,MATCH($B338,'LEAD MASTER'!$A$3:$A$402,0)),"Lead ID not found"))</f>
        <v/>
      </c>
      <c r="D338" s="17"/>
      <c r="E338" s="17"/>
      <c r="F338" s="37"/>
      <c r="G338" s="37"/>
      <c r="H338" s="17"/>
      <c r="I338" s="37"/>
      <c r="J338" s="37"/>
      <c r="K338" s="37"/>
      <c r="L338" s="17"/>
      <c r="M338" s="37"/>
      <c r="N338" s="37"/>
      <c r="O338" s="37"/>
      <c r="P338" s="38"/>
      <c r="Q338" s="37"/>
      <c r="R338" s="17"/>
    </row>
    <row r="339" customFormat="false" ht="15" hidden="false" customHeight="false" outlineLevel="0" collapsed="false">
      <c r="A339" s="37"/>
      <c r="B339" s="37"/>
      <c r="C339" s="41" t="str">
        <f aca="false">IF($B339="","",IFERROR(INDEX('LEAD MASTER'!$E$3:$E$402,MATCH($B339,'LEAD MASTER'!$A$3:$A$402,0)),"Lead ID not found"))</f>
        <v/>
      </c>
      <c r="D339" s="17"/>
      <c r="E339" s="17"/>
      <c r="F339" s="37"/>
      <c r="G339" s="37"/>
      <c r="H339" s="17"/>
      <c r="I339" s="37"/>
      <c r="J339" s="37"/>
      <c r="K339" s="37"/>
      <c r="L339" s="17"/>
      <c r="M339" s="37"/>
      <c r="N339" s="37"/>
      <c r="O339" s="37"/>
      <c r="P339" s="38"/>
      <c r="Q339" s="37"/>
      <c r="R339" s="17"/>
    </row>
    <row r="340" customFormat="false" ht="15" hidden="false" customHeight="false" outlineLevel="0" collapsed="false">
      <c r="A340" s="37"/>
      <c r="B340" s="37"/>
      <c r="C340" s="41" t="str">
        <f aca="false">IF($B340="","",IFERROR(INDEX('LEAD MASTER'!$E$3:$E$402,MATCH($B340,'LEAD MASTER'!$A$3:$A$402,0)),"Lead ID not found"))</f>
        <v/>
      </c>
      <c r="D340" s="17"/>
      <c r="E340" s="17"/>
      <c r="F340" s="37"/>
      <c r="G340" s="37"/>
      <c r="H340" s="17"/>
      <c r="I340" s="37"/>
      <c r="J340" s="37"/>
      <c r="K340" s="37"/>
      <c r="L340" s="17"/>
      <c r="M340" s="37"/>
      <c r="N340" s="37"/>
      <c r="O340" s="37"/>
      <c r="P340" s="38"/>
      <c r="Q340" s="37"/>
      <c r="R340" s="17"/>
    </row>
    <row r="341" customFormat="false" ht="15" hidden="false" customHeight="false" outlineLevel="0" collapsed="false">
      <c r="A341" s="37"/>
      <c r="B341" s="37"/>
      <c r="C341" s="41" t="str">
        <f aca="false">IF($B341="","",IFERROR(INDEX('LEAD MASTER'!$E$3:$E$402,MATCH($B341,'LEAD MASTER'!$A$3:$A$402,0)),"Lead ID not found"))</f>
        <v/>
      </c>
      <c r="D341" s="17"/>
      <c r="E341" s="17"/>
      <c r="F341" s="37"/>
      <c r="G341" s="37"/>
      <c r="H341" s="17"/>
      <c r="I341" s="37"/>
      <c r="J341" s="37"/>
      <c r="K341" s="37"/>
      <c r="L341" s="17"/>
      <c r="M341" s="37"/>
      <c r="N341" s="37"/>
      <c r="O341" s="37"/>
      <c r="P341" s="38"/>
      <c r="Q341" s="37"/>
      <c r="R341" s="17"/>
    </row>
    <row r="342" customFormat="false" ht="15" hidden="false" customHeight="false" outlineLevel="0" collapsed="false">
      <c r="A342" s="37"/>
      <c r="B342" s="37"/>
      <c r="C342" s="41" t="str">
        <f aca="false">IF($B342="","",IFERROR(INDEX('LEAD MASTER'!$E$3:$E$402,MATCH($B342,'LEAD MASTER'!$A$3:$A$402,0)),"Lead ID not found"))</f>
        <v/>
      </c>
      <c r="D342" s="17"/>
      <c r="E342" s="17"/>
      <c r="F342" s="37"/>
      <c r="G342" s="37"/>
      <c r="H342" s="17"/>
      <c r="I342" s="37"/>
      <c r="J342" s="37"/>
      <c r="K342" s="37"/>
      <c r="L342" s="17"/>
      <c r="M342" s="37"/>
      <c r="N342" s="37"/>
      <c r="O342" s="37"/>
      <c r="P342" s="38"/>
      <c r="Q342" s="37"/>
      <c r="R342" s="17"/>
    </row>
    <row r="343" customFormat="false" ht="15" hidden="false" customHeight="false" outlineLevel="0" collapsed="false">
      <c r="A343" s="37"/>
      <c r="B343" s="37"/>
      <c r="C343" s="41" t="str">
        <f aca="false">IF($B343="","",IFERROR(INDEX('LEAD MASTER'!$E$3:$E$402,MATCH($B343,'LEAD MASTER'!$A$3:$A$402,0)),"Lead ID not found"))</f>
        <v/>
      </c>
      <c r="D343" s="17"/>
      <c r="E343" s="17"/>
      <c r="F343" s="37"/>
      <c r="G343" s="37"/>
      <c r="H343" s="17"/>
      <c r="I343" s="37"/>
      <c r="J343" s="37"/>
      <c r="K343" s="37"/>
      <c r="L343" s="17"/>
      <c r="M343" s="37"/>
      <c r="N343" s="37"/>
      <c r="O343" s="37"/>
      <c r="P343" s="38"/>
      <c r="Q343" s="37"/>
      <c r="R343" s="17"/>
    </row>
    <row r="344" customFormat="false" ht="15" hidden="false" customHeight="false" outlineLevel="0" collapsed="false">
      <c r="A344" s="37"/>
      <c r="B344" s="37"/>
      <c r="C344" s="41" t="str">
        <f aca="false">IF($B344="","",IFERROR(INDEX('LEAD MASTER'!$E$3:$E$402,MATCH($B344,'LEAD MASTER'!$A$3:$A$402,0)),"Lead ID not found"))</f>
        <v/>
      </c>
      <c r="D344" s="17"/>
      <c r="E344" s="17"/>
      <c r="F344" s="37"/>
      <c r="G344" s="37"/>
      <c r="H344" s="17"/>
      <c r="I344" s="37"/>
      <c r="J344" s="37"/>
      <c r="K344" s="37"/>
      <c r="L344" s="17"/>
      <c r="M344" s="37"/>
      <c r="N344" s="37"/>
      <c r="O344" s="37"/>
      <c r="P344" s="38"/>
      <c r="Q344" s="37"/>
      <c r="R344" s="17"/>
    </row>
    <row r="345" customFormat="false" ht="15" hidden="false" customHeight="false" outlineLevel="0" collapsed="false">
      <c r="A345" s="37"/>
      <c r="B345" s="37"/>
      <c r="C345" s="41" t="str">
        <f aca="false">IF($B345="","",IFERROR(INDEX('LEAD MASTER'!$E$3:$E$402,MATCH($B345,'LEAD MASTER'!$A$3:$A$402,0)),"Lead ID not found"))</f>
        <v/>
      </c>
      <c r="D345" s="17"/>
      <c r="E345" s="17"/>
      <c r="F345" s="37"/>
      <c r="G345" s="37"/>
      <c r="H345" s="17"/>
      <c r="I345" s="37"/>
      <c r="J345" s="37"/>
      <c r="K345" s="37"/>
      <c r="L345" s="17"/>
      <c r="M345" s="37"/>
      <c r="N345" s="37"/>
      <c r="O345" s="37"/>
      <c r="P345" s="38"/>
      <c r="Q345" s="37"/>
      <c r="R345" s="17"/>
    </row>
    <row r="346" customFormat="false" ht="15" hidden="false" customHeight="false" outlineLevel="0" collapsed="false">
      <c r="A346" s="37"/>
      <c r="B346" s="37"/>
      <c r="C346" s="41" t="str">
        <f aca="false">IF($B346="","",IFERROR(INDEX('LEAD MASTER'!$E$3:$E$402,MATCH($B346,'LEAD MASTER'!$A$3:$A$402,0)),"Lead ID not found"))</f>
        <v/>
      </c>
      <c r="D346" s="17"/>
      <c r="E346" s="17"/>
      <c r="F346" s="37"/>
      <c r="G346" s="37"/>
      <c r="H346" s="17"/>
      <c r="I346" s="37"/>
      <c r="J346" s="37"/>
      <c r="K346" s="37"/>
      <c r="L346" s="17"/>
      <c r="M346" s="37"/>
      <c r="N346" s="37"/>
      <c r="O346" s="37"/>
      <c r="P346" s="38"/>
      <c r="Q346" s="37"/>
      <c r="R346" s="17"/>
    </row>
    <row r="347" customFormat="false" ht="15" hidden="false" customHeight="false" outlineLevel="0" collapsed="false">
      <c r="A347" s="37"/>
      <c r="B347" s="37"/>
      <c r="C347" s="41" t="str">
        <f aca="false">IF($B347="","",IFERROR(INDEX('LEAD MASTER'!$E$3:$E$402,MATCH($B347,'LEAD MASTER'!$A$3:$A$402,0)),"Lead ID not found"))</f>
        <v/>
      </c>
      <c r="D347" s="17"/>
      <c r="E347" s="17"/>
      <c r="F347" s="37"/>
      <c r="G347" s="37"/>
      <c r="H347" s="17"/>
      <c r="I347" s="37"/>
      <c r="J347" s="37"/>
      <c r="K347" s="37"/>
      <c r="L347" s="17"/>
      <c r="M347" s="37"/>
      <c r="N347" s="37"/>
      <c r="O347" s="37"/>
      <c r="P347" s="38"/>
      <c r="Q347" s="37"/>
      <c r="R347" s="17"/>
    </row>
    <row r="348" customFormat="false" ht="15" hidden="false" customHeight="false" outlineLevel="0" collapsed="false">
      <c r="A348" s="37"/>
      <c r="B348" s="37"/>
      <c r="C348" s="41" t="str">
        <f aca="false">IF($B348="","",IFERROR(INDEX('LEAD MASTER'!$E$3:$E$402,MATCH($B348,'LEAD MASTER'!$A$3:$A$402,0)),"Lead ID not found"))</f>
        <v/>
      </c>
      <c r="D348" s="17"/>
      <c r="E348" s="17"/>
      <c r="F348" s="37"/>
      <c r="G348" s="37"/>
      <c r="H348" s="17"/>
      <c r="I348" s="37"/>
      <c r="J348" s="37"/>
      <c r="K348" s="37"/>
      <c r="L348" s="17"/>
      <c r="M348" s="37"/>
      <c r="N348" s="37"/>
      <c r="O348" s="37"/>
      <c r="P348" s="38"/>
      <c r="Q348" s="37"/>
      <c r="R348" s="17"/>
    </row>
    <row r="349" customFormat="false" ht="15" hidden="false" customHeight="false" outlineLevel="0" collapsed="false">
      <c r="A349" s="37"/>
      <c r="B349" s="37"/>
      <c r="C349" s="41" t="str">
        <f aca="false">IF($B349="","",IFERROR(INDEX('LEAD MASTER'!$E$3:$E$402,MATCH($B349,'LEAD MASTER'!$A$3:$A$402,0)),"Lead ID not found"))</f>
        <v/>
      </c>
      <c r="D349" s="17"/>
      <c r="E349" s="17"/>
      <c r="F349" s="37"/>
      <c r="G349" s="37"/>
      <c r="H349" s="17"/>
      <c r="I349" s="37"/>
      <c r="J349" s="37"/>
      <c r="K349" s="37"/>
      <c r="L349" s="17"/>
      <c r="M349" s="37"/>
      <c r="N349" s="37"/>
      <c r="O349" s="37"/>
      <c r="P349" s="38"/>
      <c r="Q349" s="37"/>
      <c r="R349" s="17"/>
    </row>
    <row r="350" customFormat="false" ht="15" hidden="false" customHeight="false" outlineLevel="0" collapsed="false">
      <c r="A350" s="37"/>
      <c r="B350" s="37"/>
      <c r="C350" s="41" t="str">
        <f aca="false">IF($B350="","",IFERROR(INDEX('LEAD MASTER'!$E$3:$E$402,MATCH($B350,'LEAD MASTER'!$A$3:$A$402,0)),"Lead ID not found"))</f>
        <v/>
      </c>
      <c r="D350" s="17"/>
      <c r="E350" s="17"/>
      <c r="F350" s="37"/>
      <c r="G350" s="37"/>
      <c r="H350" s="17"/>
      <c r="I350" s="37"/>
      <c r="J350" s="37"/>
      <c r="K350" s="37"/>
      <c r="L350" s="17"/>
      <c r="M350" s="37"/>
      <c r="N350" s="37"/>
      <c r="O350" s="37"/>
      <c r="P350" s="38"/>
      <c r="Q350" s="37"/>
      <c r="R350" s="17"/>
    </row>
    <row r="351" customFormat="false" ht="15" hidden="false" customHeight="false" outlineLevel="0" collapsed="false">
      <c r="A351" s="37"/>
      <c r="B351" s="37"/>
      <c r="C351" s="41" t="str">
        <f aca="false">IF($B351="","",IFERROR(INDEX('LEAD MASTER'!$E$3:$E$402,MATCH($B351,'LEAD MASTER'!$A$3:$A$402,0)),"Lead ID not found"))</f>
        <v/>
      </c>
      <c r="D351" s="17"/>
      <c r="E351" s="17"/>
      <c r="F351" s="37"/>
      <c r="G351" s="37"/>
      <c r="H351" s="17"/>
      <c r="I351" s="37"/>
      <c r="J351" s="37"/>
      <c r="K351" s="37"/>
      <c r="L351" s="17"/>
      <c r="M351" s="37"/>
      <c r="N351" s="37"/>
      <c r="O351" s="37"/>
      <c r="P351" s="38"/>
      <c r="Q351" s="37"/>
      <c r="R351" s="17"/>
    </row>
    <row r="352" customFormat="false" ht="15" hidden="false" customHeight="false" outlineLevel="0" collapsed="false">
      <c r="A352" s="37"/>
      <c r="B352" s="37"/>
      <c r="C352" s="41" t="str">
        <f aca="false">IF($B352="","",IFERROR(INDEX('LEAD MASTER'!$E$3:$E$402,MATCH($B352,'LEAD MASTER'!$A$3:$A$402,0)),"Lead ID not found"))</f>
        <v/>
      </c>
      <c r="D352" s="17"/>
      <c r="E352" s="17"/>
      <c r="F352" s="37"/>
      <c r="G352" s="37"/>
      <c r="H352" s="17"/>
      <c r="I352" s="37"/>
      <c r="J352" s="37"/>
      <c r="K352" s="37"/>
      <c r="L352" s="17"/>
      <c r="M352" s="37"/>
      <c r="N352" s="37"/>
      <c r="O352" s="37"/>
      <c r="P352" s="38"/>
      <c r="Q352" s="37"/>
      <c r="R352" s="17"/>
    </row>
    <row r="353" customFormat="false" ht="15" hidden="false" customHeight="false" outlineLevel="0" collapsed="false">
      <c r="A353" s="37"/>
      <c r="B353" s="37"/>
      <c r="C353" s="41" t="str">
        <f aca="false">IF($B353="","",IFERROR(INDEX('LEAD MASTER'!$E$3:$E$402,MATCH($B353,'LEAD MASTER'!$A$3:$A$402,0)),"Lead ID not found"))</f>
        <v/>
      </c>
      <c r="D353" s="17"/>
      <c r="E353" s="17"/>
      <c r="F353" s="37"/>
      <c r="G353" s="37"/>
      <c r="H353" s="17"/>
      <c r="I353" s="37"/>
      <c r="J353" s="37"/>
      <c r="K353" s="37"/>
      <c r="L353" s="17"/>
      <c r="M353" s="37"/>
      <c r="N353" s="37"/>
      <c r="O353" s="37"/>
      <c r="P353" s="38"/>
      <c r="Q353" s="37"/>
      <c r="R353" s="17"/>
    </row>
    <row r="354" customFormat="false" ht="15" hidden="false" customHeight="false" outlineLevel="0" collapsed="false">
      <c r="A354" s="37"/>
      <c r="B354" s="37"/>
      <c r="C354" s="41" t="str">
        <f aca="false">IF($B354="","",IFERROR(INDEX('LEAD MASTER'!$E$3:$E$402,MATCH($B354,'LEAD MASTER'!$A$3:$A$402,0)),"Lead ID not found"))</f>
        <v/>
      </c>
      <c r="D354" s="17"/>
      <c r="E354" s="17"/>
      <c r="F354" s="37"/>
      <c r="G354" s="37"/>
      <c r="H354" s="17"/>
      <c r="I354" s="37"/>
      <c r="J354" s="37"/>
      <c r="K354" s="37"/>
      <c r="L354" s="17"/>
      <c r="M354" s="37"/>
      <c r="N354" s="37"/>
      <c r="O354" s="37"/>
      <c r="P354" s="38"/>
      <c r="Q354" s="37"/>
      <c r="R354" s="17"/>
    </row>
    <row r="355" customFormat="false" ht="15" hidden="false" customHeight="false" outlineLevel="0" collapsed="false">
      <c r="A355" s="37"/>
      <c r="B355" s="37"/>
      <c r="C355" s="41" t="str">
        <f aca="false">IF($B355="","",IFERROR(INDEX('LEAD MASTER'!$E$3:$E$402,MATCH($B355,'LEAD MASTER'!$A$3:$A$402,0)),"Lead ID not found"))</f>
        <v/>
      </c>
      <c r="D355" s="17"/>
      <c r="E355" s="17"/>
      <c r="F355" s="37"/>
      <c r="G355" s="37"/>
      <c r="H355" s="17"/>
      <c r="I355" s="37"/>
      <c r="J355" s="37"/>
      <c r="K355" s="37"/>
      <c r="L355" s="17"/>
      <c r="M355" s="37"/>
      <c r="N355" s="37"/>
      <c r="O355" s="37"/>
      <c r="P355" s="38"/>
      <c r="Q355" s="37"/>
      <c r="R355" s="17"/>
    </row>
    <row r="356" customFormat="false" ht="15" hidden="false" customHeight="false" outlineLevel="0" collapsed="false">
      <c r="A356" s="37"/>
      <c r="B356" s="37"/>
      <c r="C356" s="41" t="str">
        <f aca="false">IF($B356="","",IFERROR(INDEX('LEAD MASTER'!$E$3:$E$402,MATCH($B356,'LEAD MASTER'!$A$3:$A$402,0)),"Lead ID not found"))</f>
        <v/>
      </c>
      <c r="D356" s="17"/>
      <c r="E356" s="17"/>
      <c r="F356" s="37"/>
      <c r="G356" s="37"/>
      <c r="H356" s="17"/>
      <c r="I356" s="37"/>
      <c r="J356" s="37"/>
      <c r="K356" s="37"/>
      <c r="L356" s="17"/>
      <c r="M356" s="37"/>
      <c r="N356" s="37"/>
      <c r="O356" s="37"/>
      <c r="P356" s="38"/>
      <c r="Q356" s="37"/>
      <c r="R356" s="17"/>
    </row>
    <row r="357" customFormat="false" ht="15" hidden="false" customHeight="false" outlineLevel="0" collapsed="false">
      <c r="A357" s="37"/>
      <c r="B357" s="37"/>
      <c r="C357" s="41" t="str">
        <f aca="false">IF($B357="","",IFERROR(INDEX('LEAD MASTER'!$E$3:$E$402,MATCH($B357,'LEAD MASTER'!$A$3:$A$402,0)),"Lead ID not found"))</f>
        <v/>
      </c>
      <c r="D357" s="17"/>
      <c r="E357" s="17"/>
      <c r="F357" s="37"/>
      <c r="G357" s="37"/>
      <c r="H357" s="17"/>
      <c r="I357" s="37"/>
      <c r="J357" s="37"/>
      <c r="K357" s="37"/>
      <c r="L357" s="17"/>
      <c r="M357" s="37"/>
      <c r="N357" s="37"/>
      <c r="O357" s="37"/>
      <c r="P357" s="38"/>
      <c r="Q357" s="37"/>
      <c r="R357" s="17"/>
    </row>
    <row r="358" customFormat="false" ht="15" hidden="false" customHeight="false" outlineLevel="0" collapsed="false">
      <c r="A358" s="37"/>
      <c r="B358" s="37"/>
      <c r="C358" s="41" t="str">
        <f aca="false">IF($B358="","",IFERROR(INDEX('LEAD MASTER'!$E$3:$E$402,MATCH($B358,'LEAD MASTER'!$A$3:$A$402,0)),"Lead ID not found"))</f>
        <v/>
      </c>
      <c r="D358" s="17"/>
      <c r="E358" s="17"/>
      <c r="F358" s="37"/>
      <c r="G358" s="37"/>
      <c r="H358" s="17"/>
      <c r="I358" s="37"/>
      <c r="J358" s="37"/>
      <c r="K358" s="37"/>
      <c r="L358" s="17"/>
      <c r="M358" s="37"/>
      <c r="N358" s="37"/>
      <c r="O358" s="37"/>
      <c r="P358" s="38"/>
      <c r="Q358" s="37"/>
      <c r="R358" s="17"/>
    </row>
    <row r="359" customFormat="false" ht="15" hidden="false" customHeight="false" outlineLevel="0" collapsed="false">
      <c r="A359" s="37"/>
      <c r="B359" s="37"/>
      <c r="C359" s="41" t="str">
        <f aca="false">IF($B359="","",IFERROR(INDEX('LEAD MASTER'!$E$3:$E$402,MATCH($B359,'LEAD MASTER'!$A$3:$A$402,0)),"Lead ID not found"))</f>
        <v/>
      </c>
      <c r="D359" s="17"/>
      <c r="E359" s="17"/>
      <c r="F359" s="37"/>
      <c r="G359" s="37"/>
      <c r="H359" s="17"/>
      <c r="I359" s="37"/>
      <c r="J359" s="37"/>
      <c r="K359" s="37"/>
      <c r="L359" s="17"/>
      <c r="M359" s="37"/>
      <c r="N359" s="37"/>
      <c r="O359" s="37"/>
      <c r="P359" s="38"/>
      <c r="Q359" s="37"/>
      <c r="R359" s="17"/>
    </row>
    <row r="360" customFormat="false" ht="15" hidden="false" customHeight="false" outlineLevel="0" collapsed="false">
      <c r="A360" s="37"/>
      <c r="B360" s="37"/>
      <c r="C360" s="41" t="str">
        <f aca="false">IF($B360="","",IFERROR(INDEX('LEAD MASTER'!$E$3:$E$402,MATCH($B360,'LEAD MASTER'!$A$3:$A$402,0)),"Lead ID not found"))</f>
        <v/>
      </c>
      <c r="D360" s="17"/>
      <c r="E360" s="17"/>
      <c r="F360" s="37"/>
      <c r="G360" s="37"/>
      <c r="H360" s="17"/>
      <c r="I360" s="37"/>
      <c r="J360" s="37"/>
      <c r="K360" s="37"/>
      <c r="L360" s="17"/>
      <c r="M360" s="37"/>
      <c r="N360" s="37"/>
      <c r="O360" s="37"/>
      <c r="P360" s="38"/>
      <c r="Q360" s="37"/>
      <c r="R360" s="17"/>
    </row>
    <row r="361" customFormat="false" ht="15" hidden="false" customHeight="false" outlineLevel="0" collapsed="false">
      <c r="A361" s="37"/>
      <c r="B361" s="37"/>
      <c r="C361" s="41" t="str">
        <f aca="false">IF($B361="","",IFERROR(INDEX('LEAD MASTER'!$E$3:$E$402,MATCH($B361,'LEAD MASTER'!$A$3:$A$402,0)),"Lead ID not found"))</f>
        <v/>
      </c>
      <c r="D361" s="17"/>
      <c r="E361" s="17"/>
      <c r="F361" s="37"/>
      <c r="G361" s="37"/>
      <c r="H361" s="17"/>
      <c r="I361" s="37"/>
      <c r="J361" s="37"/>
      <c r="K361" s="37"/>
      <c r="L361" s="17"/>
      <c r="M361" s="37"/>
      <c r="N361" s="37"/>
      <c r="O361" s="37"/>
      <c r="P361" s="38"/>
      <c r="Q361" s="37"/>
      <c r="R361" s="17"/>
    </row>
    <row r="362" customFormat="false" ht="15" hidden="false" customHeight="false" outlineLevel="0" collapsed="false">
      <c r="A362" s="37"/>
      <c r="B362" s="37"/>
      <c r="C362" s="41" t="str">
        <f aca="false">IF($B362="","",IFERROR(INDEX('LEAD MASTER'!$E$3:$E$402,MATCH($B362,'LEAD MASTER'!$A$3:$A$402,0)),"Lead ID not found"))</f>
        <v/>
      </c>
      <c r="D362" s="17"/>
      <c r="E362" s="17"/>
      <c r="F362" s="37"/>
      <c r="G362" s="37"/>
      <c r="H362" s="17"/>
      <c r="I362" s="37"/>
      <c r="J362" s="37"/>
      <c r="K362" s="37"/>
      <c r="L362" s="17"/>
      <c r="M362" s="37"/>
      <c r="N362" s="37"/>
      <c r="O362" s="37"/>
      <c r="P362" s="38"/>
      <c r="Q362" s="37"/>
      <c r="R362" s="17"/>
    </row>
    <row r="363" customFormat="false" ht="15" hidden="false" customHeight="false" outlineLevel="0" collapsed="false">
      <c r="A363" s="37"/>
      <c r="B363" s="37"/>
      <c r="C363" s="41" t="str">
        <f aca="false">IF($B363="","",IFERROR(INDEX('LEAD MASTER'!$E$3:$E$402,MATCH($B363,'LEAD MASTER'!$A$3:$A$402,0)),"Lead ID not found"))</f>
        <v/>
      </c>
      <c r="D363" s="17"/>
      <c r="E363" s="17"/>
      <c r="F363" s="37"/>
      <c r="G363" s="37"/>
      <c r="H363" s="17"/>
      <c r="I363" s="37"/>
      <c r="J363" s="37"/>
      <c r="K363" s="37"/>
      <c r="L363" s="17"/>
      <c r="M363" s="37"/>
      <c r="N363" s="37"/>
      <c r="O363" s="37"/>
      <c r="P363" s="38"/>
      <c r="Q363" s="37"/>
      <c r="R363" s="17"/>
    </row>
    <row r="364" customFormat="false" ht="15" hidden="false" customHeight="false" outlineLevel="0" collapsed="false">
      <c r="A364" s="37"/>
      <c r="B364" s="37"/>
      <c r="C364" s="41" t="str">
        <f aca="false">IF($B364="","",IFERROR(INDEX('LEAD MASTER'!$E$3:$E$402,MATCH($B364,'LEAD MASTER'!$A$3:$A$402,0)),"Lead ID not found"))</f>
        <v/>
      </c>
      <c r="D364" s="17"/>
      <c r="E364" s="17"/>
      <c r="F364" s="37"/>
      <c r="G364" s="37"/>
      <c r="H364" s="17"/>
      <c r="I364" s="37"/>
      <c r="J364" s="37"/>
      <c r="K364" s="37"/>
      <c r="L364" s="17"/>
      <c r="M364" s="37"/>
      <c r="N364" s="37"/>
      <c r="O364" s="37"/>
      <c r="P364" s="38"/>
      <c r="Q364" s="37"/>
      <c r="R364" s="17"/>
    </row>
    <row r="365" customFormat="false" ht="15" hidden="false" customHeight="false" outlineLevel="0" collapsed="false">
      <c r="A365" s="37"/>
      <c r="B365" s="37"/>
      <c r="C365" s="41" t="str">
        <f aca="false">IF($B365="","",IFERROR(INDEX('LEAD MASTER'!$E$3:$E$402,MATCH($B365,'LEAD MASTER'!$A$3:$A$402,0)),"Lead ID not found"))</f>
        <v/>
      </c>
      <c r="D365" s="17"/>
      <c r="E365" s="17"/>
      <c r="F365" s="37"/>
      <c r="G365" s="37"/>
      <c r="H365" s="17"/>
      <c r="I365" s="37"/>
      <c r="J365" s="37"/>
      <c r="K365" s="37"/>
      <c r="L365" s="17"/>
      <c r="M365" s="37"/>
      <c r="N365" s="37"/>
      <c r="O365" s="37"/>
      <c r="P365" s="38"/>
      <c r="Q365" s="37"/>
      <c r="R365" s="17"/>
    </row>
    <row r="366" customFormat="false" ht="15" hidden="false" customHeight="false" outlineLevel="0" collapsed="false">
      <c r="A366" s="37"/>
      <c r="B366" s="37"/>
      <c r="C366" s="41" t="str">
        <f aca="false">IF($B366="","",IFERROR(INDEX('LEAD MASTER'!$E$3:$E$402,MATCH($B366,'LEAD MASTER'!$A$3:$A$402,0)),"Lead ID not found"))</f>
        <v/>
      </c>
      <c r="D366" s="17"/>
      <c r="E366" s="17"/>
      <c r="F366" s="37"/>
      <c r="G366" s="37"/>
      <c r="H366" s="17"/>
      <c r="I366" s="37"/>
      <c r="J366" s="37"/>
      <c r="K366" s="37"/>
      <c r="L366" s="17"/>
      <c r="M366" s="37"/>
      <c r="N366" s="37"/>
      <c r="O366" s="37"/>
      <c r="P366" s="38"/>
      <c r="Q366" s="37"/>
      <c r="R366" s="17"/>
    </row>
    <row r="367" customFormat="false" ht="15" hidden="false" customHeight="false" outlineLevel="0" collapsed="false">
      <c r="A367" s="37"/>
      <c r="B367" s="37"/>
      <c r="C367" s="41" t="str">
        <f aca="false">IF($B367="","",IFERROR(INDEX('LEAD MASTER'!$E$3:$E$402,MATCH($B367,'LEAD MASTER'!$A$3:$A$402,0)),"Lead ID not found"))</f>
        <v/>
      </c>
      <c r="D367" s="17"/>
      <c r="E367" s="17"/>
      <c r="F367" s="37"/>
      <c r="G367" s="37"/>
      <c r="H367" s="17"/>
      <c r="I367" s="37"/>
      <c r="J367" s="37"/>
      <c r="K367" s="37"/>
      <c r="L367" s="17"/>
      <c r="M367" s="37"/>
      <c r="N367" s="37"/>
      <c r="O367" s="37"/>
      <c r="P367" s="38"/>
      <c r="Q367" s="37"/>
      <c r="R367" s="17"/>
    </row>
    <row r="368" customFormat="false" ht="15" hidden="false" customHeight="false" outlineLevel="0" collapsed="false">
      <c r="A368" s="37"/>
      <c r="B368" s="37"/>
      <c r="C368" s="41" t="str">
        <f aca="false">IF($B368="","",IFERROR(INDEX('LEAD MASTER'!$E$3:$E$402,MATCH($B368,'LEAD MASTER'!$A$3:$A$402,0)),"Lead ID not found"))</f>
        <v/>
      </c>
      <c r="D368" s="17"/>
      <c r="E368" s="17"/>
      <c r="F368" s="37"/>
      <c r="G368" s="37"/>
      <c r="H368" s="17"/>
      <c r="I368" s="37"/>
      <c r="J368" s="37"/>
      <c r="K368" s="37"/>
      <c r="L368" s="17"/>
      <c r="M368" s="37"/>
      <c r="N368" s="37"/>
      <c r="O368" s="37"/>
      <c r="P368" s="38"/>
      <c r="Q368" s="37"/>
      <c r="R368" s="17"/>
    </row>
    <row r="369" customFormat="false" ht="15" hidden="false" customHeight="false" outlineLevel="0" collapsed="false">
      <c r="A369" s="37"/>
      <c r="B369" s="37"/>
      <c r="C369" s="41" t="str">
        <f aca="false">IF($B369="","",IFERROR(INDEX('LEAD MASTER'!$E$3:$E$402,MATCH($B369,'LEAD MASTER'!$A$3:$A$402,0)),"Lead ID not found"))</f>
        <v/>
      </c>
      <c r="D369" s="17"/>
      <c r="E369" s="17"/>
      <c r="F369" s="37"/>
      <c r="G369" s="37"/>
      <c r="H369" s="17"/>
      <c r="I369" s="37"/>
      <c r="J369" s="37"/>
      <c r="K369" s="37"/>
      <c r="L369" s="17"/>
      <c r="M369" s="37"/>
      <c r="N369" s="37"/>
      <c r="O369" s="37"/>
      <c r="P369" s="38"/>
      <c r="Q369" s="37"/>
      <c r="R369" s="17"/>
    </row>
    <row r="370" customFormat="false" ht="15" hidden="false" customHeight="false" outlineLevel="0" collapsed="false">
      <c r="A370" s="37"/>
      <c r="B370" s="37"/>
      <c r="C370" s="41" t="str">
        <f aca="false">IF($B370="","",IFERROR(INDEX('LEAD MASTER'!$E$3:$E$402,MATCH($B370,'LEAD MASTER'!$A$3:$A$402,0)),"Lead ID not found"))</f>
        <v/>
      </c>
      <c r="D370" s="17"/>
      <c r="E370" s="17"/>
      <c r="F370" s="37"/>
      <c r="G370" s="37"/>
      <c r="H370" s="17"/>
      <c r="I370" s="37"/>
      <c r="J370" s="37"/>
      <c r="K370" s="37"/>
      <c r="L370" s="17"/>
      <c r="M370" s="37"/>
      <c r="N370" s="37"/>
      <c r="O370" s="37"/>
      <c r="P370" s="38"/>
      <c r="Q370" s="37"/>
      <c r="R370" s="17"/>
    </row>
    <row r="371" customFormat="false" ht="15" hidden="false" customHeight="false" outlineLevel="0" collapsed="false">
      <c r="A371" s="37"/>
      <c r="B371" s="37"/>
      <c r="C371" s="41" t="str">
        <f aca="false">IF($B371="","",IFERROR(INDEX('LEAD MASTER'!$E$3:$E$402,MATCH($B371,'LEAD MASTER'!$A$3:$A$402,0)),"Lead ID not found"))</f>
        <v/>
      </c>
      <c r="D371" s="17"/>
      <c r="E371" s="17"/>
      <c r="F371" s="37"/>
      <c r="G371" s="37"/>
      <c r="H371" s="17"/>
      <c r="I371" s="37"/>
      <c r="J371" s="37"/>
      <c r="K371" s="37"/>
      <c r="L371" s="17"/>
      <c r="M371" s="37"/>
      <c r="N371" s="37"/>
      <c r="O371" s="37"/>
      <c r="P371" s="38"/>
      <c r="Q371" s="37"/>
      <c r="R371" s="17"/>
    </row>
    <row r="372" customFormat="false" ht="15" hidden="false" customHeight="false" outlineLevel="0" collapsed="false">
      <c r="A372" s="37"/>
      <c r="B372" s="37"/>
      <c r="C372" s="41" t="str">
        <f aca="false">IF($B372="","",IFERROR(INDEX('LEAD MASTER'!$E$3:$E$402,MATCH($B372,'LEAD MASTER'!$A$3:$A$402,0)),"Lead ID not found"))</f>
        <v/>
      </c>
      <c r="D372" s="17"/>
      <c r="E372" s="17"/>
      <c r="F372" s="37"/>
      <c r="G372" s="37"/>
      <c r="H372" s="17"/>
      <c r="I372" s="37"/>
      <c r="J372" s="37"/>
      <c r="K372" s="37"/>
      <c r="L372" s="17"/>
      <c r="M372" s="37"/>
      <c r="N372" s="37"/>
      <c r="O372" s="37"/>
      <c r="P372" s="38"/>
      <c r="Q372" s="37"/>
      <c r="R372" s="17"/>
    </row>
    <row r="373" customFormat="false" ht="15" hidden="false" customHeight="false" outlineLevel="0" collapsed="false">
      <c r="A373" s="37"/>
      <c r="B373" s="37"/>
      <c r="C373" s="41" t="str">
        <f aca="false">IF($B373="","",IFERROR(INDEX('LEAD MASTER'!$E$3:$E$402,MATCH($B373,'LEAD MASTER'!$A$3:$A$402,0)),"Lead ID not found"))</f>
        <v/>
      </c>
      <c r="D373" s="17"/>
      <c r="E373" s="17"/>
      <c r="F373" s="37"/>
      <c r="G373" s="37"/>
      <c r="H373" s="17"/>
      <c r="I373" s="37"/>
      <c r="J373" s="37"/>
      <c r="K373" s="37"/>
      <c r="L373" s="17"/>
      <c r="M373" s="37"/>
      <c r="N373" s="37"/>
      <c r="O373" s="37"/>
      <c r="P373" s="38"/>
      <c r="Q373" s="37"/>
      <c r="R373" s="17"/>
    </row>
    <row r="374" customFormat="false" ht="15" hidden="false" customHeight="false" outlineLevel="0" collapsed="false">
      <c r="A374" s="37"/>
      <c r="B374" s="37"/>
      <c r="C374" s="41" t="str">
        <f aca="false">IF($B374="","",IFERROR(INDEX('LEAD MASTER'!$E$3:$E$402,MATCH($B374,'LEAD MASTER'!$A$3:$A$402,0)),"Lead ID not found"))</f>
        <v/>
      </c>
      <c r="D374" s="17"/>
      <c r="E374" s="17"/>
      <c r="F374" s="37"/>
      <c r="G374" s="37"/>
      <c r="H374" s="17"/>
      <c r="I374" s="37"/>
      <c r="J374" s="37"/>
      <c r="K374" s="37"/>
      <c r="L374" s="17"/>
      <c r="M374" s="37"/>
      <c r="N374" s="37"/>
      <c r="O374" s="37"/>
      <c r="P374" s="38"/>
      <c r="Q374" s="37"/>
      <c r="R374" s="17"/>
    </row>
    <row r="375" customFormat="false" ht="15" hidden="false" customHeight="false" outlineLevel="0" collapsed="false">
      <c r="A375" s="37"/>
      <c r="B375" s="37"/>
      <c r="C375" s="41" t="str">
        <f aca="false">IF($B375="","",IFERROR(INDEX('LEAD MASTER'!$E$3:$E$402,MATCH($B375,'LEAD MASTER'!$A$3:$A$402,0)),"Lead ID not found"))</f>
        <v/>
      </c>
      <c r="D375" s="17"/>
      <c r="E375" s="17"/>
      <c r="F375" s="37"/>
      <c r="G375" s="37"/>
      <c r="H375" s="17"/>
      <c r="I375" s="37"/>
      <c r="J375" s="37"/>
      <c r="K375" s="37"/>
      <c r="L375" s="17"/>
      <c r="M375" s="37"/>
      <c r="N375" s="37"/>
      <c r="O375" s="37"/>
      <c r="P375" s="38"/>
      <c r="Q375" s="37"/>
      <c r="R375" s="17"/>
    </row>
    <row r="376" customFormat="false" ht="15" hidden="false" customHeight="false" outlineLevel="0" collapsed="false">
      <c r="A376" s="37"/>
      <c r="B376" s="37"/>
      <c r="C376" s="41" t="str">
        <f aca="false">IF($B376="","",IFERROR(INDEX('LEAD MASTER'!$E$3:$E$402,MATCH($B376,'LEAD MASTER'!$A$3:$A$402,0)),"Lead ID not found"))</f>
        <v/>
      </c>
      <c r="D376" s="17"/>
      <c r="E376" s="17"/>
      <c r="F376" s="37"/>
      <c r="G376" s="37"/>
      <c r="H376" s="17"/>
      <c r="I376" s="37"/>
      <c r="J376" s="37"/>
      <c r="K376" s="37"/>
      <c r="L376" s="17"/>
      <c r="M376" s="37"/>
      <c r="N376" s="37"/>
      <c r="O376" s="37"/>
      <c r="P376" s="38"/>
      <c r="Q376" s="37"/>
      <c r="R376" s="17"/>
    </row>
    <row r="377" customFormat="false" ht="15" hidden="false" customHeight="false" outlineLevel="0" collapsed="false">
      <c r="A377" s="37"/>
      <c r="B377" s="37"/>
      <c r="C377" s="41" t="str">
        <f aca="false">IF($B377="","",IFERROR(INDEX('LEAD MASTER'!$E$3:$E$402,MATCH($B377,'LEAD MASTER'!$A$3:$A$402,0)),"Lead ID not found"))</f>
        <v/>
      </c>
      <c r="D377" s="17"/>
      <c r="E377" s="17"/>
      <c r="F377" s="37"/>
      <c r="G377" s="37"/>
      <c r="H377" s="17"/>
      <c r="I377" s="37"/>
      <c r="J377" s="37"/>
      <c r="K377" s="37"/>
      <c r="L377" s="17"/>
      <c r="M377" s="37"/>
      <c r="N377" s="37"/>
      <c r="O377" s="37"/>
      <c r="P377" s="38"/>
      <c r="Q377" s="37"/>
      <c r="R377" s="17"/>
    </row>
    <row r="378" customFormat="false" ht="15" hidden="false" customHeight="false" outlineLevel="0" collapsed="false">
      <c r="A378" s="37"/>
      <c r="B378" s="37"/>
      <c r="C378" s="41" t="str">
        <f aca="false">IF($B378="","",IFERROR(INDEX('LEAD MASTER'!$E$3:$E$402,MATCH($B378,'LEAD MASTER'!$A$3:$A$402,0)),"Lead ID not found"))</f>
        <v/>
      </c>
      <c r="D378" s="17"/>
      <c r="E378" s="17"/>
      <c r="F378" s="37"/>
      <c r="G378" s="37"/>
      <c r="H378" s="17"/>
      <c r="I378" s="37"/>
      <c r="J378" s="37"/>
      <c r="K378" s="37"/>
      <c r="L378" s="17"/>
      <c r="M378" s="37"/>
      <c r="N378" s="37"/>
      <c r="O378" s="37"/>
      <c r="P378" s="38"/>
      <c r="Q378" s="37"/>
      <c r="R378" s="17"/>
    </row>
    <row r="379" customFormat="false" ht="15" hidden="false" customHeight="false" outlineLevel="0" collapsed="false">
      <c r="A379" s="37"/>
      <c r="B379" s="37"/>
      <c r="C379" s="41" t="str">
        <f aca="false">IF($B379="","",IFERROR(INDEX('LEAD MASTER'!$E$3:$E$402,MATCH($B379,'LEAD MASTER'!$A$3:$A$402,0)),"Lead ID not found"))</f>
        <v/>
      </c>
      <c r="D379" s="17"/>
      <c r="E379" s="17"/>
      <c r="F379" s="37"/>
      <c r="G379" s="37"/>
      <c r="H379" s="17"/>
      <c r="I379" s="37"/>
      <c r="J379" s="37"/>
      <c r="K379" s="37"/>
      <c r="L379" s="17"/>
      <c r="M379" s="37"/>
      <c r="N379" s="37"/>
      <c r="O379" s="37"/>
      <c r="P379" s="38"/>
      <c r="Q379" s="37"/>
      <c r="R379" s="17"/>
    </row>
    <row r="380" customFormat="false" ht="15" hidden="false" customHeight="false" outlineLevel="0" collapsed="false">
      <c r="A380" s="37"/>
      <c r="B380" s="37"/>
      <c r="C380" s="41" t="str">
        <f aca="false">IF($B380="","",IFERROR(INDEX('LEAD MASTER'!$E$3:$E$402,MATCH($B380,'LEAD MASTER'!$A$3:$A$402,0)),"Lead ID not found"))</f>
        <v/>
      </c>
      <c r="D380" s="17"/>
      <c r="E380" s="17"/>
      <c r="F380" s="37"/>
      <c r="G380" s="37"/>
      <c r="H380" s="17"/>
      <c r="I380" s="37"/>
      <c r="J380" s="37"/>
      <c r="K380" s="37"/>
      <c r="L380" s="17"/>
      <c r="M380" s="37"/>
      <c r="N380" s="37"/>
      <c r="O380" s="37"/>
      <c r="P380" s="38"/>
      <c r="Q380" s="37"/>
      <c r="R380" s="17"/>
    </row>
    <row r="381" customFormat="false" ht="15" hidden="false" customHeight="false" outlineLevel="0" collapsed="false">
      <c r="A381" s="37"/>
      <c r="B381" s="37"/>
      <c r="C381" s="41" t="str">
        <f aca="false">IF($B381="","",IFERROR(INDEX('LEAD MASTER'!$E$3:$E$402,MATCH($B381,'LEAD MASTER'!$A$3:$A$402,0)),"Lead ID not found"))</f>
        <v/>
      </c>
      <c r="D381" s="17"/>
      <c r="E381" s="17"/>
      <c r="F381" s="37"/>
      <c r="G381" s="37"/>
      <c r="H381" s="17"/>
      <c r="I381" s="37"/>
      <c r="J381" s="37"/>
      <c r="K381" s="37"/>
      <c r="L381" s="17"/>
      <c r="M381" s="37"/>
      <c r="N381" s="37"/>
      <c r="O381" s="37"/>
      <c r="P381" s="38"/>
      <c r="Q381" s="37"/>
      <c r="R381" s="17"/>
    </row>
    <row r="382" customFormat="false" ht="15" hidden="false" customHeight="false" outlineLevel="0" collapsed="false">
      <c r="A382" s="37"/>
      <c r="B382" s="37"/>
      <c r="C382" s="41" t="str">
        <f aca="false">IF($B382="","",IFERROR(INDEX('LEAD MASTER'!$E$3:$E$402,MATCH($B382,'LEAD MASTER'!$A$3:$A$402,0)),"Lead ID not found"))</f>
        <v/>
      </c>
      <c r="D382" s="17"/>
      <c r="E382" s="17"/>
      <c r="F382" s="37"/>
      <c r="G382" s="37"/>
      <c r="H382" s="17"/>
      <c r="I382" s="37"/>
      <c r="J382" s="37"/>
      <c r="K382" s="37"/>
      <c r="L382" s="17"/>
      <c r="M382" s="37"/>
      <c r="N382" s="37"/>
      <c r="O382" s="37"/>
      <c r="P382" s="38"/>
      <c r="Q382" s="37"/>
      <c r="R382" s="17"/>
    </row>
    <row r="383" customFormat="false" ht="15" hidden="false" customHeight="false" outlineLevel="0" collapsed="false">
      <c r="A383" s="37"/>
      <c r="B383" s="37"/>
      <c r="C383" s="41" t="str">
        <f aca="false">IF($B383="","",IFERROR(INDEX('LEAD MASTER'!$E$3:$E$402,MATCH($B383,'LEAD MASTER'!$A$3:$A$402,0)),"Lead ID not found"))</f>
        <v/>
      </c>
      <c r="D383" s="17"/>
      <c r="E383" s="17"/>
      <c r="F383" s="37"/>
      <c r="G383" s="37"/>
      <c r="H383" s="17"/>
      <c r="I383" s="37"/>
      <c r="J383" s="37"/>
      <c r="K383" s="37"/>
      <c r="L383" s="17"/>
      <c r="M383" s="37"/>
      <c r="N383" s="37"/>
      <c r="O383" s="37"/>
      <c r="P383" s="38"/>
      <c r="Q383" s="37"/>
      <c r="R383" s="17"/>
    </row>
    <row r="384" customFormat="false" ht="15" hidden="false" customHeight="false" outlineLevel="0" collapsed="false">
      <c r="A384" s="37"/>
      <c r="B384" s="37"/>
      <c r="C384" s="41" t="str">
        <f aca="false">IF($B384="","",IFERROR(INDEX('LEAD MASTER'!$E$3:$E$402,MATCH($B384,'LEAD MASTER'!$A$3:$A$402,0)),"Lead ID not found"))</f>
        <v/>
      </c>
      <c r="D384" s="17"/>
      <c r="E384" s="17"/>
      <c r="F384" s="37"/>
      <c r="G384" s="37"/>
      <c r="H384" s="17"/>
      <c r="I384" s="37"/>
      <c r="J384" s="37"/>
      <c r="K384" s="37"/>
      <c r="L384" s="17"/>
      <c r="M384" s="37"/>
      <c r="N384" s="37"/>
      <c r="O384" s="37"/>
      <c r="P384" s="38"/>
      <c r="Q384" s="37"/>
      <c r="R384" s="17"/>
    </row>
    <row r="385" customFormat="false" ht="15" hidden="false" customHeight="false" outlineLevel="0" collapsed="false">
      <c r="A385" s="37"/>
      <c r="B385" s="37"/>
      <c r="C385" s="41" t="str">
        <f aca="false">IF($B385="","",IFERROR(INDEX('LEAD MASTER'!$E$3:$E$402,MATCH($B385,'LEAD MASTER'!$A$3:$A$402,0)),"Lead ID not found"))</f>
        <v/>
      </c>
      <c r="D385" s="17"/>
      <c r="E385" s="17"/>
      <c r="F385" s="37"/>
      <c r="G385" s="37"/>
      <c r="H385" s="17"/>
      <c r="I385" s="37"/>
      <c r="J385" s="37"/>
      <c r="K385" s="37"/>
      <c r="L385" s="17"/>
      <c r="M385" s="37"/>
      <c r="N385" s="37"/>
      <c r="O385" s="37"/>
      <c r="P385" s="38"/>
      <c r="Q385" s="37"/>
      <c r="R385" s="17"/>
    </row>
    <row r="386" customFormat="false" ht="15" hidden="false" customHeight="false" outlineLevel="0" collapsed="false">
      <c r="A386" s="37"/>
      <c r="B386" s="37"/>
      <c r="C386" s="41" t="str">
        <f aca="false">IF($B386="","",IFERROR(INDEX('LEAD MASTER'!$E$3:$E$402,MATCH($B386,'LEAD MASTER'!$A$3:$A$402,0)),"Lead ID not found"))</f>
        <v/>
      </c>
      <c r="D386" s="17"/>
      <c r="E386" s="17"/>
      <c r="F386" s="37"/>
      <c r="G386" s="37"/>
      <c r="H386" s="17"/>
      <c r="I386" s="37"/>
      <c r="J386" s="37"/>
      <c r="K386" s="37"/>
      <c r="L386" s="17"/>
      <c r="M386" s="37"/>
      <c r="N386" s="37"/>
      <c r="O386" s="37"/>
      <c r="P386" s="38"/>
      <c r="Q386" s="37"/>
      <c r="R386" s="17"/>
    </row>
    <row r="387" customFormat="false" ht="15" hidden="false" customHeight="false" outlineLevel="0" collapsed="false">
      <c r="A387" s="37"/>
      <c r="B387" s="37"/>
      <c r="C387" s="41" t="str">
        <f aca="false">IF($B387="","",IFERROR(INDEX('LEAD MASTER'!$E$3:$E$402,MATCH($B387,'LEAD MASTER'!$A$3:$A$402,0)),"Lead ID not found"))</f>
        <v/>
      </c>
      <c r="D387" s="17"/>
      <c r="E387" s="17"/>
      <c r="F387" s="37"/>
      <c r="G387" s="37"/>
      <c r="H387" s="17"/>
      <c r="I387" s="37"/>
      <c r="J387" s="37"/>
      <c r="K387" s="37"/>
      <c r="L387" s="17"/>
      <c r="M387" s="37"/>
      <c r="N387" s="37"/>
      <c r="O387" s="37"/>
      <c r="P387" s="38"/>
      <c r="Q387" s="37"/>
      <c r="R387" s="17"/>
    </row>
    <row r="388" customFormat="false" ht="15" hidden="false" customHeight="false" outlineLevel="0" collapsed="false">
      <c r="A388" s="37"/>
      <c r="B388" s="37"/>
      <c r="C388" s="41" t="str">
        <f aca="false">IF($B388="","",IFERROR(INDEX('LEAD MASTER'!$E$3:$E$402,MATCH($B388,'LEAD MASTER'!$A$3:$A$402,0)),"Lead ID not found"))</f>
        <v/>
      </c>
      <c r="D388" s="17"/>
      <c r="E388" s="17"/>
      <c r="F388" s="37"/>
      <c r="G388" s="37"/>
      <c r="H388" s="17"/>
      <c r="I388" s="37"/>
      <c r="J388" s="37"/>
      <c r="K388" s="37"/>
      <c r="L388" s="17"/>
      <c r="M388" s="37"/>
      <c r="N388" s="37"/>
      <c r="O388" s="37"/>
      <c r="P388" s="38"/>
      <c r="Q388" s="37"/>
      <c r="R388" s="17"/>
    </row>
    <row r="389" customFormat="false" ht="15" hidden="false" customHeight="false" outlineLevel="0" collapsed="false">
      <c r="A389" s="37"/>
      <c r="B389" s="37"/>
      <c r="C389" s="41" t="str">
        <f aca="false">IF($B389="","",IFERROR(INDEX('LEAD MASTER'!$E$3:$E$402,MATCH($B389,'LEAD MASTER'!$A$3:$A$402,0)),"Lead ID not found"))</f>
        <v/>
      </c>
      <c r="D389" s="17"/>
      <c r="E389" s="17"/>
      <c r="F389" s="37"/>
      <c r="G389" s="37"/>
      <c r="H389" s="17"/>
      <c r="I389" s="37"/>
      <c r="J389" s="37"/>
      <c r="K389" s="37"/>
      <c r="L389" s="17"/>
      <c r="M389" s="37"/>
      <c r="N389" s="37"/>
      <c r="O389" s="37"/>
      <c r="P389" s="38"/>
      <c r="Q389" s="37"/>
      <c r="R389" s="17"/>
    </row>
    <row r="390" customFormat="false" ht="15" hidden="false" customHeight="false" outlineLevel="0" collapsed="false">
      <c r="A390" s="37"/>
      <c r="B390" s="37"/>
      <c r="C390" s="41" t="str">
        <f aca="false">IF($B390="","",IFERROR(INDEX('LEAD MASTER'!$E$3:$E$402,MATCH($B390,'LEAD MASTER'!$A$3:$A$402,0)),"Lead ID not found"))</f>
        <v/>
      </c>
      <c r="D390" s="17"/>
      <c r="E390" s="17"/>
      <c r="F390" s="37"/>
      <c r="G390" s="37"/>
      <c r="H390" s="17"/>
      <c r="I390" s="37"/>
      <c r="J390" s="37"/>
      <c r="K390" s="37"/>
      <c r="L390" s="17"/>
      <c r="M390" s="37"/>
      <c r="N390" s="37"/>
      <c r="O390" s="37"/>
      <c r="P390" s="38"/>
      <c r="Q390" s="37"/>
      <c r="R390" s="17"/>
    </row>
    <row r="391" customFormat="false" ht="15" hidden="false" customHeight="false" outlineLevel="0" collapsed="false">
      <c r="A391" s="37"/>
      <c r="B391" s="37"/>
      <c r="C391" s="41" t="str">
        <f aca="false">IF($B391="","",IFERROR(INDEX('LEAD MASTER'!$E$3:$E$402,MATCH($B391,'LEAD MASTER'!$A$3:$A$402,0)),"Lead ID not found"))</f>
        <v/>
      </c>
      <c r="D391" s="17"/>
      <c r="E391" s="17"/>
      <c r="F391" s="37"/>
      <c r="G391" s="37"/>
      <c r="H391" s="17"/>
      <c r="I391" s="37"/>
      <c r="J391" s="37"/>
      <c r="K391" s="37"/>
      <c r="L391" s="17"/>
      <c r="M391" s="37"/>
      <c r="N391" s="37"/>
      <c r="O391" s="37"/>
      <c r="P391" s="38"/>
      <c r="Q391" s="37"/>
      <c r="R391" s="17"/>
    </row>
    <row r="392" customFormat="false" ht="15" hidden="false" customHeight="false" outlineLevel="0" collapsed="false">
      <c r="A392" s="37"/>
      <c r="B392" s="37"/>
      <c r="C392" s="41" t="str">
        <f aca="false">IF($B392="","",IFERROR(INDEX('LEAD MASTER'!$E$3:$E$402,MATCH($B392,'LEAD MASTER'!$A$3:$A$402,0)),"Lead ID not found"))</f>
        <v/>
      </c>
      <c r="D392" s="17"/>
      <c r="E392" s="17"/>
      <c r="F392" s="37"/>
      <c r="G392" s="37"/>
      <c r="H392" s="17"/>
      <c r="I392" s="37"/>
      <c r="J392" s="37"/>
      <c r="K392" s="37"/>
      <c r="L392" s="17"/>
      <c r="M392" s="37"/>
      <c r="N392" s="37"/>
      <c r="O392" s="37"/>
      <c r="P392" s="38"/>
      <c r="Q392" s="37"/>
      <c r="R392" s="17"/>
    </row>
    <row r="393" customFormat="false" ht="15" hidden="false" customHeight="false" outlineLevel="0" collapsed="false">
      <c r="A393" s="37"/>
      <c r="B393" s="37"/>
      <c r="C393" s="41" t="str">
        <f aca="false">IF($B393="","",IFERROR(INDEX('LEAD MASTER'!$E$3:$E$402,MATCH($B393,'LEAD MASTER'!$A$3:$A$402,0)),"Lead ID not found"))</f>
        <v/>
      </c>
      <c r="D393" s="17"/>
      <c r="E393" s="17"/>
      <c r="F393" s="37"/>
      <c r="G393" s="37"/>
      <c r="H393" s="17"/>
      <c r="I393" s="37"/>
      <c r="J393" s="37"/>
      <c r="K393" s="37"/>
      <c r="L393" s="17"/>
      <c r="M393" s="37"/>
      <c r="N393" s="37"/>
      <c r="O393" s="37"/>
      <c r="P393" s="38"/>
      <c r="Q393" s="37"/>
      <c r="R393" s="17"/>
    </row>
    <row r="394" customFormat="false" ht="15" hidden="false" customHeight="false" outlineLevel="0" collapsed="false">
      <c r="A394" s="37"/>
      <c r="B394" s="37"/>
      <c r="C394" s="41" t="str">
        <f aca="false">IF($B394="","",IFERROR(INDEX('LEAD MASTER'!$E$3:$E$402,MATCH($B394,'LEAD MASTER'!$A$3:$A$402,0)),"Lead ID not found"))</f>
        <v/>
      </c>
      <c r="D394" s="17"/>
      <c r="E394" s="17"/>
      <c r="F394" s="37"/>
      <c r="G394" s="37"/>
      <c r="H394" s="17"/>
      <c r="I394" s="37"/>
      <c r="J394" s="37"/>
      <c r="K394" s="37"/>
      <c r="L394" s="17"/>
      <c r="M394" s="37"/>
      <c r="N394" s="37"/>
      <c r="O394" s="37"/>
      <c r="P394" s="38"/>
      <c r="Q394" s="37"/>
      <c r="R394" s="17"/>
    </row>
    <row r="395" customFormat="false" ht="15" hidden="false" customHeight="false" outlineLevel="0" collapsed="false">
      <c r="A395" s="37"/>
      <c r="B395" s="37"/>
      <c r="C395" s="41" t="str">
        <f aca="false">IF($B395="","",IFERROR(INDEX('LEAD MASTER'!$E$3:$E$402,MATCH($B395,'LEAD MASTER'!$A$3:$A$402,0)),"Lead ID not found"))</f>
        <v/>
      </c>
      <c r="D395" s="17"/>
      <c r="E395" s="17"/>
      <c r="F395" s="37"/>
      <c r="G395" s="37"/>
      <c r="H395" s="17"/>
      <c r="I395" s="37"/>
      <c r="J395" s="37"/>
      <c r="K395" s="37"/>
      <c r="L395" s="17"/>
      <c r="M395" s="37"/>
      <c r="N395" s="37"/>
      <c r="O395" s="37"/>
      <c r="P395" s="38"/>
      <c r="Q395" s="37"/>
      <c r="R395" s="17"/>
    </row>
    <row r="396" customFormat="false" ht="15" hidden="false" customHeight="false" outlineLevel="0" collapsed="false">
      <c r="A396" s="37"/>
      <c r="B396" s="37"/>
      <c r="C396" s="41" t="str">
        <f aca="false">IF($B396="","",IFERROR(INDEX('LEAD MASTER'!$E$3:$E$402,MATCH($B396,'LEAD MASTER'!$A$3:$A$402,0)),"Lead ID not found"))</f>
        <v/>
      </c>
      <c r="D396" s="17"/>
      <c r="E396" s="17"/>
      <c r="F396" s="37"/>
      <c r="G396" s="37"/>
      <c r="H396" s="17"/>
      <c r="I396" s="37"/>
      <c r="J396" s="37"/>
      <c r="K396" s="37"/>
      <c r="L396" s="17"/>
      <c r="M396" s="37"/>
      <c r="N396" s="37"/>
      <c r="O396" s="37"/>
      <c r="P396" s="38"/>
      <c r="Q396" s="37"/>
      <c r="R396" s="17"/>
    </row>
    <row r="397" customFormat="false" ht="15" hidden="false" customHeight="false" outlineLevel="0" collapsed="false">
      <c r="A397" s="37"/>
      <c r="B397" s="37"/>
      <c r="C397" s="41" t="str">
        <f aca="false">IF($B397="","",IFERROR(INDEX('LEAD MASTER'!$E$3:$E$402,MATCH($B397,'LEAD MASTER'!$A$3:$A$402,0)),"Lead ID not found"))</f>
        <v/>
      </c>
      <c r="D397" s="17"/>
      <c r="E397" s="17"/>
      <c r="F397" s="37"/>
      <c r="G397" s="37"/>
      <c r="H397" s="17"/>
      <c r="I397" s="37"/>
      <c r="J397" s="37"/>
      <c r="K397" s="37"/>
      <c r="L397" s="17"/>
      <c r="M397" s="37"/>
      <c r="N397" s="37"/>
      <c r="O397" s="37"/>
      <c r="P397" s="38"/>
      <c r="Q397" s="37"/>
      <c r="R397" s="17"/>
    </row>
    <row r="398" customFormat="false" ht="15" hidden="false" customHeight="false" outlineLevel="0" collapsed="false">
      <c r="A398" s="37"/>
      <c r="B398" s="37"/>
      <c r="C398" s="41" t="str">
        <f aca="false">IF($B398="","",IFERROR(INDEX('LEAD MASTER'!$E$3:$E$402,MATCH($B398,'LEAD MASTER'!$A$3:$A$402,0)),"Lead ID not found"))</f>
        <v/>
      </c>
      <c r="D398" s="17"/>
      <c r="E398" s="17"/>
      <c r="F398" s="37"/>
      <c r="G398" s="37"/>
      <c r="H398" s="17"/>
      <c r="I398" s="37"/>
      <c r="J398" s="37"/>
      <c r="K398" s="37"/>
      <c r="L398" s="17"/>
      <c r="M398" s="37"/>
      <c r="N398" s="37"/>
      <c r="O398" s="37"/>
      <c r="P398" s="38"/>
      <c r="Q398" s="37"/>
      <c r="R398" s="17"/>
    </row>
    <row r="399" customFormat="false" ht="15" hidden="false" customHeight="false" outlineLevel="0" collapsed="false">
      <c r="A399" s="37"/>
      <c r="B399" s="37"/>
      <c r="C399" s="41" t="str">
        <f aca="false">IF($B399="","",IFERROR(INDEX('LEAD MASTER'!$E$3:$E$402,MATCH($B399,'LEAD MASTER'!$A$3:$A$402,0)),"Lead ID not found"))</f>
        <v/>
      </c>
      <c r="D399" s="17"/>
      <c r="E399" s="17"/>
      <c r="F399" s="37"/>
      <c r="G399" s="37"/>
      <c r="H399" s="17"/>
      <c r="I399" s="37"/>
      <c r="J399" s="37"/>
      <c r="K399" s="37"/>
      <c r="L399" s="17"/>
      <c r="M399" s="37"/>
      <c r="N399" s="37"/>
      <c r="O399" s="37"/>
      <c r="P399" s="38"/>
      <c r="Q399" s="37"/>
      <c r="R399" s="17"/>
    </row>
    <row r="400" customFormat="false" ht="15" hidden="false" customHeight="false" outlineLevel="0" collapsed="false">
      <c r="A400" s="37"/>
      <c r="B400" s="37"/>
      <c r="C400" s="41" t="str">
        <f aca="false">IF($B400="","",IFERROR(INDEX('LEAD MASTER'!$E$3:$E$402,MATCH($B400,'LEAD MASTER'!$A$3:$A$402,0)),"Lead ID not found"))</f>
        <v/>
      </c>
      <c r="D400" s="17"/>
      <c r="E400" s="17"/>
      <c r="F400" s="37"/>
      <c r="G400" s="37"/>
      <c r="H400" s="17"/>
      <c r="I400" s="37"/>
      <c r="J400" s="37"/>
      <c r="K400" s="37"/>
      <c r="L400" s="17"/>
      <c r="M400" s="37"/>
      <c r="N400" s="37"/>
      <c r="O400" s="37"/>
      <c r="P400" s="38"/>
      <c r="Q400" s="37"/>
      <c r="R400" s="17"/>
    </row>
    <row r="401" customFormat="false" ht="15" hidden="false" customHeight="false" outlineLevel="0" collapsed="false">
      <c r="A401" s="37"/>
      <c r="B401" s="37"/>
      <c r="C401" s="41" t="str">
        <f aca="false">IF($B401="","",IFERROR(INDEX('LEAD MASTER'!$E$3:$E$402,MATCH($B401,'LEAD MASTER'!$A$3:$A$402,0)),"Lead ID not found"))</f>
        <v/>
      </c>
      <c r="D401" s="17"/>
      <c r="E401" s="17"/>
      <c r="F401" s="37"/>
      <c r="G401" s="37"/>
      <c r="H401" s="17"/>
      <c r="I401" s="37"/>
      <c r="J401" s="37"/>
      <c r="K401" s="37"/>
      <c r="L401" s="17"/>
      <c r="M401" s="37"/>
      <c r="N401" s="37"/>
      <c r="O401" s="37"/>
      <c r="P401" s="38"/>
      <c r="Q401" s="37"/>
      <c r="R401" s="17"/>
    </row>
    <row r="402" customFormat="false" ht="15" hidden="false" customHeight="false" outlineLevel="0" collapsed="false">
      <c r="A402" s="37"/>
      <c r="B402" s="37"/>
      <c r="C402" s="41" t="str">
        <f aca="false">IF($B402="","",IFERROR(INDEX('LEAD MASTER'!$E$3:$E$402,MATCH($B402,'LEAD MASTER'!$A$3:$A$402,0)),"Lead ID not found"))</f>
        <v/>
      </c>
      <c r="D402" s="17"/>
      <c r="E402" s="17"/>
      <c r="F402" s="37"/>
      <c r="G402" s="37"/>
      <c r="H402" s="17"/>
      <c r="I402" s="37"/>
      <c r="J402" s="37"/>
      <c r="K402" s="37"/>
      <c r="L402" s="17"/>
      <c r="M402" s="37"/>
      <c r="N402" s="37"/>
      <c r="O402" s="37"/>
      <c r="P402" s="38"/>
      <c r="Q402" s="37"/>
      <c r="R402" s="17"/>
    </row>
    <row r="403" customFormat="false" ht="15" hidden="false" customHeight="false" outlineLevel="0" collapsed="false">
      <c r="A403" s="37"/>
      <c r="B403" s="37"/>
      <c r="C403" s="41" t="str">
        <f aca="false">IF($B403="","",IFERROR(INDEX('LEAD MASTER'!$E$3:$E$402,MATCH($B403,'LEAD MASTER'!$A$3:$A$402,0)),"Lead ID not found"))</f>
        <v/>
      </c>
      <c r="D403" s="17"/>
      <c r="E403" s="17"/>
      <c r="F403" s="37"/>
      <c r="G403" s="37"/>
      <c r="H403" s="17"/>
      <c r="I403" s="37"/>
      <c r="J403" s="37"/>
      <c r="K403" s="37"/>
      <c r="L403" s="17"/>
      <c r="M403" s="37"/>
      <c r="N403" s="37"/>
      <c r="O403" s="37"/>
      <c r="P403" s="38"/>
      <c r="Q403" s="37"/>
      <c r="R403" s="17"/>
    </row>
    <row r="404" customFormat="false" ht="15" hidden="false" customHeight="false" outlineLevel="0" collapsed="false">
      <c r="A404" s="37"/>
      <c r="B404" s="37"/>
      <c r="C404" s="41" t="str">
        <f aca="false">IF($B404="","",IFERROR(INDEX('LEAD MASTER'!$E$3:$E$402,MATCH($B404,'LEAD MASTER'!$A$3:$A$402,0)),"Lead ID not found"))</f>
        <v/>
      </c>
      <c r="D404" s="17"/>
      <c r="E404" s="17"/>
      <c r="F404" s="37"/>
      <c r="G404" s="37"/>
      <c r="H404" s="17"/>
      <c r="I404" s="37"/>
      <c r="J404" s="37"/>
      <c r="K404" s="37"/>
      <c r="L404" s="17"/>
      <c r="M404" s="37"/>
      <c r="N404" s="37"/>
      <c r="O404" s="37"/>
      <c r="P404" s="38"/>
      <c r="Q404" s="37"/>
      <c r="R404" s="17"/>
    </row>
    <row r="405" customFormat="false" ht="15" hidden="false" customHeight="false" outlineLevel="0" collapsed="false">
      <c r="A405" s="37"/>
      <c r="B405" s="37"/>
      <c r="C405" s="41" t="str">
        <f aca="false">IF($B405="","",IFERROR(INDEX('LEAD MASTER'!$E$3:$E$402,MATCH($B405,'LEAD MASTER'!$A$3:$A$402,0)),"Lead ID not found"))</f>
        <v/>
      </c>
      <c r="D405" s="17"/>
      <c r="E405" s="17"/>
      <c r="F405" s="37"/>
      <c r="G405" s="37"/>
      <c r="H405" s="17"/>
      <c r="I405" s="37"/>
      <c r="J405" s="37"/>
      <c r="K405" s="37"/>
      <c r="L405" s="17"/>
      <c r="M405" s="37"/>
      <c r="N405" s="37"/>
      <c r="O405" s="37"/>
      <c r="P405" s="38"/>
      <c r="Q405" s="37"/>
      <c r="R405" s="17"/>
    </row>
    <row r="406" customFormat="false" ht="15" hidden="false" customHeight="false" outlineLevel="0" collapsed="false">
      <c r="A406" s="37"/>
      <c r="B406" s="37"/>
      <c r="C406" s="41" t="str">
        <f aca="false">IF($B406="","",IFERROR(INDEX('LEAD MASTER'!$E$3:$E$402,MATCH($B406,'LEAD MASTER'!$A$3:$A$402,0)),"Lead ID not found"))</f>
        <v/>
      </c>
      <c r="D406" s="17"/>
      <c r="E406" s="17"/>
      <c r="F406" s="37"/>
      <c r="G406" s="37"/>
      <c r="H406" s="17"/>
      <c r="I406" s="37"/>
      <c r="J406" s="37"/>
      <c r="K406" s="37"/>
      <c r="L406" s="17"/>
      <c r="M406" s="37"/>
      <c r="N406" s="37"/>
      <c r="O406" s="37"/>
      <c r="P406" s="38"/>
      <c r="Q406" s="37"/>
      <c r="R406" s="17"/>
    </row>
    <row r="407" customFormat="false" ht="15" hidden="false" customHeight="false" outlineLevel="0" collapsed="false">
      <c r="A407" s="37"/>
      <c r="B407" s="37"/>
      <c r="C407" s="41" t="str">
        <f aca="false">IF($B407="","",IFERROR(INDEX('LEAD MASTER'!$E$3:$E$402,MATCH($B407,'LEAD MASTER'!$A$3:$A$402,0)),"Lead ID not found"))</f>
        <v/>
      </c>
      <c r="D407" s="17"/>
      <c r="E407" s="17"/>
      <c r="F407" s="37"/>
      <c r="G407" s="37"/>
      <c r="H407" s="17"/>
      <c r="I407" s="37"/>
      <c r="J407" s="37"/>
      <c r="K407" s="37"/>
      <c r="L407" s="17"/>
      <c r="M407" s="37"/>
      <c r="N407" s="37"/>
      <c r="O407" s="37"/>
      <c r="P407" s="38"/>
      <c r="Q407" s="37"/>
      <c r="R407" s="17"/>
    </row>
    <row r="408" customFormat="false" ht="15" hidden="false" customHeight="false" outlineLevel="0" collapsed="false">
      <c r="A408" s="37"/>
      <c r="B408" s="37"/>
      <c r="C408" s="41" t="str">
        <f aca="false">IF($B408="","",IFERROR(INDEX('LEAD MASTER'!$E$3:$E$402,MATCH($B408,'LEAD MASTER'!$A$3:$A$402,0)),"Lead ID not found"))</f>
        <v/>
      </c>
      <c r="D408" s="17"/>
      <c r="E408" s="17"/>
      <c r="F408" s="37"/>
      <c r="G408" s="37"/>
      <c r="H408" s="17"/>
      <c r="I408" s="37"/>
      <c r="J408" s="37"/>
      <c r="K408" s="37"/>
      <c r="L408" s="17"/>
      <c r="M408" s="37"/>
      <c r="N408" s="37"/>
      <c r="O408" s="37"/>
      <c r="P408" s="38"/>
      <c r="Q408" s="37"/>
      <c r="R408" s="17"/>
    </row>
    <row r="409" customFormat="false" ht="15" hidden="false" customHeight="false" outlineLevel="0" collapsed="false">
      <c r="A409" s="37"/>
      <c r="B409" s="37"/>
      <c r="C409" s="41" t="str">
        <f aca="false">IF($B409="","",IFERROR(INDEX('LEAD MASTER'!$E$3:$E$402,MATCH($B409,'LEAD MASTER'!$A$3:$A$402,0)),"Lead ID not found"))</f>
        <v/>
      </c>
      <c r="D409" s="17"/>
      <c r="E409" s="17"/>
      <c r="F409" s="37"/>
      <c r="G409" s="37"/>
      <c r="H409" s="17"/>
      <c r="I409" s="37"/>
      <c r="J409" s="37"/>
      <c r="K409" s="37"/>
      <c r="L409" s="17"/>
      <c r="M409" s="37"/>
      <c r="N409" s="37"/>
      <c r="O409" s="37"/>
      <c r="P409" s="38"/>
      <c r="Q409" s="37"/>
      <c r="R409" s="17"/>
    </row>
    <row r="410" customFormat="false" ht="15" hidden="false" customHeight="false" outlineLevel="0" collapsed="false">
      <c r="A410" s="37"/>
      <c r="B410" s="37"/>
      <c r="C410" s="41" t="str">
        <f aca="false">IF($B410="","",IFERROR(INDEX('LEAD MASTER'!$E$3:$E$402,MATCH($B410,'LEAD MASTER'!$A$3:$A$402,0)),"Lead ID not found"))</f>
        <v/>
      </c>
      <c r="D410" s="17"/>
      <c r="E410" s="17"/>
      <c r="F410" s="37"/>
      <c r="G410" s="37"/>
      <c r="H410" s="17"/>
      <c r="I410" s="37"/>
      <c r="J410" s="37"/>
      <c r="K410" s="37"/>
      <c r="L410" s="17"/>
      <c r="M410" s="37"/>
      <c r="N410" s="37"/>
      <c r="O410" s="37"/>
      <c r="P410" s="38"/>
      <c r="Q410" s="37"/>
      <c r="R410" s="17"/>
    </row>
    <row r="411" customFormat="false" ht="15" hidden="false" customHeight="false" outlineLevel="0" collapsed="false">
      <c r="A411" s="37"/>
      <c r="B411" s="37"/>
      <c r="C411" s="41" t="str">
        <f aca="false">IF($B411="","",IFERROR(INDEX('LEAD MASTER'!$E$3:$E$402,MATCH($B411,'LEAD MASTER'!$A$3:$A$402,0)),"Lead ID not found"))</f>
        <v/>
      </c>
      <c r="D411" s="17"/>
      <c r="E411" s="17"/>
      <c r="F411" s="37"/>
      <c r="G411" s="37"/>
      <c r="H411" s="17"/>
      <c r="I411" s="37"/>
      <c r="J411" s="37"/>
      <c r="K411" s="37"/>
      <c r="L411" s="17"/>
      <c r="M411" s="37"/>
      <c r="N411" s="37"/>
      <c r="O411" s="37"/>
      <c r="P411" s="38"/>
      <c r="Q411" s="37"/>
      <c r="R411" s="17"/>
    </row>
    <row r="412" customFormat="false" ht="15" hidden="false" customHeight="false" outlineLevel="0" collapsed="false">
      <c r="A412" s="37"/>
      <c r="B412" s="37"/>
      <c r="C412" s="41" t="str">
        <f aca="false">IF($B412="","",IFERROR(INDEX('LEAD MASTER'!$E$3:$E$402,MATCH($B412,'LEAD MASTER'!$A$3:$A$402,0)),"Lead ID not found"))</f>
        <v/>
      </c>
      <c r="D412" s="17"/>
      <c r="E412" s="17"/>
      <c r="F412" s="37"/>
      <c r="G412" s="37"/>
      <c r="H412" s="17"/>
      <c r="I412" s="37"/>
      <c r="J412" s="37"/>
      <c r="K412" s="37"/>
      <c r="L412" s="17"/>
      <c r="M412" s="37"/>
      <c r="N412" s="37"/>
      <c r="O412" s="37"/>
      <c r="P412" s="38"/>
      <c r="Q412" s="37"/>
      <c r="R412" s="17"/>
    </row>
    <row r="413" customFormat="false" ht="15" hidden="false" customHeight="false" outlineLevel="0" collapsed="false">
      <c r="A413" s="37"/>
      <c r="B413" s="37"/>
      <c r="C413" s="41" t="str">
        <f aca="false">IF($B413="","",IFERROR(INDEX('LEAD MASTER'!$E$3:$E$402,MATCH($B413,'LEAD MASTER'!$A$3:$A$402,0)),"Lead ID not found"))</f>
        <v/>
      </c>
      <c r="D413" s="17"/>
      <c r="E413" s="17"/>
      <c r="F413" s="37"/>
      <c r="G413" s="37"/>
      <c r="H413" s="17"/>
      <c r="I413" s="37"/>
      <c r="J413" s="37"/>
      <c r="K413" s="37"/>
      <c r="L413" s="17"/>
      <c r="M413" s="37"/>
      <c r="N413" s="37"/>
      <c r="O413" s="37"/>
      <c r="P413" s="38"/>
      <c r="Q413" s="37"/>
      <c r="R413" s="17"/>
    </row>
    <row r="414" customFormat="false" ht="15" hidden="false" customHeight="false" outlineLevel="0" collapsed="false">
      <c r="A414" s="37"/>
      <c r="B414" s="37"/>
      <c r="C414" s="41" t="str">
        <f aca="false">IF($B414="","",IFERROR(INDEX('LEAD MASTER'!$E$3:$E$402,MATCH($B414,'LEAD MASTER'!$A$3:$A$402,0)),"Lead ID not found"))</f>
        <v/>
      </c>
      <c r="D414" s="17"/>
      <c r="E414" s="17"/>
      <c r="F414" s="37"/>
      <c r="G414" s="37"/>
      <c r="H414" s="17"/>
      <c r="I414" s="37"/>
      <c r="J414" s="37"/>
      <c r="K414" s="37"/>
      <c r="L414" s="17"/>
      <c r="M414" s="37"/>
      <c r="N414" s="37"/>
      <c r="O414" s="37"/>
      <c r="P414" s="38"/>
      <c r="Q414" s="37"/>
      <c r="R414" s="17"/>
    </row>
    <row r="415" customFormat="false" ht="15" hidden="false" customHeight="false" outlineLevel="0" collapsed="false">
      <c r="A415" s="37"/>
      <c r="B415" s="37"/>
      <c r="C415" s="41" t="str">
        <f aca="false">IF($B415="","",IFERROR(INDEX('LEAD MASTER'!$E$3:$E$402,MATCH($B415,'LEAD MASTER'!$A$3:$A$402,0)),"Lead ID not found"))</f>
        <v/>
      </c>
      <c r="D415" s="17"/>
      <c r="E415" s="17"/>
      <c r="F415" s="37"/>
      <c r="G415" s="37"/>
      <c r="H415" s="17"/>
      <c r="I415" s="37"/>
      <c r="J415" s="37"/>
      <c r="K415" s="37"/>
      <c r="L415" s="17"/>
      <c r="M415" s="37"/>
      <c r="N415" s="37"/>
      <c r="O415" s="37"/>
      <c r="P415" s="38"/>
      <c r="Q415" s="37"/>
      <c r="R415" s="17"/>
    </row>
    <row r="416" customFormat="false" ht="15" hidden="false" customHeight="false" outlineLevel="0" collapsed="false">
      <c r="A416" s="37"/>
      <c r="B416" s="37"/>
      <c r="C416" s="41" t="str">
        <f aca="false">IF($B416="","",IFERROR(INDEX('LEAD MASTER'!$E$3:$E$402,MATCH($B416,'LEAD MASTER'!$A$3:$A$402,0)),"Lead ID not found"))</f>
        <v/>
      </c>
      <c r="D416" s="17"/>
      <c r="E416" s="17"/>
      <c r="F416" s="37"/>
      <c r="G416" s="37"/>
      <c r="H416" s="17"/>
      <c r="I416" s="37"/>
      <c r="J416" s="37"/>
      <c r="K416" s="37"/>
      <c r="L416" s="17"/>
      <c r="M416" s="37"/>
      <c r="N416" s="37"/>
      <c r="O416" s="37"/>
      <c r="P416" s="38"/>
      <c r="Q416" s="37"/>
      <c r="R416" s="17"/>
    </row>
    <row r="417" customFormat="false" ht="15" hidden="false" customHeight="false" outlineLevel="0" collapsed="false">
      <c r="A417" s="37"/>
      <c r="B417" s="37"/>
      <c r="C417" s="41" t="str">
        <f aca="false">IF($B417="","",IFERROR(INDEX('LEAD MASTER'!$E$3:$E$402,MATCH($B417,'LEAD MASTER'!$A$3:$A$402,0)),"Lead ID not found"))</f>
        <v/>
      </c>
      <c r="D417" s="17"/>
      <c r="E417" s="17"/>
      <c r="F417" s="37"/>
      <c r="G417" s="37"/>
      <c r="H417" s="17"/>
      <c r="I417" s="37"/>
      <c r="J417" s="37"/>
      <c r="K417" s="37"/>
      <c r="L417" s="17"/>
      <c r="M417" s="37"/>
      <c r="N417" s="37"/>
      <c r="O417" s="37"/>
      <c r="P417" s="38"/>
      <c r="Q417" s="37"/>
      <c r="R417" s="17"/>
    </row>
    <row r="418" customFormat="false" ht="15" hidden="false" customHeight="false" outlineLevel="0" collapsed="false">
      <c r="A418" s="37"/>
      <c r="B418" s="37"/>
      <c r="C418" s="41" t="str">
        <f aca="false">IF($B418="","",IFERROR(INDEX('LEAD MASTER'!$E$3:$E$402,MATCH($B418,'LEAD MASTER'!$A$3:$A$402,0)),"Lead ID not found"))</f>
        <v/>
      </c>
      <c r="D418" s="17"/>
      <c r="E418" s="17"/>
      <c r="F418" s="37"/>
      <c r="G418" s="37"/>
      <c r="H418" s="17"/>
      <c r="I418" s="37"/>
      <c r="J418" s="37"/>
      <c r="K418" s="37"/>
      <c r="L418" s="17"/>
      <c r="M418" s="37"/>
      <c r="N418" s="37"/>
      <c r="O418" s="37"/>
      <c r="P418" s="38"/>
      <c r="Q418" s="37"/>
      <c r="R418" s="17"/>
    </row>
    <row r="419" customFormat="false" ht="15" hidden="false" customHeight="false" outlineLevel="0" collapsed="false">
      <c r="A419" s="37"/>
      <c r="B419" s="37"/>
      <c r="C419" s="41" t="str">
        <f aca="false">IF($B419="","",IFERROR(INDEX('LEAD MASTER'!$E$3:$E$402,MATCH($B419,'LEAD MASTER'!$A$3:$A$402,0)),"Lead ID not found"))</f>
        <v/>
      </c>
      <c r="D419" s="17"/>
      <c r="E419" s="17"/>
      <c r="F419" s="37"/>
      <c r="G419" s="37"/>
      <c r="H419" s="17"/>
      <c r="I419" s="37"/>
      <c r="J419" s="37"/>
      <c r="K419" s="37"/>
      <c r="L419" s="17"/>
      <c r="M419" s="37"/>
      <c r="N419" s="37"/>
      <c r="O419" s="37"/>
      <c r="P419" s="38"/>
      <c r="Q419" s="37"/>
      <c r="R419" s="17"/>
    </row>
    <row r="420" customFormat="false" ht="15" hidden="false" customHeight="false" outlineLevel="0" collapsed="false">
      <c r="A420" s="37"/>
      <c r="B420" s="37"/>
      <c r="C420" s="41" t="str">
        <f aca="false">IF($B420="","",IFERROR(INDEX('LEAD MASTER'!$E$3:$E$402,MATCH($B420,'LEAD MASTER'!$A$3:$A$402,0)),"Lead ID not found"))</f>
        <v/>
      </c>
      <c r="D420" s="17"/>
      <c r="E420" s="17"/>
      <c r="F420" s="37"/>
      <c r="G420" s="37"/>
      <c r="H420" s="17"/>
      <c r="I420" s="37"/>
      <c r="J420" s="37"/>
      <c r="K420" s="37"/>
      <c r="L420" s="17"/>
      <c r="M420" s="37"/>
      <c r="N420" s="37"/>
      <c r="O420" s="37"/>
      <c r="P420" s="38"/>
      <c r="Q420" s="37"/>
      <c r="R420" s="17"/>
    </row>
    <row r="421" customFormat="false" ht="15" hidden="false" customHeight="false" outlineLevel="0" collapsed="false">
      <c r="A421" s="37"/>
      <c r="B421" s="37"/>
      <c r="C421" s="41" t="str">
        <f aca="false">IF($B421="","",IFERROR(INDEX('LEAD MASTER'!$E$3:$E$402,MATCH($B421,'LEAD MASTER'!$A$3:$A$402,0)),"Lead ID not found"))</f>
        <v/>
      </c>
      <c r="D421" s="17"/>
      <c r="E421" s="17"/>
      <c r="F421" s="37"/>
      <c r="G421" s="37"/>
      <c r="H421" s="17"/>
      <c r="I421" s="37"/>
      <c r="J421" s="37"/>
      <c r="K421" s="37"/>
      <c r="L421" s="17"/>
      <c r="M421" s="37"/>
      <c r="N421" s="37"/>
      <c r="O421" s="37"/>
      <c r="P421" s="38"/>
      <c r="Q421" s="37"/>
      <c r="R421" s="17"/>
    </row>
    <row r="422" customFormat="false" ht="15" hidden="false" customHeight="false" outlineLevel="0" collapsed="false">
      <c r="A422" s="37"/>
      <c r="B422" s="37"/>
      <c r="C422" s="41" t="str">
        <f aca="false">IF($B422="","",IFERROR(INDEX('LEAD MASTER'!$E$3:$E$402,MATCH($B422,'LEAD MASTER'!$A$3:$A$402,0)),"Lead ID not found"))</f>
        <v/>
      </c>
      <c r="D422" s="17"/>
      <c r="E422" s="17"/>
      <c r="F422" s="37"/>
      <c r="G422" s="37"/>
      <c r="H422" s="17"/>
      <c r="I422" s="37"/>
      <c r="J422" s="37"/>
      <c r="K422" s="37"/>
      <c r="L422" s="17"/>
      <c r="M422" s="37"/>
      <c r="N422" s="37"/>
      <c r="O422" s="37"/>
      <c r="P422" s="38"/>
      <c r="Q422" s="37"/>
      <c r="R422" s="17"/>
    </row>
    <row r="423" customFormat="false" ht="15" hidden="false" customHeight="false" outlineLevel="0" collapsed="false">
      <c r="A423" s="37"/>
      <c r="B423" s="37"/>
      <c r="C423" s="41" t="str">
        <f aca="false">IF($B423="","",IFERROR(INDEX('LEAD MASTER'!$E$3:$E$402,MATCH($B423,'LEAD MASTER'!$A$3:$A$402,0)),"Lead ID not found"))</f>
        <v/>
      </c>
      <c r="D423" s="17"/>
      <c r="E423" s="17"/>
      <c r="F423" s="37"/>
      <c r="G423" s="37"/>
      <c r="H423" s="17"/>
      <c r="I423" s="37"/>
      <c r="J423" s="37"/>
      <c r="K423" s="37"/>
      <c r="L423" s="17"/>
      <c r="M423" s="37"/>
      <c r="N423" s="37"/>
      <c r="O423" s="37"/>
      <c r="P423" s="38"/>
      <c r="Q423" s="37"/>
      <c r="R423" s="17"/>
    </row>
    <row r="424" customFormat="false" ht="15" hidden="false" customHeight="false" outlineLevel="0" collapsed="false">
      <c r="A424" s="37"/>
      <c r="B424" s="37"/>
      <c r="C424" s="41" t="str">
        <f aca="false">IF($B424="","",IFERROR(INDEX('LEAD MASTER'!$E$3:$E$402,MATCH($B424,'LEAD MASTER'!$A$3:$A$402,0)),"Lead ID not found"))</f>
        <v/>
      </c>
      <c r="D424" s="17"/>
      <c r="E424" s="17"/>
      <c r="F424" s="37"/>
      <c r="G424" s="37"/>
      <c r="H424" s="17"/>
      <c r="I424" s="37"/>
      <c r="J424" s="37"/>
      <c r="K424" s="37"/>
      <c r="L424" s="17"/>
      <c r="M424" s="37"/>
      <c r="N424" s="37"/>
      <c r="O424" s="37"/>
      <c r="P424" s="38"/>
      <c r="Q424" s="37"/>
      <c r="R424" s="17"/>
    </row>
    <row r="425" customFormat="false" ht="15" hidden="false" customHeight="false" outlineLevel="0" collapsed="false">
      <c r="A425" s="37"/>
      <c r="B425" s="37"/>
      <c r="C425" s="41" t="str">
        <f aca="false">IF($B425="","",IFERROR(INDEX('LEAD MASTER'!$E$3:$E$402,MATCH($B425,'LEAD MASTER'!$A$3:$A$402,0)),"Lead ID not found"))</f>
        <v/>
      </c>
      <c r="D425" s="17"/>
      <c r="E425" s="17"/>
      <c r="F425" s="37"/>
      <c r="G425" s="37"/>
      <c r="H425" s="17"/>
      <c r="I425" s="37"/>
      <c r="J425" s="37"/>
      <c r="K425" s="37"/>
      <c r="L425" s="17"/>
      <c r="M425" s="37"/>
      <c r="N425" s="37"/>
      <c r="O425" s="37"/>
      <c r="P425" s="38"/>
      <c r="Q425" s="37"/>
      <c r="R425" s="17"/>
    </row>
    <row r="426" customFormat="false" ht="15" hidden="false" customHeight="false" outlineLevel="0" collapsed="false">
      <c r="A426" s="37"/>
      <c r="B426" s="37"/>
      <c r="C426" s="41" t="str">
        <f aca="false">IF($B426="","",IFERROR(INDEX('LEAD MASTER'!$E$3:$E$402,MATCH($B426,'LEAD MASTER'!$A$3:$A$402,0)),"Lead ID not found"))</f>
        <v/>
      </c>
      <c r="D426" s="17"/>
      <c r="E426" s="17"/>
      <c r="F426" s="37"/>
      <c r="G426" s="37"/>
      <c r="H426" s="17"/>
      <c r="I426" s="37"/>
      <c r="J426" s="37"/>
      <c r="K426" s="37"/>
      <c r="L426" s="17"/>
      <c r="M426" s="37"/>
      <c r="N426" s="37"/>
      <c r="O426" s="37"/>
      <c r="P426" s="38"/>
      <c r="Q426" s="37"/>
      <c r="R426" s="17"/>
    </row>
    <row r="427" customFormat="false" ht="15" hidden="false" customHeight="false" outlineLevel="0" collapsed="false">
      <c r="A427" s="37"/>
      <c r="B427" s="37"/>
      <c r="C427" s="41" t="str">
        <f aca="false">IF($B427="","",IFERROR(INDEX('LEAD MASTER'!$E$3:$E$402,MATCH($B427,'LEAD MASTER'!$A$3:$A$402,0)),"Lead ID not found"))</f>
        <v/>
      </c>
      <c r="D427" s="17"/>
      <c r="E427" s="17"/>
      <c r="F427" s="37"/>
      <c r="G427" s="37"/>
      <c r="H427" s="17"/>
      <c r="I427" s="37"/>
      <c r="J427" s="37"/>
      <c r="K427" s="37"/>
      <c r="L427" s="17"/>
      <c r="M427" s="37"/>
      <c r="N427" s="37"/>
      <c r="O427" s="37"/>
      <c r="P427" s="38"/>
      <c r="Q427" s="37"/>
      <c r="R427" s="17"/>
    </row>
    <row r="428" customFormat="false" ht="15" hidden="false" customHeight="false" outlineLevel="0" collapsed="false">
      <c r="A428" s="37"/>
      <c r="B428" s="37"/>
      <c r="C428" s="41" t="str">
        <f aca="false">IF($B428="","",IFERROR(INDEX('LEAD MASTER'!$E$3:$E$402,MATCH($B428,'LEAD MASTER'!$A$3:$A$402,0)),"Lead ID not found"))</f>
        <v/>
      </c>
      <c r="D428" s="17"/>
      <c r="E428" s="17"/>
      <c r="F428" s="37"/>
      <c r="G428" s="37"/>
      <c r="H428" s="17"/>
      <c r="I428" s="37"/>
      <c r="J428" s="37"/>
      <c r="K428" s="37"/>
      <c r="L428" s="17"/>
      <c r="M428" s="37"/>
      <c r="N428" s="37"/>
      <c r="O428" s="37"/>
      <c r="P428" s="38"/>
      <c r="Q428" s="37"/>
      <c r="R428" s="17"/>
    </row>
    <row r="429" customFormat="false" ht="15" hidden="false" customHeight="false" outlineLevel="0" collapsed="false">
      <c r="A429" s="37"/>
      <c r="B429" s="37"/>
      <c r="C429" s="41" t="str">
        <f aca="false">IF($B429="","",IFERROR(INDEX('LEAD MASTER'!$E$3:$E$402,MATCH($B429,'LEAD MASTER'!$A$3:$A$402,0)),"Lead ID not found"))</f>
        <v/>
      </c>
      <c r="D429" s="17"/>
      <c r="E429" s="17"/>
      <c r="F429" s="37"/>
      <c r="G429" s="37"/>
      <c r="H429" s="17"/>
      <c r="I429" s="37"/>
      <c r="J429" s="37"/>
      <c r="K429" s="37"/>
      <c r="L429" s="17"/>
      <c r="M429" s="37"/>
      <c r="N429" s="37"/>
      <c r="O429" s="37"/>
      <c r="P429" s="38"/>
      <c r="Q429" s="37"/>
      <c r="R429" s="17"/>
    </row>
    <row r="430" customFormat="false" ht="15" hidden="false" customHeight="false" outlineLevel="0" collapsed="false">
      <c r="A430" s="37"/>
      <c r="B430" s="37"/>
      <c r="C430" s="41" t="str">
        <f aca="false">IF($B430="","",IFERROR(INDEX('LEAD MASTER'!$E$3:$E$402,MATCH($B430,'LEAD MASTER'!$A$3:$A$402,0)),"Lead ID not found"))</f>
        <v/>
      </c>
      <c r="D430" s="17"/>
      <c r="E430" s="17"/>
      <c r="F430" s="37"/>
      <c r="G430" s="37"/>
      <c r="H430" s="17"/>
      <c r="I430" s="37"/>
      <c r="J430" s="37"/>
      <c r="K430" s="37"/>
      <c r="L430" s="17"/>
      <c r="M430" s="37"/>
      <c r="N430" s="37"/>
      <c r="O430" s="37"/>
      <c r="P430" s="38"/>
      <c r="Q430" s="37"/>
      <c r="R430" s="17"/>
    </row>
    <row r="431" customFormat="false" ht="15" hidden="false" customHeight="false" outlineLevel="0" collapsed="false">
      <c r="A431" s="37"/>
      <c r="B431" s="37"/>
      <c r="C431" s="41" t="str">
        <f aca="false">IF($B431="","",IFERROR(INDEX('LEAD MASTER'!$E$3:$E$402,MATCH($B431,'LEAD MASTER'!$A$3:$A$402,0)),"Lead ID not found"))</f>
        <v/>
      </c>
      <c r="D431" s="17"/>
      <c r="E431" s="17"/>
      <c r="F431" s="37"/>
      <c r="G431" s="37"/>
      <c r="H431" s="17"/>
      <c r="I431" s="37"/>
      <c r="J431" s="37"/>
      <c r="K431" s="37"/>
      <c r="L431" s="17"/>
      <c r="M431" s="37"/>
      <c r="N431" s="37"/>
      <c r="O431" s="37"/>
      <c r="P431" s="38"/>
      <c r="Q431" s="37"/>
      <c r="R431" s="17"/>
    </row>
    <row r="432" customFormat="false" ht="15" hidden="false" customHeight="false" outlineLevel="0" collapsed="false">
      <c r="A432" s="37"/>
      <c r="B432" s="37"/>
      <c r="C432" s="41" t="str">
        <f aca="false">IF($B432="","",IFERROR(INDEX('LEAD MASTER'!$E$3:$E$402,MATCH($B432,'LEAD MASTER'!$A$3:$A$402,0)),"Lead ID not found"))</f>
        <v/>
      </c>
      <c r="D432" s="17"/>
      <c r="E432" s="17"/>
      <c r="F432" s="37"/>
      <c r="G432" s="37"/>
      <c r="H432" s="17"/>
      <c r="I432" s="37"/>
      <c r="J432" s="37"/>
      <c r="K432" s="37"/>
      <c r="L432" s="17"/>
      <c r="M432" s="37"/>
      <c r="N432" s="37"/>
      <c r="O432" s="37"/>
      <c r="P432" s="38"/>
      <c r="Q432" s="37"/>
      <c r="R432" s="17"/>
    </row>
    <row r="433" customFormat="false" ht="15" hidden="false" customHeight="false" outlineLevel="0" collapsed="false">
      <c r="A433" s="37"/>
      <c r="B433" s="37"/>
      <c r="C433" s="41" t="str">
        <f aca="false">IF($B433="","",IFERROR(INDEX('LEAD MASTER'!$E$3:$E$402,MATCH($B433,'LEAD MASTER'!$A$3:$A$402,0)),"Lead ID not found"))</f>
        <v/>
      </c>
      <c r="D433" s="17"/>
      <c r="E433" s="17"/>
      <c r="F433" s="37"/>
      <c r="G433" s="37"/>
      <c r="H433" s="17"/>
      <c r="I433" s="37"/>
      <c r="J433" s="37"/>
      <c r="K433" s="37"/>
      <c r="L433" s="17"/>
      <c r="M433" s="37"/>
      <c r="N433" s="37"/>
      <c r="O433" s="37"/>
      <c r="P433" s="38"/>
      <c r="Q433" s="37"/>
      <c r="R433" s="17"/>
    </row>
    <row r="434" customFormat="false" ht="15" hidden="false" customHeight="false" outlineLevel="0" collapsed="false">
      <c r="A434" s="37"/>
      <c r="B434" s="37"/>
      <c r="C434" s="41" t="str">
        <f aca="false">IF($B434="","",IFERROR(INDEX('LEAD MASTER'!$E$3:$E$402,MATCH($B434,'LEAD MASTER'!$A$3:$A$402,0)),"Lead ID not found"))</f>
        <v/>
      </c>
      <c r="D434" s="17"/>
      <c r="E434" s="17"/>
      <c r="F434" s="37"/>
      <c r="G434" s="37"/>
      <c r="H434" s="17"/>
      <c r="I434" s="37"/>
      <c r="J434" s="37"/>
      <c r="K434" s="37"/>
      <c r="L434" s="17"/>
      <c r="M434" s="37"/>
      <c r="N434" s="37"/>
      <c r="O434" s="37"/>
      <c r="P434" s="38"/>
      <c r="Q434" s="37"/>
      <c r="R434" s="17"/>
    </row>
    <row r="435" customFormat="false" ht="15" hidden="false" customHeight="false" outlineLevel="0" collapsed="false">
      <c r="A435" s="37"/>
      <c r="B435" s="37"/>
      <c r="C435" s="41" t="str">
        <f aca="false">IF($B435="","",IFERROR(INDEX('LEAD MASTER'!$E$3:$E$402,MATCH($B435,'LEAD MASTER'!$A$3:$A$402,0)),"Lead ID not found"))</f>
        <v/>
      </c>
      <c r="D435" s="17"/>
      <c r="E435" s="17"/>
      <c r="F435" s="37"/>
      <c r="G435" s="37"/>
      <c r="H435" s="17"/>
      <c r="I435" s="37"/>
      <c r="J435" s="37"/>
      <c r="K435" s="37"/>
      <c r="L435" s="17"/>
      <c r="M435" s="37"/>
      <c r="N435" s="37"/>
      <c r="O435" s="37"/>
      <c r="P435" s="38"/>
      <c r="Q435" s="37"/>
      <c r="R435" s="17"/>
    </row>
    <row r="436" customFormat="false" ht="15" hidden="false" customHeight="false" outlineLevel="0" collapsed="false">
      <c r="A436" s="37"/>
      <c r="B436" s="37"/>
      <c r="C436" s="41" t="str">
        <f aca="false">IF($B436="","",IFERROR(INDEX('LEAD MASTER'!$E$3:$E$402,MATCH($B436,'LEAD MASTER'!$A$3:$A$402,0)),"Lead ID not found"))</f>
        <v/>
      </c>
      <c r="D436" s="17"/>
      <c r="E436" s="17"/>
      <c r="F436" s="37"/>
      <c r="G436" s="37"/>
      <c r="H436" s="17"/>
      <c r="I436" s="37"/>
      <c r="J436" s="37"/>
      <c r="K436" s="37"/>
      <c r="L436" s="17"/>
      <c r="M436" s="37"/>
      <c r="N436" s="37"/>
      <c r="O436" s="37"/>
      <c r="P436" s="38"/>
      <c r="Q436" s="37"/>
      <c r="R436" s="17"/>
    </row>
    <row r="437" customFormat="false" ht="15" hidden="false" customHeight="false" outlineLevel="0" collapsed="false">
      <c r="A437" s="37"/>
      <c r="B437" s="37"/>
      <c r="C437" s="41" t="str">
        <f aca="false">IF($B437="","",IFERROR(INDEX('LEAD MASTER'!$E$3:$E$402,MATCH($B437,'LEAD MASTER'!$A$3:$A$402,0)),"Lead ID not found"))</f>
        <v/>
      </c>
      <c r="D437" s="17"/>
      <c r="E437" s="17"/>
      <c r="F437" s="37"/>
      <c r="G437" s="37"/>
      <c r="H437" s="17"/>
      <c r="I437" s="37"/>
      <c r="J437" s="37"/>
      <c r="K437" s="37"/>
      <c r="L437" s="17"/>
      <c r="M437" s="37"/>
      <c r="N437" s="37"/>
      <c r="O437" s="37"/>
      <c r="P437" s="38"/>
      <c r="Q437" s="37"/>
      <c r="R437" s="17"/>
    </row>
    <row r="438" customFormat="false" ht="15" hidden="false" customHeight="false" outlineLevel="0" collapsed="false">
      <c r="A438" s="37"/>
      <c r="B438" s="37"/>
      <c r="C438" s="41" t="str">
        <f aca="false">IF($B438="","",IFERROR(INDEX('LEAD MASTER'!$E$3:$E$402,MATCH($B438,'LEAD MASTER'!$A$3:$A$402,0)),"Lead ID not found"))</f>
        <v/>
      </c>
      <c r="D438" s="17"/>
      <c r="E438" s="17"/>
      <c r="F438" s="37"/>
      <c r="G438" s="37"/>
      <c r="H438" s="17"/>
      <c r="I438" s="37"/>
      <c r="J438" s="37"/>
      <c r="K438" s="37"/>
      <c r="L438" s="17"/>
      <c r="M438" s="37"/>
      <c r="N438" s="37"/>
      <c r="O438" s="37"/>
      <c r="P438" s="38"/>
      <c r="Q438" s="37"/>
      <c r="R438" s="17"/>
    </row>
    <row r="439" customFormat="false" ht="15" hidden="false" customHeight="false" outlineLevel="0" collapsed="false">
      <c r="A439" s="37"/>
      <c r="B439" s="37"/>
      <c r="C439" s="41" t="str">
        <f aca="false">IF($B439="","",IFERROR(INDEX('LEAD MASTER'!$E$3:$E$402,MATCH($B439,'LEAD MASTER'!$A$3:$A$402,0)),"Lead ID not found"))</f>
        <v/>
      </c>
      <c r="D439" s="17"/>
      <c r="E439" s="17"/>
      <c r="F439" s="37"/>
      <c r="G439" s="37"/>
      <c r="H439" s="17"/>
      <c r="I439" s="37"/>
      <c r="J439" s="37"/>
      <c r="K439" s="37"/>
      <c r="L439" s="17"/>
      <c r="M439" s="37"/>
      <c r="N439" s="37"/>
      <c r="O439" s="37"/>
      <c r="P439" s="38"/>
      <c r="Q439" s="37"/>
      <c r="R439" s="17"/>
    </row>
    <row r="440" customFormat="false" ht="15" hidden="false" customHeight="false" outlineLevel="0" collapsed="false">
      <c r="A440" s="37"/>
      <c r="B440" s="37"/>
      <c r="C440" s="41" t="str">
        <f aca="false">IF($B440="","",IFERROR(INDEX('LEAD MASTER'!$E$3:$E$402,MATCH($B440,'LEAD MASTER'!$A$3:$A$402,0)),"Lead ID not found"))</f>
        <v/>
      </c>
      <c r="D440" s="17"/>
      <c r="E440" s="17"/>
      <c r="F440" s="37"/>
      <c r="G440" s="37"/>
      <c r="H440" s="17"/>
      <c r="I440" s="37"/>
      <c r="J440" s="37"/>
      <c r="K440" s="37"/>
      <c r="L440" s="17"/>
      <c r="M440" s="37"/>
      <c r="N440" s="37"/>
      <c r="O440" s="37"/>
      <c r="P440" s="38"/>
      <c r="Q440" s="37"/>
      <c r="R440" s="17"/>
    </row>
    <row r="441" customFormat="false" ht="15" hidden="false" customHeight="false" outlineLevel="0" collapsed="false">
      <c r="A441" s="37"/>
      <c r="B441" s="37"/>
      <c r="C441" s="41" t="str">
        <f aca="false">IF($B441="","",IFERROR(INDEX('LEAD MASTER'!$E$3:$E$402,MATCH($B441,'LEAD MASTER'!$A$3:$A$402,0)),"Lead ID not found"))</f>
        <v/>
      </c>
      <c r="D441" s="17"/>
      <c r="E441" s="17"/>
      <c r="F441" s="37"/>
      <c r="G441" s="37"/>
      <c r="H441" s="17"/>
      <c r="I441" s="37"/>
      <c r="J441" s="37"/>
      <c r="K441" s="37"/>
      <c r="L441" s="17"/>
      <c r="M441" s="37"/>
      <c r="N441" s="37"/>
      <c r="O441" s="37"/>
      <c r="P441" s="38"/>
      <c r="Q441" s="37"/>
      <c r="R441" s="17"/>
    </row>
    <row r="442" customFormat="false" ht="15" hidden="false" customHeight="false" outlineLevel="0" collapsed="false">
      <c r="A442" s="37"/>
      <c r="B442" s="37"/>
      <c r="C442" s="41" t="str">
        <f aca="false">IF($B442="","",IFERROR(INDEX('LEAD MASTER'!$E$3:$E$402,MATCH($B442,'LEAD MASTER'!$A$3:$A$402,0)),"Lead ID not found"))</f>
        <v/>
      </c>
      <c r="D442" s="17"/>
      <c r="E442" s="17"/>
      <c r="F442" s="37"/>
      <c r="G442" s="37"/>
      <c r="H442" s="17"/>
      <c r="I442" s="37"/>
      <c r="J442" s="37"/>
      <c r="K442" s="37"/>
      <c r="L442" s="17"/>
      <c r="M442" s="37"/>
      <c r="N442" s="37"/>
      <c r="O442" s="37"/>
      <c r="P442" s="38"/>
      <c r="Q442" s="37"/>
      <c r="R442" s="17"/>
    </row>
    <row r="443" customFormat="false" ht="15" hidden="false" customHeight="false" outlineLevel="0" collapsed="false">
      <c r="A443" s="37"/>
      <c r="B443" s="37"/>
      <c r="C443" s="41" t="str">
        <f aca="false">IF($B443="","",IFERROR(INDEX('LEAD MASTER'!$E$3:$E$402,MATCH($B443,'LEAD MASTER'!$A$3:$A$402,0)),"Lead ID not found"))</f>
        <v/>
      </c>
      <c r="D443" s="17"/>
      <c r="E443" s="17"/>
      <c r="F443" s="37"/>
      <c r="G443" s="37"/>
      <c r="H443" s="17"/>
      <c r="I443" s="37"/>
      <c r="J443" s="37"/>
      <c r="K443" s="37"/>
      <c r="L443" s="17"/>
      <c r="M443" s="37"/>
      <c r="N443" s="37"/>
      <c r="O443" s="37"/>
      <c r="P443" s="38"/>
      <c r="Q443" s="37"/>
      <c r="R443" s="17"/>
    </row>
    <row r="444" customFormat="false" ht="15" hidden="false" customHeight="false" outlineLevel="0" collapsed="false">
      <c r="A444" s="37"/>
      <c r="B444" s="37"/>
      <c r="C444" s="41" t="str">
        <f aca="false">IF($B444="","",IFERROR(INDEX('LEAD MASTER'!$E$3:$E$402,MATCH($B444,'LEAD MASTER'!$A$3:$A$402,0)),"Lead ID not found"))</f>
        <v/>
      </c>
      <c r="D444" s="17"/>
      <c r="E444" s="17"/>
      <c r="F444" s="37"/>
      <c r="G444" s="37"/>
      <c r="H444" s="17"/>
      <c r="I444" s="37"/>
      <c r="J444" s="37"/>
      <c r="K444" s="37"/>
      <c r="L444" s="17"/>
      <c r="M444" s="37"/>
      <c r="N444" s="37"/>
      <c r="O444" s="37"/>
      <c r="P444" s="38"/>
      <c r="Q444" s="37"/>
      <c r="R444" s="17"/>
    </row>
    <row r="445" customFormat="false" ht="15" hidden="false" customHeight="false" outlineLevel="0" collapsed="false">
      <c r="A445" s="37"/>
      <c r="B445" s="37"/>
      <c r="C445" s="41" t="str">
        <f aca="false">IF($B445="","",IFERROR(INDEX('LEAD MASTER'!$E$3:$E$402,MATCH($B445,'LEAD MASTER'!$A$3:$A$402,0)),"Lead ID not found"))</f>
        <v/>
      </c>
      <c r="D445" s="17"/>
      <c r="E445" s="17"/>
      <c r="F445" s="37"/>
      <c r="G445" s="37"/>
      <c r="H445" s="17"/>
      <c r="I445" s="37"/>
      <c r="J445" s="37"/>
      <c r="K445" s="37"/>
      <c r="L445" s="17"/>
      <c r="M445" s="37"/>
      <c r="N445" s="37"/>
      <c r="O445" s="37"/>
      <c r="P445" s="38"/>
      <c r="Q445" s="37"/>
      <c r="R445" s="17"/>
    </row>
    <row r="446" customFormat="false" ht="15" hidden="false" customHeight="false" outlineLevel="0" collapsed="false">
      <c r="A446" s="37"/>
      <c r="B446" s="37"/>
      <c r="C446" s="41" t="str">
        <f aca="false">IF($B446="","",IFERROR(INDEX('LEAD MASTER'!$E$3:$E$402,MATCH($B446,'LEAD MASTER'!$A$3:$A$402,0)),"Lead ID not found"))</f>
        <v/>
      </c>
      <c r="D446" s="17"/>
      <c r="E446" s="17"/>
      <c r="F446" s="37"/>
      <c r="G446" s="37"/>
      <c r="H446" s="17"/>
      <c r="I446" s="37"/>
      <c r="J446" s="37"/>
      <c r="K446" s="37"/>
      <c r="L446" s="17"/>
      <c r="M446" s="37"/>
      <c r="N446" s="37"/>
      <c r="O446" s="37"/>
      <c r="P446" s="38"/>
      <c r="Q446" s="37"/>
      <c r="R446" s="17"/>
    </row>
    <row r="447" customFormat="false" ht="15" hidden="false" customHeight="false" outlineLevel="0" collapsed="false">
      <c r="A447" s="37"/>
      <c r="B447" s="37"/>
      <c r="C447" s="41" t="str">
        <f aca="false">IF($B447="","",IFERROR(INDEX('LEAD MASTER'!$E$3:$E$402,MATCH($B447,'LEAD MASTER'!$A$3:$A$402,0)),"Lead ID not found"))</f>
        <v/>
      </c>
      <c r="D447" s="17"/>
      <c r="E447" s="17"/>
      <c r="F447" s="37"/>
      <c r="G447" s="37"/>
      <c r="H447" s="17"/>
      <c r="I447" s="37"/>
      <c r="J447" s="37"/>
      <c r="K447" s="37"/>
      <c r="L447" s="17"/>
      <c r="M447" s="37"/>
      <c r="N447" s="37"/>
      <c r="O447" s="37"/>
      <c r="P447" s="38"/>
      <c r="Q447" s="37"/>
      <c r="R447" s="17"/>
    </row>
    <row r="448" customFormat="false" ht="15" hidden="false" customHeight="false" outlineLevel="0" collapsed="false">
      <c r="A448" s="37"/>
      <c r="B448" s="37"/>
      <c r="C448" s="41" t="str">
        <f aca="false">IF($B448="","",IFERROR(INDEX('LEAD MASTER'!$E$3:$E$402,MATCH($B448,'LEAD MASTER'!$A$3:$A$402,0)),"Lead ID not found"))</f>
        <v/>
      </c>
      <c r="D448" s="17"/>
      <c r="E448" s="17"/>
      <c r="F448" s="37"/>
      <c r="G448" s="37"/>
      <c r="H448" s="17"/>
      <c r="I448" s="37"/>
      <c r="J448" s="37"/>
      <c r="K448" s="37"/>
      <c r="L448" s="17"/>
      <c r="M448" s="37"/>
      <c r="N448" s="37"/>
      <c r="O448" s="37"/>
      <c r="P448" s="38"/>
      <c r="Q448" s="37"/>
      <c r="R448" s="17"/>
    </row>
    <row r="449" customFormat="false" ht="15" hidden="false" customHeight="false" outlineLevel="0" collapsed="false">
      <c r="A449" s="37"/>
      <c r="B449" s="37"/>
      <c r="C449" s="41" t="str">
        <f aca="false">IF($B449="","",IFERROR(INDEX('LEAD MASTER'!$E$3:$E$402,MATCH($B449,'LEAD MASTER'!$A$3:$A$402,0)),"Lead ID not found"))</f>
        <v/>
      </c>
      <c r="D449" s="17"/>
      <c r="E449" s="17"/>
      <c r="F449" s="37"/>
      <c r="G449" s="37"/>
      <c r="H449" s="17"/>
      <c r="I449" s="37"/>
      <c r="J449" s="37"/>
      <c r="K449" s="37"/>
      <c r="L449" s="17"/>
      <c r="M449" s="37"/>
      <c r="N449" s="37"/>
      <c r="O449" s="37"/>
      <c r="P449" s="38"/>
      <c r="Q449" s="37"/>
      <c r="R449" s="17"/>
    </row>
    <row r="450" customFormat="false" ht="15" hidden="false" customHeight="false" outlineLevel="0" collapsed="false">
      <c r="A450" s="37"/>
      <c r="B450" s="37"/>
      <c r="C450" s="41" t="str">
        <f aca="false">IF($B450="","",IFERROR(INDEX('LEAD MASTER'!$E$3:$E$402,MATCH($B450,'LEAD MASTER'!$A$3:$A$402,0)),"Lead ID not found"))</f>
        <v/>
      </c>
      <c r="D450" s="17"/>
      <c r="E450" s="17"/>
      <c r="F450" s="37"/>
      <c r="G450" s="37"/>
      <c r="H450" s="17"/>
      <c r="I450" s="37"/>
      <c r="J450" s="37"/>
      <c r="K450" s="37"/>
      <c r="L450" s="17"/>
      <c r="M450" s="37"/>
      <c r="N450" s="37"/>
      <c r="O450" s="37"/>
      <c r="P450" s="38"/>
      <c r="Q450" s="37"/>
      <c r="R450" s="17"/>
    </row>
    <row r="451" customFormat="false" ht="15" hidden="false" customHeight="false" outlineLevel="0" collapsed="false">
      <c r="A451" s="37"/>
      <c r="B451" s="37"/>
      <c r="C451" s="41" t="str">
        <f aca="false">IF($B451="","",IFERROR(INDEX('LEAD MASTER'!$E$3:$E$402,MATCH($B451,'LEAD MASTER'!$A$3:$A$402,0)),"Lead ID not found"))</f>
        <v/>
      </c>
      <c r="D451" s="17"/>
      <c r="E451" s="17"/>
      <c r="F451" s="37"/>
      <c r="G451" s="37"/>
      <c r="H451" s="17"/>
      <c r="I451" s="37"/>
      <c r="J451" s="37"/>
      <c r="K451" s="37"/>
      <c r="L451" s="17"/>
      <c r="M451" s="37"/>
      <c r="N451" s="37"/>
      <c r="O451" s="37"/>
      <c r="P451" s="38"/>
      <c r="Q451" s="37"/>
      <c r="R451" s="17"/>
    </row>
    <row r="452" customFormat="false" ht="15" hidden="false" customHeight="false" outlineLevel="0" collapsed="false">
      <c r="A452" s="37"/>
      <c r="B452" s="37"/>
      <c r="C452" s="41" t="str">
        <f aca="false">IF($B452="","",IFERROR(INDEX('LEAD MASTER'!$E$3:$E$402,MATCH($B452,'LEAD MASTER'!$A$3:$A$402,0)),"Lead ID not found"))</f>
        <v/>
      </c>
      <c r="D452" s="17"/>
      <c r="E452" s="17"/>
      <c r="F452" s="37"/>
      <c r="G452" s="37"/>
      <c r="H452" s="17"/>
      <c r="I452" s="37"/>
      <c r="J452" s="37"/>
      <c r="K452" s="37"/>
      <c r="L452" s="17"/>
      <c r="M452" s="37"/>
      <c r="N452" s="37"/>
      <c r="O452" s="37"/>
      <c r="P452" s="38"/>
      <c r="Q452" s="37"/>
      <c r="R452" s="17"/>
    </row>
    <row r="453" customFormat="false" ht="15" hidden="false" customHeight="false" outlineLevel="0" collapsed="false">
      <c r="A453" s="37"/>
      <c r="B453" s="37"/>
      <c r="C453" s="41" t="str">
        <f aca="false">IF($B453="","",IFERROR(INDEX('LEAD MASTER'!$E$3:$E$402,MATCH($B453,'LEAD MASTER'!$A$3:$A$402,0)),"Lead ID not found"))</f>
        <v/>
      </c>
      <c r="D453" s="17"/>
      <c r="E453" s="17"/>
      <c r="F453" s="37"/>
      <c r="G453" s="37"/>
      <c r="H453" s="17"/>
      <c r="I453" s="37"/>
      <c r="J453" s="37"/>
      <c r="K453" s="37"/>
      <c r="L453" s="17"/>
      <c r="M453" s="37"/>
      <c r="N453" s="37"/>
      <c r="O453" s="37"/>
      <c r="P453" s="38"/>
      <c r="Q453" s="37"/>
      <c r="R453" s="17"/>
    </row>
    <row r="454" customFormat="false" ht="15" hidden="false" customHeight="false" outlineLevel="0" collapsed="false">
      <c r="A454" s="37"/>
      <c r="B454" s="37"/>
      <c r="C454" s="41" t="str">
        <f aca="false">IF($B454="","",IFERROR(INDEX('LEAD MASTER'!$E$3:$E$402,MATCH($B454,'LEAD MASTER'!$A$3:$A$402,0)),"Lead ID not found"))</f>
        <v/>
      </c>
      <c r="D454" s="17"/>
      <c r="E454" s="17"/>
      <c r="F454" s="37"/>
      <c r="G454" s="37"/>
      <c r="H454" s="17"/>
      <c r="I454" s="37"/>
      <c r="J454" s="37"/>
      <c r="K454" s="37"/>
      <c r="L454" s="17"/>
      <c r="M454" s="37"/>
      <c r="N454" s="37"/>
      <c r="O454" s="37"/>
      <c r="P454" s="38"/>
      <c r="Q454" s="37"/>
      <c r="R454" s="17"/>
    </row>
    <row r="455" customFormat="false" ht="15" hidden="false" customHeight="false" outlineLevel="0" collapsed="false">
      <c r="A455" s="37"/>
      <c r="B455" s="37"/>
      <c r="C455" s="41" t="str">
        <f aca="false">IF($B455="","",IFERROR(INDEX('LEAD MASTER'!$E$3:$E$402,MATCH($B455,'LEAD MASTER'!$A$3:$A$402,0)),"Lead ID not found"))</f>
        <v/>
      </c>
      <c r="D455" s="17"/>
      <c r="E455" s="17"/>
      <c r="F455" s="37"/>
      <c r="G455" s="37"/>
      <c r="H455" s="17"/>
      <c r="I455" s="37"/>
      <c r="J455" s="37"/>
      <c r="K455" s="37"/>
      <c r="L455" s="17"/>
      <c r="M455" s="37"/>
      <c r="N455" s="37"/>
      <c r="O455" s="37"/>
      <c r="P455" s="38"/>
      <c r="Q455" s="37"/>
      <c r="R455" s="17"/>
    </row>
    <row r="456" customFormat="false" ht="15" hidden="false" customHeight="false" outlineLevel="0" collapsed="false">
      <c r="A456" s="37"/>
      <c r="B456" s="37"/>
      <c r="C456" s="41" t="str">
        <f aca="false">IF($B456="","",IFERROR(INDEX('LEAD MASTER'!$E$3:$E$402,MATCH($B456,'LEAD MASTER'!$A$3:$A$402,0)),"Lead ID not found"))</f>
        <v/>
      </c>
      <c r="D456" s="17"/>
      <c r="E456" s="17"/>
      <c r="F456" s="37"/>
      <c r="G456" s="37"/>
      <c r="H456" s="17"/>
      <c r="I456" s="37"/>
      <c r="J456" s="37"/>
      <c r="K456" s="37"/>
      <c r="L456" s="17"/>
      <c r="M456" s="37"/>
      <c r="N456" s="37"/>
      <c r="O456" s="37"/>
      <c r="P456" s="38"/>
      <c r="Q456" s="37"/>
      <c r="R456" s="17"/>
    </row>
    <row r="457" customFormat="false" ht="15" hidden="false" customHeight="false" outlineLevel="0" collapsed="false">
      <c r="A457" s="37"/>
      <c r="B457" s="37"/>
      <c r="C457" s="41" t="str">
        <f aca="false">IF($B457="","",IFERROR(INDEX('LEAD MASTER'!$E$3:$E$402,MATCH($B457,'LEAD MASTER'!$A$3:$A$402,0)),"Lead ID not found"))</f>
        <v/>
      </c>
      <c r="D457" s="17"/>
      <c r="E457" s="17"/>
      <c r="F457" s="37"/>
      <c r="G457" s="37"/>
      <c r="H457" s="17"/>
      <c r="I457" s="37"/>
      <c r="J457" s="37"/>
      <c r="K457" s="37"/>
      <c r="L457" s="17"/>
      <c r="M457" s="37"/>
      <c r="N457" s="37"/>
      <c r="O457" s="37"/>
      <c r="P457" s="38"/>
      <c r="Q457" s="37"/>
      <c r="R457" s="17"/>
    </row>
    <row r="458" customFormat="false" ht="15" hidden="false" customHeight="false" outlineLevel="0" collapsed="false">
      <c r="A458" s="37"/>
      <c r="B458" s="37"/>
      <c r="C458" s="41" t="str">
        <f aca="false">IF($B458="","",IFERROR(INDEX('LEAD MASTER'!$E$3:$E$402,MATCH($B458,'LEAD MASTER'!$A$3:$A$402,0)),"Lead ID not found"))</f>
        <v/>
      </c>
      <c r="D458" s="17"/>
      <c r="E458" s="17"/>
      <c r="F458" s="37"/>
      <c r="G458" s="37"/>
      <c r="H458" s="17"/>
      <c r="I458" s="37"/>
      <c r="J458" s="37"/>
      <c r="K458" s="37"/>
      <c r="L458" s="17"/>
      <c r="M458" s="37"/>
      <c r="N458" s="37"/>
      <c r="O458" s="37"/>
      <c r="P458" s="38"/>
      <c r="Q458" s="37"/>
      <c r="R458" s="17"/>
    </row>
    <row r="459" customFormat="false" ht="15" hidden="false" customHeight="false" outlineLevel="0" collapsed="false">
      <c r="A459" s="37"/>
      <c r="B459" s="37"/>
      <c r="C459" s="41" t="str">
        <f aca="false">IF($B459="","",IFERROR(INDEX('LEAD MASTER'!$E$3:$E$402,MATCH($B459,'LEAD MASTER'!$A$3:$A$402,0)),"Lead ID not found"))</f>
        <v/>
      </c>
      <c r="D459" s="17"/>
      <c r="E459" s="17"/>
      <c r="F459" s="37"/>
      <c r="G459" s="37"/>
      <c r="H459" s="17"/>
      <c r="I459" s="37"/>
      <c r="J459" s="37"/>
      <c r="K459" s="37"/>
      <c r="L459" s="17"/>
      <c r="M459" s="37"/>
      <c r="N459" s="37"/>
      <c r="O459" s="37"/>
      <c r="P459" s="38"/>
      <c r="Q459" s="37"/>
      <c r="R459" s="17"/>
    </row>
    <row r="460" customFormat="false" ht="15" hidden="false" customHeight="false" outlineLevel="0" collapsed="false">
      <c r="A460" s="37"/>
      <c r="B460" s="37"/>
      <c r="C460" s="41" t="str">
        <f aca="false">IF($B460="","",IFERROR(INDEX('LEAD MASTER'!$E$3:$E$402,MATCH($B460,'LEAD MASTER'!$A$3:$A$402,0)),"Lead ID not found"))</f>
        <v/>
      </c>
      <c r="D460" s="17"/>
      <c r="E460" s="17"/>
      <c r="F460" s="37"/>
      <c r="G460" s="37"/>
      <c r="H460" s="17"/>
      <c r="I460" s="37"/>
      <c r="J460" s="37"/>
      <c r="K460" s="37"/>
      <c r="L460" s="17"/>
      <c r="M460" s="37"/>
      <c r="N460" s="37"/>
      <c r="O460" s="37"/>
      <c r="P460" s="38"/>
      <c r="Q460" s="37"/>
      <c r="R460" s="17"/>
    </row>
    <row r="461" customFormat="false" ht="15" hidden="false" customHeight="false" outlineLevel="0" collapsed="false">
      <c r="A461" s="37"/>
      <c r="B461" s="37"/>
      <c r="C461" s="41" t="str">
        <f aca="false">IF($B461="","",IFERROR(INDEX('LEAD MASTER'!$E$3:$E$402,MATCH($B461,'LEAD MASTER'!$A$3:$A$402,0)),"Lead ID not found"))</f>
        <v/>
      </c>
      <c r="D461" s="17"/>
      <c r="E461" s="17"/>
      <c r="F461" s="37"/>
      <c r="G461" s="37"/>
      <c r="H461" s="17"/>
      <c r="I461" s="37"/>
      <c r="J461" s="37"/>
      <c r="K461" s="37"/>
      <c r="L461" s="17"/>
      <c r="M461" s="37"/>
      <c r="N461" s="37"/>
      <c r="O461" s="37"/>
      <c r="P461" s="38"/>
      <c r="Q461" s="37"/>
      <c r="R461" s="17"/>
    </row>
    <row r="462" customFormat="false" ht="15" hidden="false" customHeight="false" outlineLevel="0" collapsed="false">
      <c r="A462" s="37"/>
      <c r="B462" s="37"/>
      <c r="C462" s="41" t="str">
        <f aca="false">IF($B462="","",IFERROR(INDEX('LEAD MASTER'!$E$3:$E$402,MATCH($B462,'LEAD MASTER'!$A$3:$A$402,0)),"Lead ID not found"))</f>
        <v/>
      </c>
      <c r="D462" s="17"/>
      <c r="E462" s="17"/>
      <c r="F462" s="37"/>
      <c r="G462" s="37"/>
      <c r="H462" s="17"/>
      <c r="I462" s="37"/>
      <c r="J462" s="37"/>
      <c r="K462" s="37"/>
      <c r="L462" s="17"/>
      <c r="M462" s="37"/>
      <c r="N462" s="37"/>
      <c r="O462" s="37"/>
      <c r="P462" s="38"/>
      <c r="Q462" s="37"/>
      <c r="R462" s="17"/>
    </row>
    <row r="463" customFormat="false" ht="15" hidden="false" customHeight="false" outlineLevel="0" collapsed="false">
      <c r="A463" s="37"/>
      <c r="B463" s="37"/>
      <c r="C463" s="41" t="str">
        <f aca="false">IF($B463="","",IFERROR(INDEX('LEAD MASTER'!$E$3:$E$402,MATCH($B463,'LEAD MASTER'!$A$3:$A$402,0)),"Lead ID not found"))</f>
        <v/>
      </c>
      <c r="D463" s="17"/>
      <c r="E463" s="17"/>
      <c r="F463" s="37"/>
      <c r="G463" s="37"/>
      <c r="H463" s="17"/>
      <c r="I463" s="37"/>
      <c r="J463" s="37"/>
      <c r="K463" s="37"/>
      <c r="L463" s="17"/>
      <c r="M463" s="37"/>
      <c r="N463" s="37"/>
      <c r="O463" s="37"/>
      <c r="P463" s="38"/>
      <c r="Q463" s="37"/>
      <c r="R463" s="17"/>
    </row>
    <row r="464" customFormat="false" ht="15" hidden="false" customHeight="false" outlineLevel="0" collapsed="false">
      <c r="A464" s="37"/>
      <c r="B464" s="37"/>
      <c r="C464" s="41" t="str">
        <f aca="false">IF($B464="","",IFERROR(INDEX('LEAD MASTER'!$E$3:$E$402,MATCH($B464,'LEAD MASTER'!$A$3:$A$402,0)),"Lead ID not found"))</f>
        <v/>
      </c>
      <c r="D464" s="17"/>
      <c r="E464" s="17"/>
      <c r="F464" s="37"/>
      <c r="G464" s="37"/>
      <c r="H464" s="17"/>
      <c r="I464" s="37"/>
      <c r="J464" s="37"/>
      <c r="K464" s="37"/>
      <c r="L464" s="17"/>
      <c r="M464" s="37"/>
      <c r="N464" s="37"/>
      <c r="O464" s="37"/>
      <c r="P464" s="38"/>
      <c r="Q464" s="37"/>
      <c r="R464" s="17"/>
    </row>
    <row r="465" customFormat="false" ht="15" hidden="false" customHeight="false" outlineLevel="0" collapsed="false">
      <c r="A465" s="37"/>
      <c r="B465" s="37"/>
      <c r="C465" s="41" t="str">
        <f aca="false">IF($B465="","",IFERROR(INDEX('LEAD MASTER'!$E$3:$E$402,MATCH($B465,'LEAD MASTER'!$A$3:$A$402,0)),"Lead ID not found"))</f>
        <v/>
      </c>
      <c r="D465" s="17"/>
      <c r="E465" s="17"/>
      <c r="F465" s="37"/>
      <c r="G465" s="37"/>
      <c r="H465" s="17"/>
      <c r="I465" s="37"/>
      <c r="J465" s="37"/>
      <c r="K465" s="37"/>
      <c r="L465" s="17"/>
      <c r="M465" s="37"/>
      <c r="N465" s="37"/>
      <c r="O465" s="37"/>
      <c r="P465" s="38"/>
      <c r="Q465" s="37"/>
      <c r="R465" s="17"/>
    </row>
    <row r="466" customFormat="false" ht="15" hidden="false" customHeight="false" outlineLevel="0" collapsed="false">
      <c r="A466" s="37"/>
      <c r="B466" s="37"/>
      <c r="C466" s="41" t="str">
        <f aca="false">IF($B466="","",IFERROR(INDEX('LEAD MASTER'!$E$3:$E$402,MATCH($B466,'LEAD MASTER'!$A$3:$A$402,0)),"Lead ID not found"))</f>
        <v/>
      </c>
      <c r="D466" s="17"/>
      <c r="E466" s="17"/>
      <c r="F466" s="37"/>
      <c r="G466" s="37"/>
      <c r="H466" s="17"/>
      <c r="I466" s="37"/>
      <c r="J466" s="37"/>
      <c r="K466" s="37"/>
      <c r="L466" s="17"/>
      <c r="M466" s="37"/>
      <c r="N466" s="37"/>
      <c r="O466" s="37"/>
      <c r="P466" s="38"/>
      <c r="Q466" s="37"/>
      <c r="R466" s="17"/>
    </row>
    <row r="467" customFormat="false" ht="15" hidden="false" customHeight="false" outlineLevel="0" collapsed="false">
      <c r="A467" s="37"/>
      <c r="B467" s="37"/>
      <c r="C467" s="41" t="str">
        <f aca="false">IF($B467="","",IFERROR(INDEX('LEAD MASTER'!$E$3:$E$402,MATCH($B467,'LEAD MASTER'!$A$3:$A$402,0)),"Lead ID not found"))</f>
        <v/>
      </c>
      <c r="D467" s="17"/>
      <c r="E467" s="17"/>
      <c r="F467" s="37"/>
      <c r="G467" s="37"/>
      <c r="H467" s="17"/>
      <c r="I467" s="37"/>
      <c r="J467" s="37"/>
      <c r="K467" s="37"/>
      <c r="L467" s="17"/>
      <c r="M467" s="37"/>
      <c r="N467" s="37"/>
      <c r="O467" s="37"/>
      <c r="P467" s="38"/>
      <c r="Q467" s="37"/>
      <c r="R467" s="17"/>
    </row>
    <row r="468" customFormat="false" ht="15" hidden="false" customHeight="false" outlineLevel="0" collapsed="false">
      <c r="A468" s="37"/>
      <c r="B468" s="37"/>
      <c r="C468" s="41" t="str">
        <f aca="false">IF($B468="","",IFERROR(INDEX('LEAD MASTER'!$E$3:$E$402,MATCH($B468,'LEAD MASTER'!$A$3:$A$402,0)),"Lead ID not found"))</f>
        <v/>
      </c>
      <c r="D468" s="17"/>
      <c r="E468" s="17"/>
      <c r="F468" s="37"/>
      <c r="G468" s="37"/>
      <c r="H468" s="17"/>
      <c r="I468" s="37"/>
      <c r="J468" s="37"/>
      <c r="K468" s="37"/>
      <c r="L468" s="17"/>
      <c r="M468" s="37"/>
      <c r="N468" s="37"/>
      <c r="O468" s="37"/>
      <c r="P468" s="38"/>
      <c r="Q468" s="37"/>
      <c r="R468" s="17"/>
    </row>
    <row r="469" customFormat="false" ht="15" hidden="false" customHeight="false" outlineLevel="0" collapsed="false">
      <c r="A469" s="37"/>
      <c r="B469" s="37"/>
      <c r="C469" s="41" t="str">
        <f aca="false">IF($B469="","",IFERROR(INDEX('LEAD MASTER'!$E$3:$E$402,MATCH($B469,'LEAD MASTER'!$A$3:$A$402,0)),"Lead ID not found"))</f>
        <v/>
      </c>
      <c r="D469" s="17"/>
      <c r="E469" s="17"/>
      <c r="F469" s="37"/>
      <c r="G469" s="37"/>
      <c r="H469" s="17"/>
      <c r="I469" s="37"/>
      <c r="J469" s="37"/>
      <c r="K469" s="37"/>
      <c r="L469" s="17"/>
      <c r="M469" s="37"/>
      <c r="N469" s="37"/>
      <c r="O469" s="37"/>
      <c r="P469" s="38"/>
      <c r="Q469" s="37"/>
      <c r="R469" s="17"/>
    </row>
    <row r="470" customFormat="false" ht="15" hidden="false" customHeight="false" outlineLevel="0" collapsed="false">
      <c r="A470" s="37"/>
      <c r="B470" s="37"/>
      <c r="C470" s="41" t="str">
        <f aca="false">IF($B470="","",IFERROR(INDEX('LEAD MASTER'!$E$3:$E$402,MATCH($B470,'LEAD MASTER'!$A$3:$A$402,0)),"Lead ID not found"))</f>
        <v/>
      </c>
      <c r="D470" s="17"/>
      <c r="E470" s="17"/>
      <c r="F470" s="37"/>
      <c r="G470" s="37"/>
      <c r="H470" s="17"/>
      <c r="I470" s="37"/>
      <c r="J470" s="37"/>
      <c r="K470" s="37"/>
      <c r="L470" s="17"/>
      <c r="M470" s="37"/>
      <c r="N470" s="37"/>
      <c r="O470" s="37"/>
      <c r="P470" s="38"/>
      <c r="Q470" s="37"/>
      <c r="R470" s="17"/>
    </row>
    <row r="471" customFormat="false" ht="15" hidden="false" customHeight="false" outlineLevel="0" collapsed="false">
      <c r="A471" s="37"/>
      <c r="B471" s="37"/>
      <c r="C471" s="41" t="str">
        <f aca="false">IF($B471="","",IFERROR(INDEX('LEAD MASTER'!$E$3:$E$402,MATCH($B471,'LEAD MASTER'!$A$3:$A$402,0)),"Lead ID not found"))</f>
        <v/>
      </c>
      <c r="D471" s="17"/>
      <c r="E471" s="17"/>
      <c r="F471" s="37"/>
      <c r="G471" s="37"/>
      <c r="H471" s="17"/>
      <c r="I471" s="37"/>
      <c r="J471" s="37"/>
      <c r="K471" s="37"/>
      <c r="L471" s="17"/>
      <c r="M471" s="37"/>
      <c r="N471" s="37"/>
      <c r="O471" s="37"/>
      <c r="P471" s="38"/>
      <c r="Q471" s="37"/>
      <c r="R471" s="17"/>
    </row>
    <row r="472" customFormat="false" ht="15" hidden="false" customHeight="false" outlineLevel="0" collapsed="false">
      <c r="A472" s="37"/>
      <c r="B472" s="37"/>
      <c r="C472" s="41" t="str">
        <f aca="false">IF($B472="","",IFERROR(INDEX('LEAD MASTER'!$E$3:$E$402,MATCH($B472,'LEAD MASTER'!$A$3:$A$402,0)),"Lead ID not found"))</f>
        <v/>
      </c>
      <c r="D472" s="17"/>
      <c r="E472" s="17"/>
      <c r="F472" s="37"/>
      <c r="G472" s="37"/>
      <c r="H472" s="17"/>
      <c r="I472" s="37"/>
      <c r="J472" s="37"/>
      <c r="K472" s="37"/>
      <c r="L472" s="17"/>
      <c r="M472" s="37"/>
      <c r="N472" s="37"/>
      <c r="O472" s="37"/>
      <c r="P472" s="38"/>
      <c r="Q472" s="37"/>
      <c r="R472" s="17"/>
    </row>
    <row r="473" customFormat="false" ht="15" hidden="false" customHeight="false" outlineLevel="0" collapsed="false">
      <c r="A473" s="37"/>
      <c r="B473" s="37"/>
      <c r="C473" s="41" t="str">
        <f aca="false">IF($B473="","",IFERROR(INDEX('LEAD MASTER'!$E$3:$E$402,MATCH($B473,'LEAD MASTER'!$A$3:$A$402,0)),"Lead ID not found"))</f>
        <v/>
      </c>
      <c r="D473" s="17"/>
      <c r="E473" s="17"/>
      <c r="F473" s="37"/>
      <c r="G473" s="37"/>
      <c r="H473" s="17"/>
      <c r="I473" s="37"/>
      <c r="J473" s="37"/>
      <c r="K473" s="37"/>
      <c r="L473" s="17"/>
      <c r="M473" s="37"/>
      <c r="N473" s="37"/>
      <c r="O473" s="37"/>
      <c r="P473" s="38"/>
      <c r="Q473" s="37"/>
      <c r="R473" s="17"/>
    </row>
    <row r="474" customFormat="false" ht="15" hidden="false" customHeight="false" outlineLevel="0" collapsed="false">
      <c r="A474" s="37"/>
      <c r="B474" s="37"/>
      <c r="C474" s="41" t="str">
        <f aca="false">IF($B474="","",IFERROR(INDEX('LEAD MASTER'!$E$3:$E$402,MATCH($B474,'LEAD MASTER'!$A$3:$A$402,0)),"Lead ID not found"))</f>
        <v/>
      </c>
      <c r="D474" s="17"/>
      <c r="E474" s="17"/>
      <c r="F474" s="37"/>
      <c r="G474" s="37"/>
      <c r="H474" s="17"/>
      <c r="I474" s="37"/>
      <c r="J474" s="37"/>
      <c r="K474" s="37"/>
      <c r="L474" s="17"/>
      <c r="M474" s="37"/>
      <c r="N474" s="37"/>
      <c r="O474" s="37"/>
      <c r="P474" s="38"/>
      <c r="Q474" s="37"/>
      <c r="R474" s="17"/>
    </row>
    <row r="475" customFormat="false" ht="15" hidden="false" customHeight="false" outlineLevel="0" collapsed="false">
      <c r="A475" s="37"/>
      <c r="B475" s="37"/>
      <c r="C475" s="41" t="str">
        <f aca="false">IF($B475="","",IFERROR(INDEX('LEAD MASTER'!$E$3:$E$402,MATCH($B475,'LEAD MASTER'!$A$3:$A$402,0)),"Lead ID not found"))</f>
        <v/>
      </c>
      <c r="D475" s="17"/>
      <c r="E475" s="17"/>
      <c r="F475" s="37"/>
      <c r="G475" s="37"/>
      <c r="H475" s="17"/>
      <c r="I475" s="37"/>
      <c r="J475" s="37"/>
      <c r="K475" s="37"/>
      <c r="L475" s="17"/>
      <c r="M475" s="37"/>
      <c r="N475" s="37"/>
      <c r="O475" s="37"/>
      <c r="P475" s="38"/>
      <c r="Q475" s="37"/>
      <c r="R475" s="17"/>
    </row>
    <row r="476" customFormat="false" ht="15" hidden="false" customHeight="false" outlineLevel="0" collapsed="false">
      <c r="A476" s="37"/>
      <c r="B476" s="37"/>
      <c r="C476" s="41" t="str">
        <f aca="false">IF($B476="","",IFERROR(INDEX('LEAD MASTER'!$E$3:$E$402,MATCH($B476,'LEAD MASTER'!$A$3:$A$402,0)),"Lead ID not found"))</f>
        <v/>
      </c>
      <c r="D476" s="17"/>
      <c r="E476" s="17"/>
      <c r="F476" s="37"/>
      <c r="G476" s="37"/>
      <c r="H476" s="17"/>
      <c r="I476" s="37"/>
      <c r="J476" s="37"/>
      <c r="K476" s="37"/>
      <c r="L476" s="17"/>
      <c r="M476" s="37"/>
      <c r="N476" s="37"/>
      <c r="O476" s="37"/>
      <c r="P476" s="38"/>
      <c r="Q476" s="37"/>
      <c r="R476" s="17"/>
    </row>
    <row r="477" customFormat="false" ht="15" hidden="false" customHeight="false" outlineLevel="0" collapsed="false">
      <c r="A477" s="37"/>
      <c r="B477" s="37"/>
      <c r="C477" s="41" t="str">
        <f aca="false">IF($B477="","",IFERROR(INDEX('LEAD MASTER'!$E$3:$E$402,MATCH($B477,'LEAD MASTER'!$A$3:$A$402,0)),"Lead ID not found"))</f>
        <v/>
      </c>
      <c r="D477" s="17"/>
      <c r="E477" s="17"/>
      <c r="F477" s="37"/>
      <c r="G477" s="37"/>
      <c r="H477" s="17"/>
      <c r="I477" s="37"/>
      <c r="J477" s="37"/>
      <c r="K477" s="37"/>
      <c r="L477" s="17"/>
      <c r="M477" s="37"/>
      <c r="N477" s="37"/>
      <c r="O477" s="37"/>
      <c r="P477" s="38"/>
      <c r="Q477" s="37"/>
      <c r="R477" s="17"/>
    </row>
    <row r="478" customFormat="false" ht="15" hidden="false" customHeight="false" outlineLevel="0" collapsed="false">
      <c r="A478" s="37"/>
      <c r="B478" s="37"/>
      <c r="C478" s="41" t="str">
        <f aca="false">IF($B478="","",IFERROR(INDEX('LEAD MASTER'!$E$3:$E$402,MATCH($B478,'LEAD MASTER'!$A$3:$A$402,0)),"Lead ID not found"))</f>
        <v/>
      </c>
      <c r="D478" s="17"/>
      <c r="E478" s="17"/>
      <c r="F478" s="37"/>
      <c r="G478" s="37"/>
      <c r="H478" s="17"/>
      <c r="I478" s="37"/>
      <c r="J478" s="37"/>
      <c r="K478" s="37"/>
      <c r="L478" s="17"/>
      <c r="M478" s="37"/>
      <c r="N478" s="37"/>
      <c r="O478" s="37"/>
      <c r="P478" s="38"/>
      <c r="Q478" s="37"/>
      <c r="R478" s="17"/>
    </row>
    <row r="479" customFormat="false" ht="15" hidden="false" customHeight="false" outlineLevel="0" collapsed="false">
      <c r="A479" s="37"/>
      <c r="B479" s="37"/>
      <c r="C479" s="41" t="str">
        <f aca="false">IF($B479="","",IFERROR(INDEX('LEAD MASTER'!$E$3:$E$402,MATCH($B479,'LEAD MASTER'!$A$3:$A$402,0)),"Lead ID not found"))</f>
        <v/>
      </c>
      <c r="D479" s="17"/>
      <c r="E479" s="17"/>
      <c r="F479" s="37"/>
      <c r="G479" s="37"/>
      <c r="H479" s="17"/>
      <c r="I479" s="37"/>
      <c r="J479" s="37"/>
      <c r="K479" s="37"/>
      <c r="L479" s="17"/>
      <c r="M479" s="37"/>
      <c r="N479" s="37"/>
      <c r="O479" s="37"/>
      <c r="P479" s="38"/>
      <c r="Q479" s="37"/>
      <c r="R479" s="17"/>
    </row>
    <row r="480" customFormat="false" ht="15" hidden="false" customHeight="false" outlineLevel="0" collapsed="false">
      <c r="A480" s="37"/>
      <c r="B480" s="37"/>
      <c r="C480" s="41" t="str">
        <f aca="false">IF($B480="","",IFERROR(INDEX('LEAD MASTER'!$E$3:$E$402,MATCH($B480,'LEAD MASTER'!$A$3:$A$402,0)),"Lead ID not found"))</f>
        <v/>
      </c>
      <c r="D480" s="17"/>
      <c r="E480" s="17"/>
      <c r="F480" s="37"/>
      <c r="G480" s="37"/>
      <c r="H480" s="17"/>
      <c r="I480" s="37"/>
      <c r="J480" s="37"/>
      <c r="K480" s="37"/>
      <c r="L480" s="17"/>
      <c r="M480" s="37"/>
      <c r="N480" s="37"/>
      <c r="O480" s="37"/>
      <c r="P480" s="38"/>
      <c r="Q480" s="37"/>
      <c r="R480" s="17"/>
    </row>
    <row r="481" customFormat="false" ht="15" hidden="false" customHeight="false" outlineLevel="0" collapsed="false">
      <c r="A481" s="37"/>
      <c r="B481" s="37"/>
      <c r="C481" s="41" t="str">
        <f aca="false">IF($B481="","",IFERROR(INDEX('LEAD MASTER'!$E$3:$E$402,MATCH($B481,'LEAD MASTER'!$A$3:$A$402,0)),"Lead ID not found"))</f>
        <v/>
      </c>
      <c r="D481" s="17"/>
      <c r="E481" s="17"/>
      <c r="F481" s="37"/>
      <c r="G481" s="37"/>
      <c r="H481" s="17"/>
      <c r="I481" s="37"/>
      <c r="J481" s="37"/>
      <c r="K481" s="37"/>
      <c r="L481" s="17"/>
      <c r="M481" s="37"/>
      <c r="N481" s="37"/>
      <c r="O481" s="37"/>
      <c r="P481" s="38"/>
      <c r="Q481" s="37"/>
      <c r="R481" s="17"/>
    </row>
    <row r="482" customFormat="false" ht="15" hidden="false" customHeight="false" outlineLevel="0" collapsed="false">
      <c r="A482" s="37"/>
      <c r="B482" s="37"/>
      <c r="C482" s="41" t="str">
        <f aca="false">IF($B482="","",IFERROR(INDEX('LEAD MASTER'!$E$3:$E$402,MATCH($B482,'LEAD MASTER'!$A$3:$A$402,0)),"Lead ID not found"))</f>
        <v/>
      </c>
      <c r="D482" s="17"/>
      <c r="E482" s="17"/>
      <c r="F482" s="37"/>
      <c r="G482" s="37"/>
      <c r="H482" s="17"/>
      <c r="I482" s="37"/>
      <c r="J482" s="37"/>
      <c r="K482" s="37"/>
      <c r="L482" s="17"/>
      <c r="M482" s="37"/>
      <c r="N482" s="37"/>
      <c r="O482" s="37"/>
      <c r="P482" s="38"/>
      <c r="Q482" s="37"/>
      <c r="R482" s="17"/>
    </row>
    <row r="483" customFormat="false" ht="15" hidden="false" customHeight="false" outlineLevel="0" collapsed="false">
      <c r="A483" s="37"/>
      <c r="B483" s="37"/>
      <c r="C483" s="41" t="str">
        <f aca="false">IF($B483="","",IFERROR(INDEX('LEAD MASTER'!$E$3:$E$402,MATCH($B483,'LEAD MASTER'!$A$3:$A$402,0)),"Lead ID not found"))</f>
        <v/>
      </c>
      <c r="D483" s="17"/>
      <c r="E483" s="17"/>
      <c r="F483" s="37"/>
      <c r="G483" s="37"/>
      <c r="H483" s="17"/>
      <c r="I483" s="37"/>
      <c r="J483" s="37"/>
      <c r="K483" s="37"/>
      <c r="L483" s="17"/>
      <c r="M483" s="37"/>
      <c r="N483" s="37"/>
      <c r="O483" s="37"/>
      <c r="P483" s="38"/>
      <c r="Q483" s="37"/>
      <c r="R483" s="17"/>
    </row>
    <row r="484" customFormat="false" ht="15" hidden="false" customHeight="false" outlineLevel="0" collapsed="false">
      <c r="A484" s="37"/>
      <c r="B484" s="37"/>
      <c r="C484" s="41" t="str">
        <f aca="false">IF($B484="","",IFERROR(INDEX('LEAD MASTER'!$E$3:$E$402,MATCH($B484,'LEAD MASTER'!$A$3:$A$402,0)),"Lead ID not found"))</f>
        <v/>
      </c>
      <c r="D484" s="17"/>
      <c r="E484" s="17"/>
      <c r="F484" s="37"/>
      <c r="G484" s="37"/>
      <c r="H484" s="17"/>
      <c r="I484" s="37"/>
      <c r="J484" s="37"/>
      <c r="K484" s="37"/>
      <c r="L484" s="17"/>
      <c r="M484" s="37"/>
      <c r="N484" s="37"/>
      <c r="O484" s="37"/>
      <c r="P484" s="38"/>
      <c r="Q484" s="37"/>
      <c r="R484" s="17"/>
    </row>
    <row r="485" customFormat="false" ht="15" hidden="false" customHeight="false" outlineLevel="0" collapsed="false">
      <c r="A485" s="37"/>
      <c r="B485" s="37"/>
      <c r="C485" s="41" t="str">
        <f aca="false">IF($B485="","",IFERROR(INDEX('LEAD MASTER'!$E$3:$E$402,MATCH($B485,'LEAD MASTER'!$A$3:$A$402,0)),"Lead ID not found"))</f>
        <v/>
      </c>
      <c r="D485" s="17"/>
      <c r="E485" s="17"/>
      <c r="F485" s="37"/>
      <c r="G485" s="37"/>
      <c r="H485" s="17"/>
      <c r="I485" s="37"/>
      <c r="J485" s="37"/>
      <c r="K485" s="37"/>
      <c r="L485" s="17"/>
      <c r="M485" s="37"/>
      <c r="N485" s="37"/>
      <c r="O485" s="37"/>
      <c r="P485" s="38"/>
      <c r="Q485" s="37"/>
      <c r="R485" s="17"/>
    </row>
    <row r="486" customFormat="false" ht="15" hidden="false" customHeight="false" outlineLevel="0" collapsed="false">
      <c r="A486" s="37"/>
      <c r="B486" s="37"/>
      <c r="C486" s="41" t="str">
        <f aca="false">IF($B486="","",IFERROR(INDEX('LEAD MASTER'!$E$3:$E$402,MATCH($B486,'LEAD MASTER'!$A$3:$A$402,0)),"Lead ID not found"))</f>
        <v/>
      </c>
      <c r="D486" s="17"/>
      <c r="E486" s="17"/>
      <c r="F486" s="37"/>
      <c r="G486" s="37"/>
      <c r="H486" s="17"/>
      <c r="I486" s="37"/>
      <c r="J486" s="37"/>
      <c r="K486" s="37"/>
      <c r="L486" s="17"/>
      <c r="M486" s="37"/>
      <c r="N486" s="37"/>
      <c r="O486" s="37"/>
      <c r="P486" s="38"/>
      <c r="Q486" s="37"/>
      <c r="R486" s="17"/>
    </row>
    <row r="487" customFormat="false" ht="15" hidden="false" customHeight="false" outlineLevel="0" collapsed="false">
      <c r="A487" s="37"/>
      <c r="B487" s="37"/>
      <c r="C487" s="41" t="str">
        <f aca="false">IF($B487="","",IFERROR(INDEX('LEAD MASTER'!$E$3:$E$402,MATCH($B487,'LEAD MASTER'!$A$3:$A$402,0)),"Lead ID not found"))</f>
        <v/>
      </c>
      <c r="D487" s="17"/>
      <c r="E487" s="17"/>
      <c r="F487" s="37"/>
      <c r="G487" s="37"/>
      <c r="H487" s="17"/>
      <c r="I487" s="37"/>
      <c r="J487" s="37"/>
      <c r="K487" s="37"/>
      <c r="L487" s="17"/>
      <c r="M487" s="37"/>
      <c r="N487" s="37"/>
      <c r="O487" s="37"/>
      <c r="P487" s="38"/>
      <c r="Q487" s="37"/>
      <c r="R487" s="17"/>
    </row>
    <row r="488" customFormat="false" ht="15" hidden="false" customHeight="false" outlineLevel="0" collapsed="false">
      <c r="A488" s="37"/>
      <c r="B488" s="37"/>
      <c r="C488" s="41" t="str">
        <f aca="false">IF($B488="","",IFERROR(INDEX('LEAD MASTER'!$E$3:$E$402,MATCH($B488,'LEAD MASTER'!$A$3:$A$402,0)),"Lead ID not found"))</f>
        <v/>
      </c>
      <c r="D488" s="17"/>
      <c r="E488" s="17"/>
      <c r="F488" s="37"/>
      <c r="G488" s="37"/>
      <c r="H488" s="17"/>
      <c r="I488" s="37"/>
      <c r="J488" s="37"/>
      <c r="K488" s="37"/>
      <c r="L488" s="17"/>
      <c r="M488" s="37"/>
      <c r="N488" s="37"/>
      <c r="O488" s="37"/>
      <c r="P488" s="38"/>
      <c r="Q488" s="37"/>
      <c r="R488" s="17"/>
    </row>
    <row r="489" customFormat="false" ht="15" hidden="false" customHeight="false" outlineLevel="0" collapsed="false">
      <c r="A489" s="37"/>
      <c r="B489" s="37"/>
      <c r="C489" s="41" t="str">
        <f aca="false">IF($B489="","",IFERROR(INDEX('LEAD MASTER'!$E$3:$E$402,MATCH($B489,'LEAD MASTER'!$A$3:$A$402,0)),"Lead ID not found"))</f>
        <v/>
      </c>
      <c r="D489" s="17"/>
      <c r="E489" s="17"/>
      <c r="F489" s="37"/>
      <c r="G489" s="37"/>
      <c r="H489" s="17"/>
      <c r="I489" s="37"/>
      <c r="J489" s="37"/>
      <c r="K489" s="37"/>
      <c r="L489" s="17"/>
      <c r="M489" s="37"/>
      <c r="N489" s="37"/>
      <c r="O489" s="37"/>
      <c r="P489" s="38"/>
      <c r="Q489" s="37"/>
      <c r="R489" s="17"/>
    </row>
    <row r="490" customFormat="false" ht="15" hidden="false" customHeight="false" outlineLevel="0" collapsed="false">
      <c r="A490" s="37"/>
      <c r="B490" s="37"/>
      <c r="C490" s="41" t="str">
        <f aca="false">IF($B490="","",IFERROR(INDEX('LEAD MASTER'!$E$3:$E$402,MATCH($B490,'LEAD MASTER'!$A$3:$A$402,0)),"Lead ID not found"))</f>
        <v/>
      </c>
      <c r="D490" s="17"/>
      <c r="E490" s="17"/>
      <c r="F490" s="37"/>
      <c r="G490" s="37"/>
      <c r="H490" s="17"/>
      <c r="I490" s="37"/>
      <c r="J490" s="37"/>
      <c r="K490" s="37"/>
      <c r="L490" s="17"/>
      <c r="M490" s="37"/>
      <c r="N490" s="37"/>
      <c r="O490" s="37"/>
      <c r="P490" s="38"/>
      <c r="Q490" s="37"/>
      <c r="R490" s="17"/>
    </row>
    <row r="491" customFormat="false" ht="15" hidden="false" customHeight="false" outlineLevel="0" collapsed="false">
      <c r="A491" s="37"/>
      <c r="B491" s="37"/>
      <c r="C491" s="41" t="str">
        <f aca="false">IF($B491="","",IFERROR(INDEX('LEAD MASTER'!$E$3:$E$402,MATCH($B491,'LEAD MASTER'!$A$3:$A$402,0)),"Lead ID not found"))</f>
        <v/>
      </c>
      <c r="D491" s="17"/>
      <c r="E491" s="17"/>
      <c r="F491" s="37"/>
      <c r="G491" s="37"/>
      <c r="H491" s="17"/>
      <c r="I491" s="37"/>
      <c r="J491" s="37"/>
      <c r="K491" s="37"/>
      <c r="L491" s="17"/>
      <c r="M491" s="37"/>
      <c r="N491" s="37"/>
      <c r="O491" s="37"/>
      <c r="P491" s="38"/>
      <c r="Q491" s="37"/>
      <c r="R491" s="17"/>
    </row>
    <row r="492" customFormat="false" ht="15" hidden="false" customHeight="false" outlineLevel="0" collapsed="false">
      <c r="A492" s="37"/>
      <c r="B492" s="37"/>
      <c r="C492" s="41" t="str">
        <f aca="false">IF($B492="","",IFERROR(INDEX('LEAD MASTER'!$E$3:$E$402,MATCH($B492,'LEAD MASTER'!$A$3:$A$402,0)),"Lead ID not found"))</f>
        <v/>
      </c>
      <c r="D492" s="17"/>
      <c r="E492" s="17"/>
      <c r="F492" s="37"/>
      <c r="G492" s="37"/>
      <c r="H492" s="17"/>
      <c r="I492" s="37"/>
      <c r="J492" s="37"/>
      <c r="K492" s="37"/>
      <c r="L492" s="17"/>
      <c r="M492" s="37"/>
      <c r="N492" s="37"/>
      <c r="O492" s="37"/>
      <c r="P492" s="38"/>
      <c r="Q492" s="37"/>
      <c r="R492" s="17"/>
    </row>
    <row r="493" customFormat="false" ht="15" hidden="false" customHeight="false" outlineLevel="0" collapsed="false">
      <c r="A493" s="37"/>
      <c r="B493" s="37"/>
      <c r="C493" s="41" t="str">
        <f aca="false">IF($B493="","",IFERROR(INDEX('LEAD MASTER'!$E$3:$E$402,MATCH($B493,'LEAD MASTER'!$A$3:$A$402,0)),"Lead ID not found"))</f>
        <v/>
      </c>
      <c r="D493" s="17"/>
      <c r="E493" s="17"/>
      <c r="F493" s="37"/>
      <c r="G493" s="37"/>
      <c r="H493" s="17"/>
      <c r="I493" s="37"/>
      <c r="J493" s="37"/>
      <c r="K493" s="37"/>
      <c r="L493" s="17"/>
      <c r="M493" s="37"/>
      <c r="N493" s="37"/>
      <c r="O493" s="37"/>
      <c r="P493" s="38"/>
      <c r="Q493" s="37"/>
      <c r="R493" s="17"/>
    </row>
    <row r="494" customFormat="false" ht="15" hidden="false" customHeight="false" outlineLevel="0" collapsed="false">
      <c r="A494" s="37"/>
      <c r="B494" s="37"/>
      <c r="C494" s="41" t="str">
        <f aca="false">IF($B494="","",IFERROR(INDEX('LEAD MASTER'!$E$3:$E$402,MATCH($B494,'LEAD MASTER'!$A$3:$A$402,0)),"Lead ID not found"))</f>
        <v/>
      </c>
      <c r="D494" s="17"/>
      <c r="E494" s="17"/>
      <c r="F494" s="37"/>
      <c r="G494" s="37"/>
      <c r="H494" s="17"/>
      <c r="I494" s="37"/>
      <c r="J494" s="37"/>
      <c r="K494" s="37"/>
      <c r="L494" s="17"/>
      <c r="M494" s="37"/>
      <c r="N494" s="37"/>
      <c r="O494" s="37"/>
      <c r="P494" s="38"/>
      <c r="Q494" s="37"/>
      <c r="R494" s="17"/>
    </row>
    <row r="495" customFormat="false" ht="15" hidden="false" customHeight="false" outlineLevel="0" collapsed="false">
      <c r="A495" s="37"/>
      <c r="B495" s="37"/>
      <c r="C495" s="41" t="str">
        <f aca="false">IF($B495="","",IFERROR(INDEX('LEAD MASTER'!$E$3:$E$402,MATCH($B495,'LEAD MASTER'!$A$3:$A$402,0)),"Lead ID not found"))</f>
        <v/>
      </c>
      <c r="D495" s="17"/>
      <c r="E495" s="17"/>
      <c r="F495" s="37"/>
      <c r="G495" s="37"/>
      <c r="H495" s="17"/>
      <c r="I495" s="37"/>
      <c r="J495" s="37"/>
      <c r="K495" s="37"/>
      <c r="L495" s="17"/>
      <c r="M495" s="37"/>
      <c r="N495" s="37"/>
      <c r="O495" s="37"/>
      <c r="P495" s="38"/>
      <c r="Q495" s="37"/>
      <c r="R495" s="17"/>
    </row>
    <row r="496" customFormat="false" ht="15" hidden="false" customHeight="false" outlineLevel="0" collapsed="false">
      <c r="A496" s="37"/>
      <c r="B496" s="37"/>
      <c r="C496" s="41" t="str">
        <f aca="false">IF($B496="","",IFERROR(INDEX('LEAD MASTER'!$E$3:$E$402,MATCH($B496,'LEAD MASTER'!$A$3:$A$402,0)),"Lead ID not found"))</f>
        <v/>
      </c>
      <c r="D496" s="17"/>
      <c r="E496" s="17"/>
      <c r="F496" s="37"/>
      <c r="G496" s="37"/>
      <c r="H496" s="17"/>
      <c r="I496" s="37"/>
      <c r="J496" s="37"/>
      <c r="K496" s="37"/>
      <c r="L496" s="17"/>
      <c r="M496" s="37"/>
      <c r="N496" s="37"/>
      <c r="O496" s="37"/>
      <c r="P496" s="38"/>
      <c r="Q496" s="37"/>
      <c r="R496" s="17"/>
    </row>
    <row r="497" customFormat="false" ht="15" hidden="false" customHeight="false" outlineLevel="0" collapsed="false">
      <c r="A497" s="37"/>
      <c r="B497" s="37"/>
      <c r="C497" s="41" t="str">
        <f aca="false">IF($B497="","",IFERROR(INDEX('LEAD MASTER'!$E$3:$E$402,MATCH($B497,'LEAD MASTER'!$A$3:$A$402,0)),"Lead ID not found"))</f>
        <v/>
      </c>
      <c r="D497" s="17"/>
      <c r="E497" s="17"/>
      <c r="F497" s="37"/>
      <c r="G497" s="37"/>
      <c r="H497" s="17"/>
      <c r="I497" s="37"/>
      <c r="J497" s="37"/>
      <c r="K497" s="37"/>
      <c r="L497" s="17"/>
      <c r="M497" s="37"/>
      <c r="N497" s="37"/>
      <c r="O497" s="37"/>
      <c r="P497" s="38"/>
      <c r="Q497" s="37"/>
      <c r="R497" s="17"/>
    </row>
    <row r="498" customFormat="false" ht="15" hidden="false" customHeight="false" outlineLevel="0" collapsed="false">
      <c r="A498" s="37"/>
      <c r="B498" s="37"/>
      <c r="C498" s="41" t="str">
        <f aca="false">IF($B498="","",IFERROR(INDEX('LEAD MASTER'!$E$3:$E$402,MATCH($B498,'LEAD MASTER'!$A$3:$A$402,0)),"Lead ID not found"))</f>
        <v/>
      </c>
      <c r="D498" s="17"/>
      <c r="E498" s="17"/>
      <c r="F498" s="37"/>
      <c r="G498" s="37"/>
      <c r="H498" s="17"/>
      <c r="I498" s="37"/>
      <c r="J498" s="37"/>
      <c r="K498" s="37"/>
      <c r="L498" s="17"/>
      <c r="M498" s="37"/>
      <c r="N498" s="37"/>
      <c r="O498" s="37"/>
      <c r="P498" s="38"/>
      <c r="Q498" s="37"/>
      <c r="R498" s="17"/>
    </row>
    <row r="499" customFormat="false" ht="15" hidden="false" customHeight="false" outlineLevel="0" collapsed="false">
      <c r="A499" s="37"/>
      <c r="B499" s="37"/>
      <c r="C499" s="41" t="str">
        <f aca="false">IF($B499="","",IFERROR(INDEX('LEAD MASTER'!$E$3:$E$402,MATCH($B499,'LEAD MASTER'!$A$3:$A$402,0)),"Lead ID not found"))</f>
        <v/>
      </c>
      <c r="D499" s="17"/>
      <c r="E499" s="17"/>
      <c r="F499" s="37"/>
      <c r="G499" s="37"/>
      <c r="H499" s="17"/>
      <c r="I499" s="37"/>
      <c r="J499" s="37"/>
      <c r="K499" s="37"/>
      <c r="L499" s="17"/>
      <c r="M499" s="37"/>
      <c r="N499" s="37"/>
      <c r="O499" s="37"/>
      <c r="P499" s="38"/>
      <c r="Q499" s="37"/>
      <c r="R499" s="17"/>
    </row>
    <row r="500" customFormat="false" ht="15" hidden="false" customHeight="false" outlineLevel="0" collapsed="false">
      <c r="A500" s="37"/>
      <c r="B500" s="37"/>
      <c r="C500" s="41" t="str">
        <f aca="false">IF($B500="","",IFERROR(INDEX('LEAD MASTER'!$E$3:$E$402,MATCH($B500,'LEAD MASTER'!$A$3:$A$402,0)),"Lead ID not found"))</f>
        <v/>
      </c>
      <c r="D500" s="17"/>
      <c r="E500" s="17"/>
      <c r="F500" s="37"/>
      <c r="G500" s="37"/>
      <c r="H500" s="17"/>
      <c r="I500" s="37"/>
      <c r="J500" s="37"/>
      <c r="K500" s="37"/>
      <c r="L500" s="17"/>
      <c r="M500" s="37"/>
      <c r="N500" s="37"/>
      <c r="O500" s="37"/>
      <c r="P500" s="38"/>
      <c r="Q500" s="37"/>
      <c r="R500" s="17"/>
    </row>
    <row r="501" customFormat="false" ht="15" hidden="false" customHeight="false" outlineLevel="0" collapsed="false">
      <c r="A501" s="37"/>
      <c r="B501" s="37"/>
      <c r="C501" s="41" t="str">
        <f aca="false">IF($B501="","",IFERROR(INDEX('LEAD MASTER'!$E$3:$E$402,MATCH($B501,'LEAD MASTER'!$A$3:$A$402,0)),"Lead ID not found"))</f>
        <v/>
      </c>
      <c r="D501" s="17"/>
      <c r="E501" s="17"/>
      <c r="F501" s="37"/>
      <c r="G501" s="37"/>
      <c r="H501" s="17"/>
      <c r="I501" s="37"/>
      <c r="J501" s="37"/>
      <c r="K501" s="37"/>
      <c r="L501" s="17"/>
      <c r="M501" s="37"/>
      <c r="N501" s="37"/>
      <c r="O501" s="37"/>
      <c r="P501" s="38"/>
      <c r="Q501" s="37"/>
      <c r="R501" s="17"/>
    </row>
    <row r="502" customFormat="false" ht="15" hidden="false" customHeight="false" outlineLevel="0" collapsed="false">
      <c r="A502" s="37"/>
      <c r="B502" s="37"/>
      <c r="C502" s="41" t="str">
        <f aca="false">IF($B502="","",IFERROR(INDEX('LEAD MASTER'!$E$3:$E$402,MATCH($B502,'LEAD MASTER'!$A$3:$A$402,0)),"Lead ID not found"))</f>
        <v/>
      </c>
      <c r="D502" s="17"/>
      <c r="E502" s="17"/>
      <c r="F502" s="37"/>
      <c r="G502" s="37"/>
      <c r="H502" s="17"/>
      <c r="I502" s="37"/>
      <c r="J502" s="37"/>
      <c r="K502" s="37"/>
      <c r="L502" s="17"/>
      <c r="M502" s="37"/>
      <c r="N502" s="37"/>
      <c r="O502" s="37"/>
      <c r="P502" s="38"/>
      <c r="Q502" s="37"/>
      <c r="R502" s="17"/>
    </row>
    <row r="503" customFormat="false" ht="15" hidden="false" customHeight="false" outlineLevel="0" collapsed="false">
      <c r="A503" s="37"/>
      <c r="B503" s="37"/>
      <c r="C503" s="41" t="str">
        <f aca="false">IF($B503="","",IFERROR(INDEX('LEAD MASTER'!$E$3:$E$402,MATCH($B503,'LEAD MASTER'!$A$3:$A$402,0)),"Lead ID not found"))</f>
        <v/>
      </c>
      <c r="D503" s="17"/>
      <c r="E503" s="17"/>
      <c r="F503" s="37"/>
      <c r="G503" s="37"/>
      <c r="H503" s="17"/>
      <c r="I503" s="37"/>
      <c r="J503" s="37"/>
      <c r="K503" s="37"/>
      <c r="L503" s="17"/>
      <c r="M503" s="37"/>
      <c r="N503" s="37"/>
      <c r="O503" s="37"/>
      <c r="P503" s="38"/>
      <c r="Q503" s="37"/>
      <c r="R503" s="17"/>
    </row>
    <row r="504" customFormat="false" ht="15" hidden="false" customHeight="false" outlineLevel="0" collapsed="false">
      <c r="A504" s="37"/>
      <c r="B504" s="37"/>
      <c r="C504" s="41" t="str">
        <f aca="false">IF($B504="","",IFERROR(INDEX('LEAD MASTER'!$E$3:$E$402,MATCH($B504,'LEAD MASTER'!$A$3:$A$402,0)),"Lead ID not found"))</f>
        <v/>
      </c>
      <c r="D504" s="17"/>
      <c r="E504" s="17"/>
      <c r="F504" s="37"/>
      <c r="G504" s="37"/>
      <c r="H504" s="17"/>
      <c r="I504" s="37"/>
      <c r="J504" s="37"/>
      <c r="K504" s="37"/>
      <c r="L504" s="17"/>
      <c r="M504" s="37"/>
      <c r="N504" s="37"/>
      <c r="O504" s="37"/>
      <c r="P504" s="38"/>
      <c r="Q504" s="37"/>
      <c r="R504" s="17"/>
    </row>
    <row r="505" customFormat="false" ht="15" hidden="false" customHeight="false" outlineLevel="0" collapsed="false">
      <c r="A505" s="37"/>
      <c r="B505" s="37"/>
      <c r="C505" s="41" t="str">
        <f aca="false">IF($B505="","",IFERROR(INDEX('LEAD MASTER'!$E$3:$E$402,MATCH($B505,'LEAD MASTER'!$A$3:$A$402,0)),"Lead ID not found"))</f>
        <v/>
      </c>
      <c r="D505" s="17"/>
      <c r="E505" s="17"/>
      <c r="F505" s="37"/>
      <c r="G505" s="37"/>
      <c r="H505" s="17"/>
      <c r="I505" s="37"/>
      <c r="J505" s="37"/>
      <c r="K505" s="37"/>
      <c r="L505" s="17"/>
      <c r="M505" s="37"/>
      <c r="N505" s="37"/>
      <c r="O505" s="37"/>
      <c r="P505" s="38"/>
      <c r="Q505" s="37"/>
      <c r="R505" s="17"/>
    </row>
    <row r="506" customFormat="false" ht="15" hidden="false" customHeight="false" outlineLevel="0" collapsed="false">
      <c r="A506" s="37"/>
      <c r="B506" s="37"/>
      <c r="C506" s="41" t="str">
        <f aca="false">IF($B506="","",IFERROR(INDEX('LEAD MASTER'!$E$3:$E$402,MATCH($B506,'LEAD MASTER'!$A$3:$A$402,0)),"Lead ID not found"))</f>
        <v/>
      </c>
      <c r="D506" s="17"/>
      <c r="E506" s="17"/>
      <c r="F506" s="37"/>
      <c r="G506" s="37"/>
      <c r="H506" s="17"/>
      <c r="I506" s="37"/>
      <c r="J506" s="37"/>
      <c r="K506" s="37"/>
      <c r="L506" s="17"/>
      <c r="M506" s="37"/>
      <c r="N506" s="37"/>
      <c r="O506" s="37"/>
      <c r="P506" s="38"/>
      <c r="Q506" s="37"/>
      <c r="R506" s="17"/>
    </row>
    <row r="507" customFormat="false" ht="15" hidden="false" customHeight="false" outlineLevel="0" collapsed="false">
      <c r="A507" s="37"/>
      <c r="B507" s="37"/>
      <c r="C507" s="41" t="str">
        <f aca="false">IF($B507="","",IFERROR(INDEX('LEAD MASTER'!$E$3:$E$402,MATCH($B507,'LEAD MASTER'!$A$3:$A$402,0)),"Lead ID not found"))</f>
        <v/>
      </c>
      <c r="D507" s="17"/>
      <c r="E507" s="17"/>
      <c r="F507" s="37"/>
      <c r="G507" s="37"/>
      <c r="H507" s="17"/>
      <c r="I507" s="37"/>
      <c r="J507" s="37"/>
      <c r="K507" s="37"/>
      <c r="L507" s="17"/>
      <c r="M507" s="37"/>
      <c r="N507" s="37"/>
      <c r="O507" s="37"/>
      <c r="P507" s="38"/>
      <c r="Q507" s="37"/>
      <c r="R507" s="17"/>
    </row>
    <row r="508" customFormat="false" ht="15" hidden="false" customHeight="false" outlineLevel="0" collapsed="false">
      <c r="A508" s="37"/>
      <c r="B508" s="37"/>
      <c r="C508" s="41" t="str">
        <f aca="false">IF($B508="","",IFERROR(INDEX('LEAD MASTER'!$E$3:$E$402,MATCH($B508,'LEAD MASTER'!$A$3:$A$402,0)),"Lead ID not found"))</f>
        <v/>
      </c>
      <c r="D508" s="17"/>
      <c r="E508" s="17"/>
      <c r="F508" s="37"/>
      <c r="G508" s="37"/>
      <c r="H508" s="17"/>
      <c r="I508" s="37"/>
      <c r="J508" s="37"/>
      <c r="K508" s="37"/>
      <c r="L508" s="17"/>
      <c r="M508" s="37"/>
      <c r="N508" s="37"/>
      <c r="O508" s="37"/>
      <c r="P508" s="38"/>
      <c r="Q508" s="37"/>
      <c r="R508" s="17"/>
    </row>
    <row r="509" customFormat="false" ht="15" hidden="false" customHeight="false" outlineLevel="0" collapsed="false">
      <c r="A509" s="37"/>
      <c r="B509" s="37"/>
      <c r="C509" s="41" t="str">
        <f aca="false">IF($B509="","",IFERROR(INDEX('LEAD MASTER'!$E$3:$E$402,MATCH($B509,'LEAD MASTER'!$A$3:$A$402,0)),"Lead ID not found"))</f>
        <v/>
      </c>
      <c r="D509" s="17"/>
      <c r="E509" s="17"/>
      <c r="F509" s="37"/>
      <c r="G509" s="37"/>
      <c r="H509" s="17"/>
      <c r="I509" s="37"/>
      <c r="J509" s="37"/>
      <c r="K509" s="37"/>
      <c r="L509" s="17"/>
      <c r="M509" s="37"/>
      <c r="N509" s="37"/>
      <c r="O509" s="37"/>
      <c r="P509" s="38"/>
      <c r="Q509" s="37"/>
      <c r="R509" s="17"/>
    </row>
    <row r="510" customFormat="false" ht="15" hidden="false" customHeight="false" outlineLevel="0" collapsed="false">
      <c r="A510" s="37"/>
      <c r="B510" s="37"/>
      <c r="C510" s="41" t="str">
        <f aca="false">IF($B510="","",IFERROR(INDEX('LEAD MASTER'!$E$3:$E$402,MATCH($B510,'LEAD MASTER'!$A$3:$A$402,0)),"Lead ID not found"))</f>
        <v/>
      </c>
      <c r="D510" s="17"/>
      <c r="E510" s="17"/>
      <c r="F510" s="37"/>
      <c r="G510" s="37"/>
      <c r="H510" s="17"/>
      <c r="I510" s="37"/>
      <c r="J510" s="37"/>
      <c r="K510" s="37"/>
      <c r="L510" s="17"/>
      <c r="M510" s="37"/>
      <c r="N510" s="37"/>
      <c r="O510" s="37"/>
      <c r="P510" s="38"/>
      <c r="Q510" s="37"/>
      <c r="R510" s="17"/>
    </row>
    <row r="511" customFormat="false" ht="15" hidden="false" customHeight="false" outlineLevel="0" collapsed="false">
      <c r="A511" s="37"/>
      <c r="B511" s="37"/>
      <c r="C511" s="41" t="str">
        <f aca="false">IF($B511="","",IFERROR(INDEX('LEAD MASTER'!$E$3:$E$402,MATCH($B511,'LEAD MASTER'!$A$3:$A$402,0)),"Lead ID not found"))</f>
        <v/>
      </c>
      <c r="D511" s="17"/>
      <c r="E511" s="17"/>
      <c r="F511" s="37"/>
      <c r="G511" s="37"/>
      <c r="H511" s="17"/>
      <c r="I511" s="37"/>
      <c r="J511" s="37"/>
      <c r="K511" s="37"/>
      <c r="L511" s="17"/>
      <c r="M511" s="37"/>
      <c r="N511" s="37"/>
      <c r="O511" s="37"/>
      <c r="P511" s="38"/>
      <c r="Q511" s="37"/>
      <c r="R511" s="17"/>
    </row>
    <row r="512" customFormat="false" ht="15" hidden="false" customHeight="false" outlineLevel="0" collapsed="false">
      <c r="A512" s="37"/>
      <c r="B512" s="37"/>
      <c r="C512" s="41" t="str">
        <f aca="false">IF($B512="","",IFERROR(INDEX('LEAD MASTER'!$E$3:$E$402,MATCH($B512,'LEAD MASTER'!$A$3:$A$402,0)),"Lead ID not found"))</f>
        <v/>
      </c>
      <c r="D512" s="17"/>
      <c r="E512" s="17"/>
      <c r="F512" s="37"/>
      <c r="G512" s="37"/>
      <c r="H512" s="17"/>
      <c r="I512" s="37"/>
      <c r="J512" s="37"/>
      <c r="K512" s="37"/>
      <c r="L512" s="17"/>
      <c r="M512" s="37"/>
      <c r="N512" s="37"/>
      <c r="O512" s="37"/>
      <c r="P512" s="38"/>
      <c r="Q512" s="37"/>
      <c r="R512" s="17"/>
    </row>
    <row r="513" customFormat="false" ht="15" hidden="false" customHeight="false" outlineLevel="0" collapsed="false">
      <c r="A513" s="37"/>
      <c r="B513" s="37"/>
      <c r="C513" s="41" t="str">
        <f aca="false">IF($B513="","",IFERROR(INDEX('LEAD MASTER'!$E$3:$E$402,MATCH($B513,'LEAD MASTER'!$A$3:$A$402,0)),"Lead ID not found"))</f>
        <v/>
      </c>
      <c r="D513" s="17"/>
      <c r="E513" s="17"/>
      <c r="F513" s="37"/>
      <c r="G513" s="37"/>
      <c r="H513" s="17"/>
      <c r="I513" s="37"/>
      <c r="J513" s="37"/>
      <c r="K513" s="37"/>
      <c r="L513" s="17"/>
      <c r="M513" s="37"/>
      <c r="N513" s="37"/>
      <c r="O513" s="37"/>
      <c r="P513" s="38"/>
      <c r="Q513" s="37"/>
      <c r="R513" s="17"/>
    </row>
    <row r="514" customFormat="false" ht="15" hidden="false" customHeight="false" outlineLevel="0" collapsed="false">
      <c r="A514" s="37"/>
      <c r="B514" s="37"/>
      <c r="C514" s="41" t="str">
        <f aca="false">IF($B514="","",IFERROR(INDEX('LEAD MASTER'!$E$3:$E$402,MATCH($B514,'LEAD MASTER'!$A$3:$A$402,0)),"Lead ID not found"))</f>
        <v/>
      </c>
      <c r="D514" s="17"/>
      <c r="E514" s="17"/>
      <c r="F514" s="37"/>
      <c r="G514" s="37"/>
      <c r="H514" s="17"/>
      <c r="I514" s="37"/>
      <c r="J514" s="37"/>
      <c r="K514" s="37"/>
      <c r="L514" s="17"/>
      <c r="M514" s="37"/>
      <c r="N514" s="37"/>
      <c r="O514" s="37"/>
      <c r="P514" s="38"/>
      <c r="Q514" s="37"/>
      <c r="R514" s="17"/>
    </row>
    <row r="515" customFormat="false" ht="15" hidden="false" customHeight="false" outlineLevel="0" collapsed="false">
      <c r="A515" s="37"/>
      <c r="B515" s="37"/>
      <c r="C515" s="41" t="str">
        <f aca="false">IF($B515="","",IFERROR(INDEX('LEAD MASTER'!$E$3:$E$402,MATCH($B515,'LEAD MASTER'!$A$3:$A$402,0)),"Lead ID not found"))</f>
        <v/>
      </c>
      <c r="D515" s="17"/>
      <c r="E515" s="17"/>
      <c r="F515" s="37"/>
      <c r="G515" s="37"/>
      <c r="H515" s="17"/>
      <c r="I515" s="37"/>
      <c r="J515" s="37"/>
      <c r="K515" s="37"/>
      <c r="L515" s="17"/>
      <c r="M515" s="37"/>
      <c r="N515" s="37"/>
      <c r="O515" s="37"/>
      <c r="P515" s="38"/>
      <c r="Q515" s="37"/>
      <c r="R515" s="17"/>
    </row>
    <row r="516" customFormat="false" ht="15" hidden="false" customHeight="false" outlineLevel="0" collapsed="false">
      <c r="A516" s="37"/>
      <c r="B516" s="37"/>
      <c r="C516" s="41" t="str">
        <f aca="false">IF($B516="","",IFERROR(INDEX('LEAD MASTER'!$E$3:$E$402,MATCH($B516,'LEAD MASTER'!$A$3:$A$402,0)),"Lead ID not found"))</f>
        <v/>
      </c>
      <c r="D516" s="17"/>
      <c r="E516" s="17"/>
      <c r="F516" s="37"/>
      <c r="G516" s="37"/>
      <c r="H516" s="17"/>
      <c r="I516" s="37"/>
      <c r="J516" s="37"/>
      <c r="K516" s="37"/>
      <c r="L516" s="17"/>
      <c r="M516" s="37"/>
      <c r="N516" s="37"/>
      <c r="O516" s="37"/>
      <c r="P516" s="38"/>
      <c r="Q516" s="37"/>
      <c r="R516" s="17"/>
    </row>
    <row r="517" customFormat="false" ht="15" hidden="false" customHeight="false" outlineLevel="0" collapsed="false">
      <c r="A517" s="37"/>
      <c r="B517" s="37"/>
      <c r="C517" s="41" t="str">
        <f aca="false">IF($B517="","",IFERROR(INDEX('LEAD MASTER'!$E$3:$E$402,MATCH($B517,'LEAD MASTER'!$A$3:$A$402,0)),"Lead ID not found"))</f>
        <v/>
      </c>
      <c r="D517" s="17"/>
      <c r="E517" s="17"/>
      <c r="F517" s="37"/>
      <c r="G517" s="37"/>
      <c r="H517" s="17"/>
      <c r="I517" s="37"/>
      <c r="J517" s="37"/>
      <c r="K517" s="37"/>
      <c r="L517" s="17"/>
      <c r="M517" s="37"/>
      <c r="N517" s="37"/>
      <c r="O517" s="37"/>
      <c r="P517" s="38"/>
      <c r="Q517" s="37"/>
      <c r="R517" s="17"/>
    </row>
    <row r="518" customFormat="false" ht="15" hidden="false" customHeight="false" outlineLevel="0" collapsed="false">
      <c r="A518" s="37"/>
      <c r="B518" s="37"/>
      <c r="C518" s="41" t="str">
        <f aca="false">IF($B518="","",IFERROR(INDEX('LEAD MASTER'!$E$3:$E$402,MATCH($B518,'LEAD MASTER'!$A$3:$A$402,0)),"Lead ID not found"))</f>
        <v/>
      </c>
      <c r="D518" s="17"/>
      <c r="E518" s="17"/>
      <c r="F518" s="37"/>
      <c r="G518" s="37"/>
      <c r="H518" s="17"/>
      <c r="I518" s="37"/>
      <c r="J518" s="37"/>
      <c r="K518" s="37"/>
      <c r="L518" s="17"/>
      <c r="M518" s="37"/>
      <c r="N518" s="37"/>
      <c r="O518" s="37"/>
      <c r="P518" s="38"/>
      <c r="Q518" s="37"/>
      <c r="R518" s="17"/>
    </row>
    <row r="519" customFormat="false" ht="15" hidden="false" customHeight="false" outlineLevel="0" collapsed="false">
      <c r="A519" s="37"/>
      <c r="B519" s="37"/>
      <c r="C519" s="41" t="str">
        <f aca="false">IF($B519="","",IFERROR(INDEX('LEAD MASTER'!$E$3:$E$402,MATCH($B519,'LEAD MASTER'!$A$3:$A$402,0)),"Lead ID not found"))</f>
        <v/>
      </c>
      <c r="D519" s="17"/>
      <c r="E519" s="17"/>
      <c r="F519" s="37"/>
      <c r="G519" s="37"/>
      <c r="H519" s="17"/>
      <c r="I519" s="37"/>
      <c r="J519" s="37"/>
      <c r="K519" s="37"/>
      <c r="L519" s="17"/>
      <c r="M519" s="37"/>
      <c r="N519" s="37"/>
      <c r="O519" s="37"/>
      <c r="P519" s="38"/>
      <c r="Q519" s="37"/>
      <c r="R519" s="17"/>
    </row>
    <row r="520" customFormat="false" ht="15" hidden="false" customHeight="false" outlineLevel="0" collapsed="false">
      <c r="A520" s="37"/>
      <c r="B520" s="37"/>
      <c r="C520" s="41" t="str">
        <f aca="false">IF($B520="","",IFERROR(INDEX('LEAD MASTER'!$E$3:$E$402,MATCH($B520,'LEAD MASTER'!$A$3:$A$402,0)),"Lead ID not found"))</f>
        <v/>
      </c>
      <c r="D520" s="17"/>
      <c r="E520" s="17"/>
      <c r="F520" s="37"/>
      <c r="G520" s="37"/>
      <c r="H520" s="17"/>
      <c r="I520" s="37"/>
      <c r="J520" s="37"/>
      <c r="K520" s="37"/>
      <c r="L520" s="17"/>
      <c r="M520" s="37"/>
      <c r="N520" s="37"/>
      <c r="O520" s="37"/>
      <c r="P520" s="38"/>
      <c r="Q520" s="37"/>
      <c r="R520" s="17"/>
    </row>
    <row r="521" customFormat="false" ht="15" hidden="false" customHeight="false" outlineLevel="0" collapsed="false">
      <c r="A521" s="37"/>
      <c r="B521" s="37"/>
      <c r="C521" s="41" t="str">
        <f aca="false">IF($B521="","",IFERROR(INDEX('LEAD MASTER'!$E$3:$E$402,MATCH($B521,'LEAD MASTER'!$A$3:$A$402,0)),"Lead ID not found"))</f>
        <v/>
      </c>
      <c r="D521" s="17"/>
      <c r="E521" s="17"/>
      <c r="F521" s="37"/>
      <c r="G521" s="37"/>
      <c r="H521" s="17"/>
      <c r="I521" s="37"/>
      <c r="J521" s="37"/>
      <c r="K521" s="37"/>
      <c r="L521" s="17"/>
      <c r="M521" s="37"/>
      <c r="N521" s="37"/>
      <c r="O521" s="37"/>
      <c r="P521" s="38"/>
      <c r="Q521" s="37"/>
      <c r="R521" s="17"/>
    </row>
    <row r="522" customFormat="false" ht="15" hidden="false" customHeight="false" outlineLevel="0" collapsed="false">
      <c r="A522" s="37"/>
      <c r="B522" s="37"/>
      <c r="C522" s="41" t="str">
        <f aca="false">IF($B522="","",IFERROR(INDEX('LEAD MASTER'!$E$3:$E$402,MATCH($B522,'LEAD MASTER'!$A$3:$A$402,0)),"Lead ID not found"))</f>
        <v/>
      </c>
      <c r="D522" s="17"/>
      <c r="E522" s="17"/>
      <c r="F522" s="37"/>
      <c r="G522" s="37"/>
      <c r="H522" s="17"/>
      <c r="I522" s="37"/>
      <c r="J522" s="37"/>
      <c r="K522" s="37"/>
      <c r="L522" s="17"/>
      <c r="M522" s="37"/>
      <c r="N522" s="37"/>
      <c r="O522" s="37"/>
      <c r="P522" s="38"/>
      <c r="Q522" s="37"/>
      <c r="R522" s="17"/>
    </row>
    <row r="523" customFormat="false" ht="15" hidden="false" customHeight="false" outlineLevel="0" collapsed="false">
      <c r="A523" s="37"/>
      <c r="B523" s="37"/>
      <c r="C523" s="41" t="str">
        <f aca="false">IF($B523="","",IFERROR(INDEX('LEAD MASTER'!$E$3:$E$402,MATCH($B523,'LEAD MASTER'!$A$3:$A$402,0)),"Lead ID not found"))</f>
        <v/>
      </c>
      <c r="D523" s="17"/>
      <c r="E523" s="17"/>
      <c r="F523" s="37"/>
      <c r="G523" s="37"/>
      <c r="H523" s="17"/>
      <c r="I523" s="37"/>
      <c r="J523" s="37"/>
      <c r="K523" s="37"/>
      <c r="L523" s="17"/>
      <c r="M523" s="37"/>
      <c r="N523" s="37"/>
      <c r="O523" s="37"/>
      <c r="P523" s="38"/>
      <c r="Q523" s="37"/>
      <c r="R523" s="17"/>
    </row>
    <row r="524" customFormat="false" ht="15" hidden="false" customHeight="false" outlineLevel="0" collapsed="false">
      <c r="A524" s="37"/>
      <c r="B524" s="37"/>
      <c r="C524" s="41" t="str">
        <f aca="false">IF($B524="","",IFERROR(INDEX('LEAD MASTER'!$E$3:$E$402,MATCH($B524,'LEAD MASTER'!$A$3:$A$402,0)),"Lead ID not found"))</f>
        <v/>
      </c>
      <c r="D524" s="17"/>
      <c r="E524" s="17"/>
      <c r="F524" s="37"/>
      <c r="G524" s="37"/>
      <c r="H524" s="17"/>
      <c r="I524" s="37"/>
      <c r="J524" s="37"/>
      <c r="K524" s="37"/>
      <c r="L524" s="17"/>
      <c r="M524" s="37"/>
      <c r="N524" s="37"/>
      <c r="O524" s="37"/>
      <c r="P524" s="38"/>
      <c r="Q524" s="37"/>
      <c r="R524" s="17"/>
    </row>
    <row r="525" customFormat="false" ht="15" hidden="false" customHeight="false" outlineLevel="0" collapsed="false">
      <c r="A525" s="37"/>
      <c r="B525" s="37"/>
      <c r="C525" s="41" t="str">
        <f aca="false">IF($B525="","",IFERROR(INDEX('LEAD MASTER'!$E$3:$E$402,MATCH($B525,'LEAD MASTER'!$A$3:$A$402,0)),"Lead ID not found"))</f>
        <v/>
      </c>
      <c r="D525" s="17"/>
      <c r="E525" s="17"/>
      <c r="F525" s="37"/>
      <c r="G525" s="37"/>
      <c r="H525" s="17"/>
      <c r="I525" s="37"/>
      <c r="J525" s="37"/>
      <c r="K525" s="37"/>
      <c r="L525" s="17"/>
      <c r="M525" s="37"/>
      <c r="N525" s="37"/>
      <c r="O525" s="37"/>
      <c r="P525" s="38"/>
      <c r="Q525" s="37"/>
      <c r="R525" s="17"/>
    </row>
    <row r="526" customFormat="false" ht="15" hidden="false" customHeight="false" outlineLevel="0" collapsed="false">
      <c r="A526" s="37"/>
      <c r="B526" s="37"/>
      <c r="C526" s="41" t="str">
        <f aca="false">IF($B526="","",IFERROR(INDEX('LEAD MASTER'!$E$3:$E$402,MATCH($B526,'LEAD MASTER'!$A$3:$A$402,0)),"Lead ID not found"))</f>
        <v/>
      </c>
      <c r="D526" s="17"/>
      <c r="E526" s="17"/>
      <c r="F526" s="37"/>
      <c r="G526" s="37"/>
      <c r="H526" s="17"/>
      <c r="I526" s="37"/>
      <c r="J526" s="37"/>
      <c r="K526" s="37"/>
      <c r="L526" s="17"/>
      <c r="M526" s="37"/>
      <c r="N526" s="37"/>
      <c r="O526" s="37"/>
      <c r="P526" s="38"/>
      <c r="Q526" s="37"/>
      <c r="R526" s="17"/>
    </row>
    <row r="527" customFormat="false" ht="15" hidden="false" customHeight="false" outlineLevel="0" collapsed="false">
      <c r="A527" s="37"/>
      <c r="B527" s="37"/>
      <c r="C527" s="41" t="str">
        <f aca="false">IF($B527="","",IFERROR(INDEX('LEAD MASTER'!$E$3:$E$402,MATCH($B527,'LEAD MASTER'!$A$3:$A$402,0)),"Lead ID not found"))</f>
        <v/>
      </c>
      <c r="D527" s="17"/>
      <c r="E527" s="17"/>
      <c r="F527" s="37"/>
      <c r="G527" s="37"/>
      <c r="H527" s="17"/>
      <c r="I527" s="37"/>
      <c r="J527" s="37"/>
      <c r="K527" s="37"/>
      <c r="L527" s="17"/>
      <c r="M527" s="37"/>
      <c r="N527" s="37"/>
      <c r="O527" s="37"/>
      <c r="P527" s="38"/>
      <c r="Q527" s="37"/>
      <c r="R527" s="17"/>
    </row>
    <row r="528" customFormat="false" ht="15" hidden="false" customHeight="false" outlineLevel="0" collapsed="false">
      <c r="A528" s="37"/>
      <c r="B528" s="37"/>
      <c r="C528" s="41" t="str">
        <f aca="false">IF($B528="","",IFERROR(INDEX('LEAD MASTER'!$E$3:$E$402,MATCH($B528,'LEAD MASTER'!$A$3:$A$402,0)),"Lead ID not found"))</f>
        <v/>
      </c>
      <c r="D528" s="17"/>
      <c r="E528" s="17"/>
      <c r="F528" s="37"/>
      <c r="G528" s="37"/>
      <c r="H528" s="17"/>
      <c r="I528" s="37"/>
      <c r="J528" s="37"/>
      <c r="K528" s="37"/>
      <c r="L528" s="17"/>
      <c r="M528" s="37"/>
      <c r="N528" s="37"/>
      <c r="O528" s="37"/>
      <c r="P528" s="38"/>
      <c r="Q528" s="37"/>
      <c r="R528" s="17"/>
    </row>
    <row r="529" customFormat="false" ht="15" hidden="false" customHeight="false" outlineLevel="0" collapsed="false">
      <c r="A529" s="37"/>
      <c r="B529" s="37"/>
      <c r="C529" s="41" t="str">
        <f aca="false">IF($B529="","",IFERROR(INDEX('LEAD MASTER'!$E$3:$E$402,MATCH($B529,'LEAD MASTER'!$A$3:$A$402,0)),"Lead ID not found"))</f>
        <v/>
      </c>
      <c r="D529" s="17"/>
      <c r="E529" s="17"/>
      <c r="F529" s="37"/>
      <c r="G529" s="37"/>
      <c r="H529" s="17"/>
      <c r="I529" s="37"/>
      <c r="J529" s="37"/>
      <c r="K529" s="37"/>
      <c r="L529" s="17"/>
      <c r="M529" s="37"/>
      <c r="N529" s="37"/>
      <c r="O529" s="37"/>
      <c r="P529" s="38"/>
      <c r="Q529" s="37"/>
      <c r="R529" s="17"/>
    </row>
    <row r="530" customFormat="false" ht="15" hidden="false" customHeight="false" outlineLevel="0" collapsed="false">
      <c r="A530" s="37"/>
      <c r="B530" s="37"/>
      <c r="C530" s="41" t="str">
        <f aca="false">IF($B530="","",IFERROR(INDEX('LEAD MASTER'!$E$3:$E$402,MATCH($B530,'LEAD MASTER'!$A$3:$A$402,0)),"Lead ID not found"))</f>
        <v/>
      </c>
      <c r="D530" s="17"/>
      <c r="E530" s="17"/>
      <c r="F530" s="37"/>
      <c r="G530" s="37"/>
      <c r="H530" s="17"/>
      <c r="I530" s="37"/>
      <c r="J530" s="37"/>
      <c r="K530" s="37"/>
      <c r="L530" s="17"/>
      <c r="M530" s="37"/>
      <c r="N530" s="37"/>
      <c r="O530" s="37"/>
      <c r="P530" s="38"/>
      <c r="Q530" s="37"/>
      <c r="R530" s="17"/>
    </row>
    <row r="531" customFormat="false" ht="15" hidden="false" customHeight="false" outlineLevel="0" collapsed="false">
      <c r="A531" s="37"/>
      <c r="B531" s="37"/>
      <c r="C531" s="41" t="str">
        <f aca="false">IF($B531="","",IFERROR(INDEX('LEAD MASTER'!$E$3:$E$402,MATCH($B531,'LEAD MASTER'!$A$3:$A$402,0)),"Lead ID not found"))</f>
        <v/>
      </c>
      <c r="D531" s="17"/>
      <c r="E531" s="17"/>
      <c r="F531" s="37"/>
      <c r="G531" s="37"/>
      <c r="H531" s="17"/>
      <c r="I531" s="37"/>
      <c r="J531" s="37"/>
      <c r="K531" s="37"/>
      <c r="L531" s="17"/>
      <c r="M531" s="37"/>
      <c r="N531" s="37"/>
      <c r="O531" s="37"/>
      <c r="P531" s="38"/>
      <c r="Q531" s="37"/>
      <c r="R531" s="17"/>
    </row>
    <row r="532" customFormat="false" ht="15" hidden="false" customHeight="false" outlineLevel="0" collapsed="false">
      <c r="A532" s="37"/>
      <c r="B532" s="37"/>
      <c r="C532" s="41" t="str">
        <f aca="false">IF($B532="","",IFERROR(INDEX('LEAD MASTER'!$E$3:$E$402,MATCH($B532,'LEAD MASTER'!$A$3:$A$402,0)),"Lead ID not found"))</f>
        <v/>
      </c>
      <c r="D532" s="17"/>
      <c r="E532" s="17"/>
      <c r="F532" s="37"/>
      <c r="G532" s="37"/>
      <c r="H532" s="17"/>
      <c r="I532" s="37"/>
      <c r="J532" s="37"/>
      <c r="K532" s="37"/>
      <c r="L532" s="17"/>
      <c r="M532" s="37"/>
      <c r="N532" s="37"/>
      <c r="O532" s="37"/>
      <c r="P532" s="38"/>
      <c r="Q532" s="37"/>
      <c r="R532" s="17"/>
    </row>
    <row r="533" customFormat="false" ht="15" hidden="false" customHeight="false" outlineLevel="0" collapsed="false">
      <c r="A533" s="37"/>
      <c r="B533" s="37"/>
      <c r="C533" s="41" t="str">
        <f aca="false">IF($B533="","",IFERROR(INDEX('LEAD MASTER'!$E$3:$E$402,MATCH($B533,'LEAD MASTER'!$A$3:$A$402,0)),"Lead ID not found"))</f>
        <v/>
      </c>
      <c r="D533" s="17"/>
      <c r="E533" s="17"/>
      <c r="F533" s="37"/>
      <c r="G533" s="37"/>
      <c r="H533" s="17"/>
      <c r="I533" s="37"/>
      <c r="J533" s="37"/>
      <c r="K533" s="37"/>
      <c r="L533" s="17"/>
      <c r="M533" s="37"/>
      <c r="N533" s="37"/>
      <c r="O533" s="37"/>
      <c r="P533" s="38"/>
      <c r="Q533" s="37"/>
      <c r="R533" s="17"/>
    </row>
    <row r="534" customFormat="false" ht="15" hidden="false" customHeight="false" outlineLevel="0" collapsed="false">
      <c r="A534" s="37"/>
      <c r="B534" s="37"/>
      <c r="C534" s="41" t="str">
        <f aca="false">IF($B534="","",IFERROR(INDEX('LEAD MASTER'!$E$3:$E$402,MATCH($B534,'LEAD MASTER'!$A$3:$A$402,0)),"Lead ID not found"))</f>
        <v/>
      </c>
      <c r="D534" s="17"/>
      <c r="E534" s="17"/>
      <c r="F534" s="37"/>
      <c r="G534" s="37"/>
      <c r="H534" s="17"/>
      <c r="I534" s="37"/>
      <c r="J534" s="37"/>
      <c r="K534" s="37"/>
      <c r="L534" s="17"/>
      <c r="M534" s="37"/>
      <c r="N534" s="37"/>
      <c r="O534" s="37"/>
      <c r="P534" s="38"/>
      <c r="Q534" s="37"/>
      <c r="R534" s="17"/>
    </row>
    <row r="535" customFormat="false" ht="15" hidden="false" customHeight="false" outlineLevel="0" collapsed="false">
      <c r="A535" s="37"/>
      <c r="B535" s="37"/>
      <c r="C535" s="41" t="str">
        <f aca="false">IF($B535="","",IFERROR(INDEX('LEAD MASTER'!$E$3:$E$402,MATCH($B535,'LEAD MASTER'!$A$3:$A$402,0)),"Lead ID not found"))</f>
        <v/>
      </c>
      <c r="D535" s="17"/>
      <c r="E535" s="17"/>
      <c r="F535" s="37"/>
      <c r="G535" s="37"/>
      <c r="H535" s="17"/>
      <c r="I535" s="37"/>
      <c r="J535" s="37"/>
      <c r="K535" s="37"/>
      <c r="L535" s="17"/>
      <c r="M535" s="37"/>
      <c r="N535" s="37"/>
      <c r="O535" s="37"/>
      <c r="P535" s="38"/>
      <c r="Q535" s="37"/>
      <c r="R535" s="17"/>
    </row>
    <row r="536" customFormat="false" ht="15" hidden="false" customHeight="false" outlineLevel="0" collapsed="false">
      <c r="A536" s="37"/>
      <c r="B536" s="37"/>
      <c r="C536" s="41" t="str">
        <f aca="false">IF($B536="","",IFERROR(INDEX('LEAD MASTER'!$E$3:$E$402,MATCH($B536,'LEAD MASTER'!$A$3:$A$402,0)),"Lead ID not found"))</f>
        <v/>
      </c>
      <c r="D536" s="17"/>
      <c r="E536" s="17"/>
      <c r="F536" s="37"/>
      <c r="G536" s="37"/>
      <c r="H536" s="17"/>
      <c r="I536" s="37"/>
      <c r="J536" s="37"/>
      <c r="K536" s="37"/>
      <c r="L536" s="17"/>
      <c r="M536" s="37"/>
      <c r="N536" s="37"/>
      <c r="O536" s="37"/>
      <c r="P536" s="38"/>
      <c r="Q536" s="37"/>
      <c r="R536" s="17"/>
    </row>
    <row r="537" customFormat="false" ht="15" hidden="false" customHeight="false" outlineLevel="0" collapsed="false">
      <c r="A537" s="37"/>
      <c r="B537" s="37"/>
      <c r="C537" s="41" t="str">
        <f aca="false">IF($B537="","",IFERROR(INDEX('LEAD MASTER'!$E$3:$E$402,MATCH($B537,'LEAD MASTER'!$A$3:$A$402,0)),"Lead ID not found"))</f>
        <v/>
      </c>
      <c r="D537" s="17"/>
      <c r="E537" s="17"/>
      <c r="F537" s="37"/>
      <c r="G537" s="37"/>
      <c r="H537" s="17"/>
      <c r="I537" s="37"/>
      <c r="J537" s="37"/>
      <c r="K537" s="37"/>
      <c r="L537" s="17"/>
      <c r="M537" s="37"/>
      <c r="N537" s="37"/>
      <c r="O537" s="37"/>
      <c r="P537" s="38"/>
      <c r="Q537" s="37"/>
      <c r="R537" s="17"/>
    </row>
    <row r="538" customFormat="false" ht="15" hidden="false" customHeight="false" outlineLevel="0" collapsed="false">
      <c r="A538" s="37"/>
      <c r="B538" s="37"/>
      <c r="C538" s="41" t="str">
        <f aca="false">IF($B538="","",IFERROR(INDEX('LEAD MASTER'!$E$3:$E$402,MATCH($B538,'LEAD MASTER'!$A$3:$A$402,0)),"Lead ID not found"))</f>
        <v/>
      </c>
      <c r="D538" s="17"/>
      <c r="E538" s="17"/>
      <c r="F538" s="37"/>
      <c r="G538" s="37"/>
      <c r="H538" s="17"/>
      <c r="I538" s="37"/>
      <c r="J538" s="37"/>
      <c r="K538" s="37"/>
      <c r="L538" s="17"/>
      <c r="M538" s="37"/>
      <c r="N538" s="37"/>
      <c r="O538" s="37"/>
      <c r="P538" s="38"/>
      <c r="Q538" s="37"/>
      <c r="R538" s="17"/>
    </row>
    <row r="539" customFormat="false" ht="15" hidden="false" customHeight="false" outlineLevel="0" collapsed="false">
      <c r="A539" s="37"/>
      <c r="B539" s="37"/>
      <c r="C539" s="41" t="str">
        <f aca="false">IF($B539="","",IFERROR(INDEX('LEAD MASTER'!$E$3:$E$402,MATCH($B539,'LEAD MASTER'!$A$3:$A$402,0)),"Lead ID not found"))</f>
        <v/>
      </c>
      <c r="D539" s="17"/>
      <c r="E539" s="17"/>
      <c r="F539" s="37"/>
      <c r="G539" s="37"/>
      <c r="H539" s="17"/>
      <c r="I539" s="37"/>
      <c r="J539" s="37"/>
      <c r="K539" s="37"/>
      <c r="L539" s="17"/>
      <c r="M539" s="37"/>
      <c r="N539" s="37"/>
      <c r="O539" s="37"/>
      <c r="P539" s="38"/>
      <c r="Q539" s="37"/>
      <c r="R539" s="17"/>
    </row>
    <row r="540" customFormat="false" ht="15" hidden="false" customHeight="false" outlineLevel="0" collapsed="false">
      <c r="A540" s="37"/>
      <c r="B540" s="37"/>
      <c r="C540" s="41" t="str">
        <f aca="false">IF($B540="","",IFERROR(INDEX('LEAD MASTER'!$E$3:$E$402,MATCH($B540,'LEAD MASTER'!$A$3:$A$402,0)),"Lead ID not found"))</f>
        <v/>
      </c>
      <c r="D540" s="17"/>
      <c r="E540" s="17"/>
      <c r="F540" s="37"/>
      <c r="G540" s="37"/>
      <c r="H540" s="17"/>
      <c r="I540" s="37"/>
      <c r="J540" s="37"/>
      <c r="K540" s="37"/>
      <c r="L540" s="17"/>
      <c r="M540" s="37"/>
      <c r="N540" s="37"/>
      <c r="O540" s="37"/>
      <c r="P540" s="38"/>
      <c r="Q540" s="37"/>
      <c r="R540" s="17"/>
    </row>
    <row r="541" customFormat="false" ht="15" hidden="false" customHeight="false" outlineLevel="0" collapsed="false">
      <c r="A541" s="37"/>
      <c r="B541" s="37"/>
      <c r="C541" s="41" t="str">
        <f aca="false">IF($B541="","",IFERROR(INDEX('LEAD MASTER'!$E$3:$E$402,MATCH($B541,'LEAD MASTER'!$A$3:$A$402,0)),"Lead ID not found"))</f>
        <v/>
      </c>
      <c r="D541" s="17"/>
      <c r="E541" s="17"/>
      <c r="F541" s="37"/>
      <c r="G541" s="37"/>
      <c r="H541" s="17"/>
      <c r="I541" s="37"/>
      <c r="J541" s="37"/>
      <c r="K541" s="37"/>
      <c r="L541" s="17"/>
      <c r="M541" s="37"/>
      <c r="N541" s="37"/>
      <c r="O541" s="37"/>
      <c r="P541" s="38"/>
      <c r="Q541" s="37"/>
      <c r="R541" s="17"/>
    </row>
    <row r="542" customFormat="false" ht="15" hidden="false" customHeight="false" outlineLevel="0" collapsed="false">
      <c r="A542" s="37"/>
      <c r="B542" s="37"/>
      <c r="C542" s="41" t="str">
        <f aca="false">IF($B542="","",IFERROR(INDEX('LEAD MASTER'!$E$3:$E$402,MATCH($B542,'LEAD MASTER'!$A$3:$A$402,0)),"Lead ID not found"))</f>
        <v/>
      </c>
      <c r="D542" s="17"/>
      <c r="E542" s="17"/>
      <c r="F542" s="37"/>
      <c r="G542" s="37"/>
      <c r="H542" s="17"/>
      <c r="I542" s="37"/>
      <c r="J542" s="37"/>
      <c r="K542" s="37"/>
      <c r="L542" s="17"/>
      <c r="M542" s="37"/>
      <c r="N542" s="37"/>
      <c r="O542" s="37"/>
      <c r="P542" s="38"/>
      <c r="Q542" s="37"/>
      <c r="R542" s="17"/>
    </row>
    <row r="543" customFormat="false" ht="15" hidden="false" customHeight="false" outlineLevel="0" collapsed="false">
      <c r="A543" s="37"/>
      <c r="B543" s="37"/>
      <c r="C543" s="41" t="str">
        <f aca="false">IF($B543="","",IFERROR(INDEX('LEAD MASTER'!$E$3:$E$402,MATCH($B543,'LEAD MASTER'!$A$3:$A$402,0)),"Lead ID not found"))</f>
        <v/>
      </c>
      <c r="D543" s="17"/>
      <c r="E543" s="17"/>
      <c r="F543" s="37"/>
      <c r="G543" s="37"/>
      <c r="H543" s="17"/>
      <c r="I543" s="37"/>
      <c r="J543" s="37"/>
      <c r="K543" s="37"/>
      <c r="L543" s="17"/>
      <c r="M543" s="37"/>
      <c r="N543" s="37"/>
      <c r="O543" s="37"/>
      <c r="P543" s="38"/>
      <c r="Q543" s="37"/>
      <c r="R543" s="17"/>
    </row>
    <row r="544" customFormat="false" ht="15" hidden="false" customHeight="false" outlineLevel="0" collapsed="false">
      <c r="A544" s="37"/>
      <c r="B544" s="37"/>
      <c r="C544" s="41" t="str">
        <f aca="false">IF($B544="","",IFERROR(INDEX('LEAD MASTER'!$E$3:$E$402,MATCH($B544,'LEAD MASTER'!$A$3:$A$402,0)),"Lead ID not found"))</f>
        <v/>
      </c>
      <c r="D544" s="17"/>
      <c r="E544" s="17"/>
      <c r="F544" s="37"/>
      <c r="G544" s="37"/>
      <c r="H544" s="17"/>
      <c r="I544" s="37"/>
      <c r="J544" s="37"/>
      <c r="K544" s="37"/>
      <c r="L544" s="17"/>
      <c r="M544" s="37"/>
      <c r="N544" s="37"/>
      <c r="O544" s="37"/>
      <c r="P544" s="38"/>
      <c r="Q544" s="37"/>
      <c r="R544" s="17"/>
    </row>
    <row r="545" customFormat="false" ht="15" hidden="false" customHeight="false" outlineLevel="0" collapsed="false">
      <c r="A545" s="37"/>
      <c r="B545" s="37"/>
      <c r="C545" s="41" t="str">
        <f aca="false">IF($B545="","",IFERROR(INDEX('LEAD MASTER'!$E$3:$E$402,MATCH($B545,'LEAD MASTER'!$A$3:$A$402,0)),"Lead ID not found"))</f>
        <v/>
      </c>
      <c r="D545" s="17"/>
      <c r="E545" s="17"/>
      <c r="F545" s="37"/>
      <c r="G545" s="37"/>
      <c r="H545" s="17"/>
      <c r="I545" s="37"/>
      <c r="J545" s="37"/>
      <c r="K545" s="37"/>
      <c r="L545" s="17"/>
      <c r="M545" s="37"/>
      <c r="N545" s="37"/>
      <c r="O545" s="37"/>
      <c r="P545" s="38"/>
      <c r="Q545" s="37"/>
      <c r="R545" s="17"/>
    </row>
    <row r="546" customFormat="false" ht="15" hidden="false" customHeight="false" outlineLevel="0" collapsed="false">
      <c r="A546" s="37"/>
      <c r="B546" s="37"/>
      <c r="C546" s="41" t="str">
        <f aca="false">IF($B546="","",IFERROR(INDEX('LEAD MASTER'!$E$3:$E$402,MATCH($B546,'LEAD MASTER'!$A$3:$A$402,0)),"Lead ID not found"))</f>
        <v/>
      </c>
      <c r="D546" s="17"/>
      <c r="E546" s="17"/>
      <c r="F546" s="37"/>
      <c r="G546" s="37"/>
      <c r="H546" s="17"/>
      <c r="I546" s="37"/>
      <c r="J546" s="37"/>
      <c r="K546" s="37"/>
      <c r="L546" s="17"/>
      <c r="M546" s="37"/>
      <c r="N546" s="37"/>
      <c r="O546" s="37"/>
      <c r="P546" s="38"/>
      <c r="Q546" s="37"/>
      <c r="R546" s="17"/>
    </row>
    <row r="547" customFormat="false" ht="15" hidden="false" customHeight="false" outlineLevel="0" collapsed="false">
      <c r="A547" s="37"/>
      <c r="B547" s="37"/>
      <c r="C547" s="41" t="str">
        <f aca="false">IF($B547="","",IFERROR(INDEX('LEAD MASTER'!$E$3:$E$402,MATCH($B547,'LEAD MASTER'!$A$3:$A$402,0)),"Lead ID not found"))</f>
        <v/>
      </c>
      <c r="D547" s="17"/>
      <c r="E547" s="17"/>
      <c r="F547" s="37"/>
      <c r="G547" s="37"/>
      <c r="H547" s="17"/>
      <c r="I547" s="37"/>
      <c r="J547" s="37"/>
      <c r="K547" s="37"/>
      <c r="L547" s="17"/>
      <c r="M547" s="37"/>
      <c r="N547" s="37"/>
      <c r="O547" s="37"/>
      <c r="P547" s="38"/>
      <c r="Q547" s="37"/>
      <c r="R547" s="17"/>
    </row>
    <row r="548" customFormat="false" ht="15" hidden="false" customHeight="false" outlineLevel="0" collapsed="false">
      <c r="A548" s="37"/>
      <c r="B548" s="37"/>
      <c r="C548" s="41" t="str">
        <f aca="false">IF($B548="","",IFERROR(INDEX('LEAD MASTER'!$E$3:$E$402,MATCH($B548,'LEAD MASTER'!$A$3:$A$402,0)),"Lead ID not found"))</f>
        <v/>
      </c>
      <c r="D548" s="17"/>
      <c r="E548" s="17"/>
      <c r="F548" s="37"/>
      <c r="G548" s="37"/>
      <c r="H548" s="17"/>
      <c r="I548" s="37"/>
      <c r="J548" s="37"/>
      <c r="K548" s="37"/>
      <c r="L548" s="17"/>
      <c r="M548" s="37"/>
      <c r="N548" s="37"/>
      <c r="O548" s="37"/>
      <c r="P548" s="38"/>
      <c r="Q548" s="37"/>
      <c r="R548" s="17"/>
    </row>
    <row r="549" customFormat="false" ht="15" hidden="false" customHeight="false" outlineLevel="0" collapsed="false">
      <c r="A549" s="37"/>
      <c r="B549" s="37"/>
      <c r="C549" s="41" t="str">
        <f aca="false">IF($B549="","",IFERROR(INDEX('LEAD MASTER'!$E$3:$E$402,MATCH($B549,'LEAD MASTER'!$A$3:$A$402,0)),"Lead ID not found"))</f>
        <v/>
      </c>
      <c r="D549" s="17"/>
      <c r="E549" s="17"/>
      <c r="F549" s="37"/>
      <c r="G549" s="37"/>
      <c r="H549" s="17"/>
      <c r="I549" s="37"/>
      <c r="J549" s="37"/>
      <c r="K549" s="37"/>
      <c r="L549" s="17"/>
      <c r="M549" s="37"/>
      <c r="N549" s="37"/>
      <c r="O549" s="37"/>
      <c r="P549" s="38"/>
      <c r="Q549" s="37"/>
      <c r="R549" s="17"/>
    </row>
    <row r="550" customFormat="false" ht="15" hidden="false" customHeight="false" outlineLevel="0" collapsed="false">
      <c r="A550" s="37"/>
      <c r="B550" s="37"/>
      <c r="C550" s="41" t="str">
        <f aca="false">IF($B550="","",IFERROR(INDEX('LEAD MASTER'!$E$3:$E$402,MATCH($B550,'LEAD MASTER'!$A$3:$A$402,0)),"Lead ID not found"))</f>
        <v/>
      </c>
      <c r="D550" s="17"/>
      <c r="E550" s="17"/>
      <c r="F550" s="37"/>
      <c r="G550" s="37"/>
      <c r="H550" s="17"/>
      <c r="I550" s="37"/>
      <c r="J550" s="37"/>
      <c r="K550" s="37"/>
      <c r="L550" s="17"/>
      <c r="M550" s="37"/>
      <c r="N550" s="37"/>
      <c r="O550" s="37"/>
      <c r="P550" s="38"/>
      <c r="Q550" s="37"/>
      <c r="R550" s="17"/>
    </row>
    <row r="551" customFormat="false" ht="15" hidden="false" customHeight="false" outlineLevel="0" collapsed="false">
      <c r="A551" s="37"/>
      <c r="B551" s="37"/>
      <c r="C551" s="41" t="str">
        <f aca="false">IF($B551="","",IFERROR(INDEX('LEAD MASTER'!$E$3:$E$402,MATCH($B551,'LEAD MASTER'!$A$3:$A$402,0)),"Lead ID not found"))</f>
        <v/>
      </c>
      <c r="D551" s="17"/>
      <c r="E551" s="17"/>
      <c r="F551" s="37"/>
      <c r="G551" s="37"/>
      <c r="H551" s="17"/>
      <c r="I551" s="37"/>
      <c r="J551" s="37"/>
      <c r="K551" s="37"/>
      <c r="L551" s="17"/>
      <c r="M551" s="37"/>
      <c r="N551" s="37"/>
      <c r="O551" s="37"/>
      <c r="P551" s="38"/>
      <c r="Q551" s="37"/>
      <c r="R551" s="17"/>
    </row>
    <row r="552" customFormat="false" ht="15" hidden="false" customHeight="false" outlineLevel="0" collapsed="false">
      <c r="A552" s="37"/>
      <c r="B552" s="37"/>
      <c r="C552" s="41" t="str">
        <f aca="false">IF($B552="","",IFERROR(INDEX('LEAD MASTER'!$E$3:$E$402,MATCH($B552,'LEAD MASTER'!$A$3:$A$402,0)),"Lead ID not found"))</f>
        <v/>
      </c>
      <c r="D552" s="17"/>
      <c r="E552" s="17"/>
      <c r="F552" s="37"/>
      <c r="G552" s="37"/>
      <c r="H552" s="17"/>
      <c r="I552" s="37"/>
      <c r="J552" s="37"/>
      <c r="K552" s="37"/>
      <c r="L552" s="17"/>
      <c r="M552" s="37"/>
      <c r="N552" s="37"/>
      <c r="O552" s="37"/>
      <c r="P552" s="38"/>
      <c r="Q552" s="37"/>
      <c r="R552" s="17"/>
    </row>
    <row r="553" customFormat="false" ht="15" hidden="false" customHeight="false" outlineLevel="0" collapsed="false">
      <c r="A553" s="37"/>
      <c r="B553" s="37"/>
      <c r="C553" s="41" t="str">
        <f aca="false">IF($B553="","",IFERROR(INDEX('LEAD MASTER'!$E$3:$E$402,MATCH($B553,'LEAD MASTER'!$A$3:$A$402,0)),"Lead ID not found"))</f>
        <v/>
      </c>
      <c r="D553" s="17"/>
      <c r="E553" s="17"/>
      <c r="F553" s="37"/>
      <c r="G553" s="37"/>
      <c r="H553" s="17"/>
      <c r="I553" s="37"/>
      <c r="J553" s="37"/>
      <c r="K553" s="37"/>
      <c r="L553" s="17"/>
      <c r="M553" s="37"/>
      <c r="N553" s="37"/>
      <c r="O553" s="37"/>
      <c r="P553" s="38"/>
      <c r="Q553" s="37"/>
      <c r="R553" s="17"/>
    </row>
    <row r="554" customFormat="false" ht="15" hidden="false" customHeight="false" outlineLevel="0" collapsed="false">
      <c r="A554" s="37"/>
      <c r="B554" s="37"/>
      <c r="C554" s="41" t="str">
        <f aca="false">IF($B554="","",IFERROR(INDEX('LEAD MASTER'!$E$3:$E$402,MATCH($B554,'LEAD MASTER'!$A$3:$A$402,0)),"Lead ID not found"))</f>
        <v/>
      </c>
      <c r="D554" s="17"/>
      <c r="E554" s="17"/>
      <c r="F554" s="37"/>
      <c r="G554" s="37"/>
      <c r="H554" s="17"/>
      <c r="I554" s="37"/>
      <c r="J554" s="37"/>
      <c r="K554" s="37"/>
      <c r="L554" s="17"/>
      <c r="M554" s="37"/>
      <c r="N554" s="37"/>
      <c r="O554" s="37"/>
      <c r="P554" s="38"/>
      <c r="Q554" s="37"/>
      <c r="R554" s="17"/>
    </row>
    <row r="555" customFormat="false" ht="15" hidden="false" customHeight="false" outlineLevel="0" collapsed="false">
      <c r="A555" s="37"/>
      <c r="B555" s="37"/>
      <c r="C555" s="41" t="str">
        <f aca="false">IF($B555="","",IFERROR(INDEX('LEAD MASTER'!$E$3:$E$402,MATCH($B555,'LEAD MASTER'!$A$3:$A$402,0)),"Lead ID not found"))</f>
        <v/>
      </c>
      <c r="D555" s="17"/>
      <c r="E555" s="17"/>
      <c r="F555" s="37"/>
      <c r="G555" s="37"/>
      <c r="H555" s="17"/>
      <c r="I555" s="37"/>
      <c r="J555" s="37"/>
      <c r="K555" s="37"/>
      <c r="L555" s="17"/>
      <c r="M555" s="37"/>
      <c r="N555" s="37"/>
      <c r="O555" s="37"/>
      <c r="P555" s="38"/>
      <c r="Q555" s="37"/>
      <c r="R555" s="17"/>
    </row>
    <row r="556" customFormat="false" ht="15" hidden="false" customHeight="false" outlineLevel="0" collapsed="false">
      <c r="A556" s="37"/>
      <c r="B556" s="37"/>
      <c r="C556" s="41" t="str">
        <f aca="false">IF($B556="","",IFERROR(INDEX('LEAD MASTER'!$E$3:$E$402,MATCH($B556,'LEAD MASTER'!$A$3:$A$402,0)),"Lead ID not found"))</f>
        <v/>
      </c>
      <c r="D556" s="17"/>
      <c r="E556" s="17"/>
      <c r="F556" s="37"/>
      <c r="G556" s="37"/>
      <c r="H556" s="17"/>
      <c r="I556" s="37"/>
      <c r="J556" s="37"/>
      <c r="K556" s="37"/>
      <c r="L556" s="17"/>
      <c r="M556" s="37"/>
      <c r="N556" s="37"/>
      <c r="O556" s="37"/>
      <c r="P556" s="38"/>
      <c r="Q556" s="37"/>
      <c r="R556" s="17"/>
    </row>
    <row r="557" customFormat="false" ht="15" hidden="false" customHeight="false" outlineLevel="0" collapsed="false">
      <c r="A557" s="37"/>
      <c r="B557" s="37"/>
      <c r="C557" s="41" t="str">
        <f aca="false">IF($B557="","",IFERROR(INDEX('LEAD MASTER'!$E$3:$E$402,MATCH($B557,'LEAD MASTER'!$A$3:$A$402,0)),"Lead ID not found"))</f>
        <v/>
      </c>
      <c r="D557" s="17"/>
      <c r="E557" s="17"/>
      <c r="F557" s="37"/>
      <c r="G557" s="37"/>
      <c r="H557" s="17"/>
      <c r="I557" s="37"/>
      <c r="J557" s="37"/>
      <c r="K557" s="37"/>
      <c r="L557" s="17"/>
      <c r="M557" s="37"/>
      <c r="N557" s="37"/>
      <c r="O557" s="37"/>
      <c r="P557" s="38"/>
      <c r="Q557" s="37"/>
      <c r="R557" s="17"/>
    </row>
    <row r="558" customFormat="false" ht="15" hidden="false" customHeight="false" outlineLevel="0" collapsed="false">
      <c r="A558" s="37"/>
      <c r="B558" s="37"/>
      <c r="C558" s="41" t="str">
        <f aca="false">IF($B558="","",IFERROR(INDEX('LEAD MASTER'!$E$3:$E$402,MATCH($B558,'LEAD MASTER'!$A$3:$A$402,0)),"Lead ID not found"))</f>
        <v/>
      </c>
      <c r="D558" s="17"/>
      <c r="E558" s="17"/>
      <c r="F558" s="37"/>
      <c r="G558" s="37"/>
      <c r="H558" s="17"/>
      <c r="I558" s="37"/>
      <c r="J558" s="37"/>
      <c r="K558" s="37"/>
      <c r="L558" s="17"/>
      <c r="M558" s="37"/>
      <c r="N558" s="37"/>
      <c r="O558" s="37"/>
      <c r="P558" s="38"/>
      <c r="Q558" s="37"/>
      <c r="R558" s="17"/>
    </row>
    <row r="559" customFormat="false" ht="15" hidden="false" customHeight="false" outlineLevel="0" collapsed="false">
      <c r="A559" s="37"/>
      <c r="B559" s="37"/>
      <c r="C559" s="41" t="str">
        <f aca="false">IF($B559="","",IFERROR(INDEX('LEAD MASTER'!$E$3:$E$402,MATCH($B559,'LEAD MASTER'!$A$3:$A$402,0)),"Lead ID not found"))</f>
        <v/>
      </c>
      <c r="D559" s="17"/>
      <c r="E559" s="17"/>
      <c r="F559" s="37"/>
      <c r="G559" s="37"/>
      <c r="H559" s="17"/>
      <c r="I559" s="37"/>
      <c r="J559" s="37"/>
      <c r="K559" s="37"/>
      <c r="L559" s="17"/>
      <c r="M559" s="37"/>
      <c r="N559" s="37"/>
      <c r="O559" s="37"/>
      <c r="P559" s="38"/>
      <c r="Q559" s="37"/>
      <c r="R559" s="17"/>
    </row>
    <row r="560" customFormat="false" ht="15" hidden="false" customHeight="false" outlineLevel="0" collapsed="false">
      <c r="A560" s="37"/>
      <c r="B560" s="37"/>
      <c r="C560" s="41" t="str">
        <f aca="false">IF($B560="","",IFERROR(INDEX('LEAD MASTER'!$E$3:$E$402,MATCH($B560,'LEAD MASTER'!$A$3:$A$402,0)),"Lead ID not found"))</f>
        <v/>
      </c>
      <c r="D560" s="17"/>
      <c r="E560" s="17"/>
      <c r="F560" s="37"/>
      <c r="G560" s="37"/>
      <c r="H560" s="17"/>
      <c r="I560" s="37"/>
      <c r="J560" s="37"/>
      <c r="K560" s="37"/>
      <c r="L560" s="17"/>
      <c r="M560" s="37"/>
      <c r="N560" s="37"/>
      <c r="O560" s="37"/>
      <c r="P560" s="38"/>
      <c r="Q560" s="37"/>
      <c r="R560" s="17"/>
    </row>
    <row r="561" customFormat="false" ht="15" hidden="false" customHeight="false" outlineLevel="0" collapsed="false">
      <c r="A561" s="37"/>
      <c r="B561" s="37"/>
      <c r="C561" s="41" t="str">
        <f aca="false">IF($B561="","",IFERROR(INDEX('LEAD MASTER'!$E$3:$E$402,MATCH($B561,'LEAD MASTER'!$A$3:$A$402,0)),"Lead ID not found"))</f>
        <v/>
      </c>
      <c r="D561" s="17"/>
      <c r="E561" s="17"/>
      <c r="F561" s="37"/>
      <c r="G561" s="37"/>
      <c r="H561" s="17"/>
      <c r="I561" s="37"/>
      <c r="J561" s="37"/>
      <c r="K561" s="37"/>
      <c r="L561" s="17"/>
      <c r="M561" s="37"/>
      <c r="N561" s="37"/>
      <c r="O561" s="37"/>
      <c r="P561" s="38"/>
      <c r="Q561" s="37"/>
      <c r="R561" s="17"/>
    </row>
    <row r="562" customFormat="false" ht="15" hidden="false" customHeight="false" outlineLevel="0" collapsed="false">
      <c r="A562" s="37"/>
      <c r="B562" s="37"/>
      <c r="C562" s="41" t="str">
        <f aca="false">IF($B562="","",IFERROR(INDEX('LEAD MASTER'!$E$3:$E$402,MATCH($B562,'LEAD MASTER'!$A$3:$A$402,0)),"Lead ID not found"))</f>
        <v/>
      </c>
      <c r="D562" s="17"/>
      <c r="E562" s="17"/>
      <c r="F562" s="37"/>
      <c r="G562" s="37"/>
      <c r="H562" s="17"/>
      <c r="I562" s="37"/>
      <c r="J562" s="37"/>
      <c r="K562" s="37"/>
      <c r="L562" s="17"/>
      <c r="M562" s="37"/>
      <c r="N562" s="37"/>
      <c r="O562" s="37"/>
      <c r="P562" s="38"/>
      <c r="Q562" s="37"/>
      <c r="R562" s="17"/>
    </row>
    <row r="563" customFormat="false" ht="15" hidden="false" customHeight="false" outlineLevel="0" collapsed="false">
      <c r="A563" s="37"/>
      <c r="B563" s="37"/>
      <c r="C563" s="41" t="str">
        <f aca="false">IF($B563="","",IFERROR(INDEX('LEAD MASTER'!$E$3:$E$402,MATCH($B563,'LEAD MASTER'!$A$3:$A$402,0)),"Lead ID not found"))</f>
        <v/>
      </c>
      <c r="D563" s="17"/>
      <c r="E563" s="17"/>
      <c r="F563" s="37"/>
      <c r="G563" s="37"/>
      <c r="H563" s="17"/>
      <c r="I563" s="37"/>
      <c r="J563" s="37"/>
      <c r="K563" s="37"/>
      <c r="L563" s="17"/>
      <c r="M563" s="37"/>
      <c r="N563" s="37"/>
      <c r="O563" s="37"/>
      <c r="P563" s="38"/>
      <c r="Q563" s="37"/>
      <c r="R563" s="17"/>
    </row>
    <row r="564" customFormat="false" ht="15" hidden="false" customHeight="false" outlineLevel="0" collapsed="false">
      <c r="A564" s="37"/>
      <c r="B564" s="37"/>
      <c r="C564" s="41" t="str">
        <f aca="false">IF($B564="","",IFERROR(INDEX('LEAD MASTER'!$E$3:$E$402,MATCH($B564,'LEAD MASTER'!$A$3:$A$402,0)),"Lead ID not found"))</f>
        <v/>
      </c>
      <c r="D564" s="17"/>
      <c r="E564" s="17"/>
      <c r="F564" s="37"/>
      <c r="G564" s="37"/>
      <c r="H564" s="17"/>
      <c r="I564" s="37"/>
      <c r="J564" s="37"/>
      <c r="K564" s="37"/>
      <c r="L564" s="17"/>
      <c r="M564" s="37"/>
      <c r="N564" s="37"/>
      <c r="O564" s="37"/>
      <c r="P564" s="38"/>
      <c r="Q564" s="37"/>
      <c r="R564" s="17"/>
    </row>
    <row r="565" customFormat="false" ht="15" hidden="false" customHeight="false" outlineLevel="0" collapsed="false">
      <c r="A565" s="37"/>
      <c r="B565" s="37"/>
      <c r="C565" s="41" t="str">
        <f aca="false">IF($B565="","",IFERROR(INDEX('LEAD MASTER'!$E$3:$E$402,MATCH($B565,'LEAD MASTER'!$A$3:$A$402,0)),"Lead ID not found"))</f>
        <v/>
      </c>
      <c r="D565" s="17"/>
      <c r="E565" s="17"/>
      <c r="F565" s="37"/>
      <c r="G565" s="37"/>
      <c r="H565" s="17"/>
      <c r="I565" s="37"/>
      <c r="J565" s="37"/>
      <c r="K565" s="37"/>
      <c r="L565" s="17"/>
      <c r="M565" s="37"/>
      <c r="N565" s="37"/>
      <c r="O565" s="37"/>
      <c r="P565" s="38"/>
      <c r="Q565" s="37"/>
      <c r="R565" s="17"/>
    </row>
    <row r="566" customFormat="false" ht="15" hidden="false" customHeight="false" outlineLevel="0" collapsed="false">
      <c r="A566" s="37"/>
      <c r="B566" s="37"/>
      <c r="C566" s="41" t="str">
        <f aca="false">IF($B566="","",IFERROR(INDEX('LEAD MASTER'!$E$3:$E$402,MATCH($B566,'LEAD MASTER'!$A$3:$A$402,0)),"Lead ID not found"))</f>
        <v/>
      </c>
      <c r="D566" s="17"/>
      <c r="E566" s="17"/>
      <c r="F566" s="37"/>
      <c r="G566" s="37"/>
      <c r="H566" s="17"/>
      <c r="I566" s="37"/>
      <c r="J566" s="37"/>
      <c r="K566" s="37"/>
      <c r="L566" s="17"/>
      <c r="M566" s="37"/>
      <c r="N566" s="37"/>
      <c r="O566" s="37"/>
      <c r="P566" s="38"/>
      <c r="Q566" s="37"/>
      <c r="R566" s="17"/>
    </row>
    <row r="567" customFormat="false" ht="15" hidden="false" customHeight="false" outlineLevel="0" collapsed="false">
      <c r="A567" s="37"/>
      <c r="B567" s="37"/>
      <c r="C567" s="41" t="str">
        <f aca="false">IF($B567="","",IFERROR(INDEX('LEAD MASTER'!$E$3:$E$402,MATCH($B567,'LEAD MASTER'!$A$3:$A$402,0)),"Lead ID not found"))</f>
        <v/>
      </c>
      <c r="D567" s="17"/>
      <c r="E567" s="17"/>
      <c r="F567" s="37"/>
      <c r="G567" s="37"/>
      <c r="H567" s="17"/>
      <c r="I567" s="37"/>
      <c r="J567" s="37"/>
      <c r="K567" s="37"/>
      <c r="L567" s="17"/>
      <c r="M567" s="37"/>
      <c r="N567" s="37"/>
      <c r="O567" s="37"/>
      <c r="P567" s="38"/>
      <c r="Q567" s="37"/>
      <c r="R567" s="17"/>
    </row>
    <row r="568" customFormat="false" ht="15" hidden="false" customHeight="false" outlineLevel="0" collapsed="false">
      <c r="A568" s="37"/>
      <c r="B568" s="37"/>
      <c r="C568" s="41" t="str">
        <f aca="false">IF($B568="","",IFERROR(INDEX('LEAD MASTER'!$E$3:$E$402,MATCH($B568,'LEAD MASTER'!$A$3:$A$402,0)),"Lead ID not found"))</f>
        <v/>
      </c>
      <c r="D568" s="17"/>
      <c r="E568" s="17"/>
      <c r="F568" s="37"/>
      <c r="G568" s="37"/>
      <c r="H568" s="17"/>
      <c r="I568" s="37"/>
      <c r="J568" s="37"/>
      <c r="K568" s="37"/>
      <c r="L568" s="17"/>
      <c r="M568" s="37"/>
      <c r="N568" s="37"/>
      <c r="O568" s="37"/>
      <c r="P568" s="38"/>
      <c r="Q568" s="37"/>
      <c r="R568" s="17"/>
    </row>
    <row r="569" customFormat="false" ht="15" hidden="false" customHeight="false" outlineLevel="0" collapsed="false">
      <c r="A569" s="37"/>
      <c r="B569" s="37"/>
      <c r="C569" s="41" t="str">
        <f aca="false">IF($B569="","",IFERROR(INDEX('LEAD MASTER'!$E$3:$E$402,MATCH($B569,'LEAD MASTER'!$A$3:$A$402,0)),"Lead ID not found"))</f>
        <v/>
      </c>
      <c r="D569" s="17"/>
      <c r="E569" s="17"/>
      <c r="F569" s="37"/>
      <c r="G569" s="37"/>
      <c r="H569" s="17"/>
      <c r="I569" s="37"/>
      <c r="J569" s="37"/>
      <c r="K569" s="37"/>
      <c r="L569" s="17"/>
      <c r="M569" s="37"/>
      <c r="N569" s="37"/>
      <c r="O569" s="37"/>
      <c r="P569" s="38"/>
      <c r="Q569" s="37"/>
      <c r="R569" s="17"/>
    </row>
    <row r="570" customFormat="false" ht="15" hidden="false" customHeight="false" outlineLevel="0" collapsed="false">
      <c r="A570" s="37"/>
      <c r="B570" s="37"/>
      <c r="C570" s="41" t="str">
        <f aca="false">IF($B570="","",IFERROR(INDEX('LEAD MASTER'!$E$3:$E$402,MATCH($B570,'LEAD MASTER'!$A$3:$A$402,0)),"Lead ID not found"))</f>
        <v/>
      </c>
      <c r="D570" s="17"/>
      <c r="E570" s="17"/>
      <c r="F570" s="37"/>
      <c r="G570" s="37"/>
      <c r="H570" s="17"/>
      <c r="I570" s="37"/>
      <c r="J570" s="37"/>
      <c r="K570" s="37"/>
      <c r="L570" s="17"/>
      <c r="M570" s="37"/>
      <c r="N570" s="37"/>
      <c r="O570" s="37"/>
      <c r="P570" s="38"/>
      <c r="Q570" s="37"/>
      <c r="R570" s="17"/>
    </row>
    <row r="571" customFormat="false" ht="15" hidden="false" customHeight="false" outlineLevel="0" collapsed="false">
      <c r="A571" s="37"/>
      <c r="B571" s="37"/>
      <c r="C571" s="41" t="str">
        <f aca="false">IF($B571="","",IFERROR(INDEX('LEAD MASTER'!$E$3:$E$402,MATCH($B571,'LEAD MASTER'!$A$3:$A$402,0)),"Lead ID not found"))</f>
        <v/>
      </c>
      <c r="D571" s="17"/>
      <c r="E571" s="17"/>
      <c r="F571" s="37"/>
      <c r="G571" s="37"/>
      <c r="H571" s="17"/>
      <c r="I571" s="37"/>
      <c r="J571" s="37"/>
      <c r="K571" s="37"/>
      <c r="L571" s="17"/>
      <c r="M571" s="37"/>
      <c r="N571" s="37"/>
      <c r="O571" s="37"/>
      <c r="P571" s="38"/>
      <c r="Q571" s="37"/>
      <c r="R571" s="17"/>
    </row>
    <row r="572" customFormat="false" ht="15" hidden="false" customHeight="false" outlineLevel="0" collapsed="false">
      <c r="A572" s="37"/>
      <c r="B572" s="37"/>
      <c r="C572" s="41" t="str">
        <f aca="false">IF($B572="","",IFERROR(INDEX('LEAD MASTER'!$E$3:$E$402,MATCH($B572,'LEAD MASTER'!$A$3:$A$402,0)),"Lead ID not found"))</f>
        <v/>
      </c>
      <c r="D572" s="17"/>
      <c r="E572" s="17"/>
      <c r="F572" s="37"/>
      <c r="G572" s="37"/>
      <c r="H572" s="17"/>
      <c r="I572" s="37"/>
      <c r="J572" s="37"/>
      <c r="K572" s="37"/>
      <c r="L572" s="17"/>
      <c r="M572" s="37"/>
      <c r="N572" s="37"/>
      <c r="O572" s="37"/>
      <c r="P572" s="38"/>
      <c r="Q572" s="37"/>
      <c r="R572" s="17"/>
    </row>
    <row r="573" customFormat="false" ht="15" hidden="false" customHeight="false" outlineLevel="0" collapsed="false">
      <c r="A573" s="37"/>
      <c r="B573" s="37"/>
      <c r="C573" s="41" t="str">
        <f aca="false">IF($B573="","",IFERROR(INDEX('LEAD MASTER'!$E$3:$E$402,MATCH($B573,'LEAD MASTER'!$A$3:$A$402,0)),"Lead ID not found"))</f>
        <v/>
      </c>
      <c r="D573" s="17"/>
      <c r="E573" s="17"/>
      <c r="F573" s="37"/>
      <c r="G573" s="37"/>
      <c r="H573" s="17"/>
      <c r="I573" s="37"/>
      <c r="J573" s="37"/>
      <c r="K573" s="37"/>
      <c r="L573" s="17"/>
      <c r="M573" s="37"/>
      <c r="N573" s="37"/>
      <c r="O573" s="37"/>
      <c r="P573" s="38"/>
      <c r="Q573" s="37"/>
      <c r="R573" s="17"/>
    </row>
    <row r="574" customFormat="false" ht="15" hidden="false" customHeight="false" outlineLevel="0" collapsed="false">
      <c r="A574" s="37"/>
      <c r="B574" s="37"/>
      <c r="C574" s="41" t="str">
        <f aca="false">IF($B574="","",IFERROR(INDEX('LEAD MASTER'!$E$3:$E$402,MATCH($B574,'LEAD MASTER'!$A$3:$A$402,0)),"Lead ID not found"))</f>
        <v/>
      </c>
      <c r="D574" s="17"/>
      <c r="E574" s="17"/>
      <c r="F574" s="37"/>
      <c r="G574" s="37"/>
      <c r="H574" s="17"/>
      <c r="I574" s="37"/>
      <c r="J574" s="37"/>
      <c r="K574" s="37"/>
      <c r="L574" s="17"/>
      <c r="M574" s="37"/>
      <c r="N574" s="37"/>
      <c r="O574" s="37"/>
      <c r="P574" s="38"/>
      <c r="Q574" s="37"/>
      <c r="R574" s="17"/>
    </row>
    <row r="575" customFormat="false" ht="15" hidden="false" customHeight="false" outlineLevel="0" collapsed="false">
      <c r="A575" s="37"/>
      <c r="B575" s="37"/>
      <c r="C575" s="41" t="str">
        <f aca="false">IF($B575="","",IFERROR(INDEX('LEAD MASTER'!$E$3:$E$402,MATCH($B575,'LEAD MASTER'!$A$3:$A$402,0)),"Lead ID not found"))</f>
        <v/>
      </c>
      <c r="D575" s="17"/>
      <c r="E575" s="17"/>
      <c r="F575" s="37"/>
      <c r="G575" s="37"/>
      <c r="H575" s="17"/>
      <c r="I575" s="37"/>
      <c r="J575" s="37"/>
      <c r="K575" s="37"/>
      <c r="L575" s="17"/>
      <c r="M575" s="37"/>
      <c r="N575" s="37"/>
      <c r="O575" s="37"/>
      <c r="P575" s="38"/>
      <c r="Q575" s="37"/>
      <c r="R575" s="17"/>
    </row>
    <row r="576" customFormat="false" ht="15" hidden="false" customHeight="false" outlineLevel="0" collapsed="false">
      <c r="A576" s="37"/>
      <c r="B576" s="37"/>
      <c r="C576" s="41" t="str">
        <f aca="false">IF($B576="","",IFERROR(INDEX('LEAD MASTER'!$E$3:$E$402,MATCH($B576,'LEAD MASTER'!$A$3:$A$402,0)),"Lead ID not found"))</f>
        <v/>
      </c>
      <c r="D576" s="17"/>
      <c r="E576" s="17"/>
      <c r="F576" s="37"/>
      <c r="G576" s="37"/>
      <c r="H576" s="17"/>
      <c r="I576" s="37"/>
      <c r="J576" s="37"/>
      <c r="K576" s="37"/>
      <c r="L576" s="17"/>
      <c r="M576" s="37"/>
      <c r="N576" s="37"/>
      <c r="O576" s="37"/>
      <c r="P576" s="38"/>
      <c r="Q576" s="37"/>
      <c r="R576" s="17"/>
    </row>
    <row r="577" customFormat="false" ht="15" hidden="false" customHeight="false" outlineLevel="0" collapsed="false">
      <c r="A577" s="37"/>
      <c r="B577" s="37"/>
      <c r="C577" s="41" t="str">
        <f aca="false">IF($B577="","",IFERROR(INDEX('LEAD MASTER'!$E$3:$E$402,MATCH($B577,'LEAD MASTER'!$A$3:$A$402,0)),"Lead ID not found"))</f>
        <v/>
      </c>
      <c r="D577" s="17"/>
      <c r="E577" s="17"/>
      <c r="F577" s="37"/>
      <c r="G577" s="37"/>
      <c r="H577" s="17"/>
      <c r="I577" s="37"/>
      <c r="J577" s="37"/>
      <c r="K577" s="37"/>
      <c r="L577" s="17"/>
      <c r="M577" s="37"/>
      <c r="N577" s="37"/>
      <c r="O577" s="37"/>
      <c r="P577" s="38"/>
      <c r="Q577" s="37"/>
      <c r="R577" s="17"/>
    </row>
    <row r="578" customFormat="false" ht="15" hidden="false" customHeight="false" outlineLevel="0" collapsed="false">
      <c r="A578" s="37"/>
      <c r="B578" s="37"/>
      <c r="C578" s="41" t="str">
        <f aca="false">IF($B578="","",IFERROR(INDEX('LEAD MASTER'!$E$3:$E$402,MATCH($B578,'LEAD MASTER'!$A$3:$A$402,0)),"Lead ID not found"))</f>
        <v/>
      </c>
      <c r="D578" s="17"/>
      <c r="E578" s="17"/>
      <c r="F578" s="37"/>
      <c r="G578" s="37"/>
      <c r="H578" s="17"/>
      <c r="I578" s="37"/>
      <c r="J578" s="37"/>
      <c r="K578" s="37"/>
      <c r="L578" s="17"/>
      <c r="M578" s="37"/>
      <c r="N578" s="37"/>
      <c r="O578" s="37"/>
      <c r="P578" s="38"/>
      <c r="Q578" s="37"/>
      <c r="R578" s="17"/>
    </row>
    <row r="579" customFormat="false" ht="15" hidden="false" customHeight="false" outlineLevel="0" collapsed="false">
      <c r="A579" s="37"/>
      <c r="B579" s="37"/>
      <c r="C579" s="41" t="str">
        <f aca="false">IF($B579="","",IFERROR(INDEX('LEAD MASTER'!$E$3:$E$402,MATCH($B579,'LEAD MASTER'!$A$3:$A$402,0)),"Lead ID not found"))</f>
        <v/>
      </c>
      <c r="D579" s="17"/>
      <c r="E579" s="17"/>
      <c r="F579" s="37"/>
      <c r="G579" s="37"/>
      <c r="H579" s="17"/>
      <c r="I579" s="37"/>
      <c r="J579" s="37"/>
      <c r="K579" s="37"/>
      <c r="L579" s="17"/>
      <c r="M579" s="37"/>
      <c r="N579" s="37"/>
      <c r="O579" s="37"/>
      <c r="P579" s="38"/>
      <c r="Q579" s="37"/>
      <c r="R579" s="17"/>
    </row>
    <row r="580" customFormat="false" ht="15" hidden="false" customHeight="false" outlineLevel="0" collapsed="false">
      <c r="A580" s="37"/>
      <c r="B580" s="37"/>
      <c r="C580" s="41" t="str">
        <f aca="false">IF($B580="","",IFERROR(INDEX('LEAD MASTER'!$E$3:$E$402,MATCH($B580,'LEAD MASTER'!$A$3:$A$402,0)),"Lead ID not found"))</f>
        <v/>
      </c>
      <c r="D580" s="17"/>
      <c r="E580" s="17"/>
      <c r="F580" s="37"/>
      <c r="G580" s="37"/>
      <c r="H580" s="17"/>
      <c r="I580" s="37"/>
      <c r="J580" s="37"/>
      <c r="K580" s="37"/>
      <c r="L580" s="17"/>
      <c r="M580" s="37"/>
      <c r="N580" s="37"/>
      <c r="O580" s="37"/>
      <c r="P580" s="38"/>
      <c r="Q580" s="37"/>
      <c r="R580" s="17"/>
    </row>
    <row r="581" customFormat="false" ht="15" hidden="false" customHeight="false" outlineLevel="0" collapsed="false">
      <c r="A581" s="37"/>
      <c r="B581" s="37"/>
      <c r="C581" s="41" t="str">
        <f aca="false">IF($B581="","",IFERROR(INDEX('LEAD MASTER'!$E$3:$E$402,MATCH($B581,'LEAD MASTER'!$A$3:$A$402,0)),"Lead ID not found"))</f>
        <v/>
      </c>
      <c r="D581" s="17"/>
      <c r="E581" s="17"/>
      <c r="F581" s="37"/>
      <c r="G581" s="37"/>
      <c r="H581" s="17"/>
      <c r="I581" s="37"/>
      <c r="J581" s="37"/>
      <c r="K581" s="37"/>
      <c r="L581" s="17"/>
      <c r="M581" s="37"/>
      <c r="N581" s="37"/>
      <c r="O581" s="37"/>
      <c r="P581" s="38"/>
      <c r="Q581" s="37"/>
      <c r="R581" s="17"/>
    </row>
    <row r="582" customFormat="false" ht="15" hidden="false" customHeight="false" outlineLevel="0" collapsed="false">
      <c r="A582" s="37"/>
      <c r="B582" s="37"/>
      <c r="C582" s="41" t="str">
        <f aca="false">IF($B582="","",IFERROR(INDEX('LEAD MASTER'!$E$3:$E$402,MATCH($B582,'LEAD MASTER'!$A$3:$A$402,0)),"Lead ID not found"))</f>
        <v/>
      </c>
      <c r="D582" s="17"/>
      <c r="E582" s="17"/>
      <c r="F582" s="37"/>
      <c r="G582" s="37"/>
      <c r="H582" s="17"/>
      <c r="I582" s="37"/>
      <c r="J582" s="37"/>
      <c r="K582" s="37"/>
      <c r="L582" s="17"/>
      <c r="M582" s="37"/>
      <c r="N582" s="37"/>
      <c r="O582" s="37"/>
      <c r="P582" s="38"/>
      <c r="Q582" s="37"/>
      <c r="R582" s="17"/>
    </row>
    <row r="583" customFormat="false" ht="15" hidden="false" customHeight="false" outlineLevel="0" collapsed="false">
      <c r="A583" s="37"/>
      <c r="B583" s="37"/>
      <c r="C583" s="41" t="str">
        <f aca="false">IF($B583="","",IFERROR(INDEX('LEAD MASTER'!$E$3:$E$402,MATCH($B583,'LEAD MASTER'!$A$3:$A$402,0)),"Lead ID not found"))</f>
        <v/>
      </c>
      <c r="D583" s="17"/>
      <c r="E583" s="17"/>
      <c r="F583" s="37"/>
      <c r="G583" s="37"/>
      <c r="H583" s="17"/>
      <c r="I583" s="37"/>
      <c r="J583" s="37"/>
      <c r="K583" s="37"/>
      <c r="L583" s="17"/>
      <c r="M583" s="37"/>
      <c r="N583" s="37"/>
      <c r="O583" s="37"/>
      <c r="P583" s="38"/>
      <c r="Q583" s="37"/>
      <c r="R583" s="17"/>
    </row>
    <row r="584" customFormat="false" ht="15" hidden="false" customHeight="false" outlineLevel="0" collapsed="false">
      <c r="A584" s="37"/>
      <c r="B584" s="37"/>
      <c r="C584" s="41" t="str">
        <f aca="false">IF($B584="","",IFERROR(INDEX('LEAD MASTER'!$E$3:$E$402,MATCH($B584,'LEAD MASTER'!$A$3:$A$402,0)),"Lead ID not found"))</f>
        <v/>
      </c>
      <c r="D584" s="17"/>
      <c r="E584" s="17"/>
      <c r="F584" s="37"/>
      <c r="G584" s="37"/>
      <c r="H584" s="17"/>
      <c r="I584" s="37"/>
      <c r="J584" s="37"/>
      <c r="K584" s="37"/>
      <c r="L584" s="17"/>
      <c r="M584" s="37"/>
      <c r="N584" s="37"/>
      <c r="O584" s="37"/>
      <c r="P584" s="38"/>
      <c r="Q584" s="37"/>
      <c r="R584" s="17"/>
    </row>
    <row r="585" customFormat="false" ht="15" hidden="false" customHeight="false" outlineLevel="0" collapsed="false">
      <c r="A585" s="37"/>
      <c r="B585" s="37"/>
      <c r="C585" s="41" t="str">
        <f aca="false">IF($B585="","",IFERROR(INDEX('LEAD MASTER'!$E$3:$E$402,MATCH($B585,'LEAD MASTER'!$A$3:$A$402,0)),"Lead ID not found"))</f>
        <v/>
      </c>
      <c r="D585" s="17"/>
      <c r="E585" s="17"/>
      <c r="F585" s="37"/>
      <c r="G585" s="37"/>
      <c r="H585" s="17"/>
      <c r="I585" s="37"/>
      <c r="J585" s="37"/>
      <c r="K585" s="37"/>
      <c r="L585" s="17"/>
      <c r="M585" s="37"/>
      <c r="N585" s="37"/>
      <c r="O585" s="37"/>
      <c r="P585" s="38"/>
      <c r="Q585" s="37"/>
      <c r="R585" s="17"/>
    </row>
    <row r="586" customFormat="false" ht="15" hidden="false" customHeight="false" outlineLevel="0" collapsed="false">
      <c r="A586" s="37"/>
      <c r="B586" s="37"/>
      <c r="C586" s="41" t="str">
        <f aca="false">IF($B586="","",IFERROR(INDEX('LEAD MASTER'!$E$3:$E$402,MATCH($B586,'LEAD MASTER'!$A$3:$A$402,0)),"Lead ID not found"))</f>
        <v/>
      </c>
      <c r="D586" s="17"/>
      <c r="E586" s="17"/>
      <c r="F586" s="37"/>
      <c r="G586" s="37"/>
      <c r="H586" s="17"/>
      <c r="I586" s="37"/>
      <c r="J586" s="37"/>
      <c r="K586" s="37"/>
      <c r="L586" s="17"/>
      <c r="M586" s="37"/>
      <c r="N586" s="37"/>
      <c r="O586" s="37"/>
      <c r="P586" s="38"/>
      <c r="Q586" s="37"/>
      <c r="R586" s="17"/>
    </row>
    <row r="587" customFormat="false" ht="15" hidden="false" customHeight="false" outlineLevel="0" collapsed="false">
      <c r="A587" s="37"/>
      <c r="B587" s="37"/>
      <c r="C587" s="41" t="str">
        <f aca="false">IF($B587="","",IFERROR(INDEX('LEAD MASTER'!$E$3:$E$402,MATCH($B587,'LEAD MASTER'!$A$3:$A$402,0)),"Lead ID not found"))</f>
        <v/>
      </c>
      <c r="D587" s="17"/>
      <c r="E587" s="17"/>
      <c r="F587" s="37"/>
      <c r="G587" s="37"/>
      <c r="H587" s="17"/>
      <c r="I587" s="37"/>
      <c r="J587" s="37"/>
      <c r="K587" s="37"/>
      <c r="L587" s="17"/>
      <c r="M587" s="37"/>
      <c r="N587" s="37"/>
      <c r="O587" s="37"/>
      <c r="P587" s="38"/>
      <c r="Q587" s="37"/>
      <c r="R587" s="17"/>
    </row>
    <row r="588" customFormat="false" ht="15" hidden="false" customHeight="false" outlineLevel="0" collapsed="false">
      <c r="A588" s="37"/>
      <c r="B588" s="37"/>
      <c r="C588" s="41" t="str">
        <f aca="false">IF($B588="","",IFERROR(INDEX('LEAD MASTER'!$E$3:$E$402,MATCH($B588,'LEAD MASTER'!$A$3:$A$402,0)),"Lead ID not found"))</f>
        <v/>
      </c>
      <c r="D588" s="17"/>
      <c r="E588" s="17"/>
      <c r="F588" s="37"/>
      <c r="G588" s="37"/>
      <c r="H588" s="17"/>
      <c r="I588" s="37"/>
      <c r="J588" s="37"/>
      <c r="K588" s="37"/>
      <c r="L588" s="17"/>
      <c r="M588" s="37"/>
      <c r="N588" s="37"/>
      <c r="O588" s="37"/>
      <c r="P588" s="38"/>
      <c r="Q588" s="37"/>
      <c r="R588" s="17"/>
    </row>
    <row r="589" customFormat="false" ht="15" hidden="false" customHeight="false" outlineLevel="0" collapsed="false">
      <c r="A589" s="37"/>
      <c r="B589" s="37"/>
      <c r="C589" s="41" t="str">
        <f aca="false">IF($B589="","",IFERROR(INDEX('LEAD MASTER'!$E$3:$E$402,MATCH($B589,'LEAD MASTER'!$A$3:$A$402,0)),"Lead ID not found"))</f>
        <v/>
      </c>
      <c r="D589" s="17"/>
      <c r="E589" s="17"/>
      <c r="F589" s="37"/>
      <c r="G589" s="37"/>
      <c r="H589" s="17"/>
      <c r="I589" s="37"/>
      <c r="J589" s="37"/>
      <c r="K589" s="37"/>
      <c r="L589" s="17"/>
      <c r="M589" s="37"/>
      <c r="N589" s="37"/>
      <c r="O589" s="37"/>
      <c r="P589" s="38"/>
      <c r="Q589" s="37"/>
      <c r="R589" s="17"/>
    </row>
    <row r="590" customFormat="false" ht="15" hidden="false" customHeight="false" outlineLevel="0" collapsed="false">
      <c r="A590" s="37"/>
      <c r="B590" s="37"/>
      <c r="C590" s="41" t="str">
        <f aca="false">IF($B590="","",IFERROR(INDEX('LEAD MASTER'!$E$3:$E$402,MATCH($B590,'LEAD MASTER'!$A$3:$A$402,0)),"Lead ID not found"))</f>
        <v/>
      </c>
      <c r="D590" s="17"/>
      <c r="E590" s="17"/>
      <c r="F590" s="37"/>
      <c r="G590" s="37"/>
      <c r="H590" s="17"/>
      <c r="I590" s="37"/>
      <c r="J590" s="37"/>
      <c r="K590" s="37"/>
      <c r="L590" s="17"/>
      <c r="M590" s="37"/>
      <c r="N590" s="37"/>
      <c r="O590" s="37"/>
      <c r="P590" s="38"/>
      <c r="Q590" s="37"/>
      <c r="R590" s="17"/>
    </row>
    <row r="591" customFormat="false" ht="15" hidden="false" customHeight="false" outlineLevel="0" collapsed="false">
      <c r="A591" s="37"/>
      <c r="B591" s="37"/>
      <c r="C591" s="41" t="str">
        <f aca="false">IF($B591="","",IFERROR(INDEX('LEAD MASTER'!$E$3:$E$402,MATCH($B591,'LEAD MASTER'!$A$3:$A$402,0)),"Lead ID not found"))</f>
        <v/>
      </c>
      <c r="D591" s="17"/>
      <c r="E591" s="17"/>
      <c r="F591" s="37"/>
      <c r="G591" s="37"/>
      <c r="H591" s="17"/>
      <c r="I591" s="37"/>
      <c r="J591" s="37"/>
      <c r="K591" s="37"/>
      <c r="L591" s="17"/>
      <c r="M591" s="37"/>
      <c r="N591" s="37"/>
      <c r="O591" s="37"/>
      <c r="P591" s="38"/>
      <c r="Q591" s="37"/>
      <c r="R591" s="17"/>
    </row>
    <row r="592" customFormat="false" ht="15" hidden="false" customHeight="false" outlineLevel="0" collapsed="false">
      <c r="A592" s="37"/>
      <c r="B592" s="37"/>
      <c r="C592" s="41" t="str">
        <f aca="false">IF($B592="","",IFERROR(INDEX('LEAD MASTER'!$E$3:$E$402,MATCH($B592,'LEAD MASTER'!$A$3:$A$402,0)),"Lead ID not found"))</f>
        <v/>
      </c>
      <c r="D592" s="17"/>
      <c r="E592" s="17"/>
      <c r="F592" s="37"/>
      <c r="G592" s="37"/>
      <c r="H592" s="17"/>
      <c r="I592" s="37"/>
      <c r="J592" s="37"/>
      <c r="K592" s="37"/>
      <c r="L592" s="17"/>
      <c r="M592" s="37"/>
      <c r="N592" s="37"/>
      <c r="O592" s="37"/>
      <c r="P592" s="38"/>
      <c r="Q592" s="37"/>
      <c r="R592" s="17"/>
    </row>
    <row r="593" customFormat="false" ht="15" hidden="false" customHeight="false" outlineLevel="0" collapsed="false">
      <c r="A593" s="37"/>
      <c r="B593" s="37"/>
      <c r="C593" s="41" t="str">
        <f aca="false">IF($B593="","",IFERROR(INDEX('LEAD MASTER'!$E$3:$E$402,MATCH($B593,'LEAD MASTER'!$A$3:$A$402,0)),"Lead ID not found"))</f>
        <v/>
      </c>
      <c r="D593" s="17"/>
      <c r="E593" s="17"/>
      <c r="F593" s="37"/>
      <c r="G593" s="37"/>
      <c r="H593" s="17"/>
      <c r="I593" s="37"/>
      <c r="J593" s="37"/>
      <c r="K593" s="37"/>
      <c r="L593" s="17"/>
      <c r="M593" s="37"/>
      <c r="N593" s="37"/>
      <c r="O593" s="37"/>
      <c r="P593" s="38"/>
      <c r="Q593" s="37"/>
      <c r="R593" s="17"/>
    </row>
    <row r="594" customFormat="false" ht="15" hidden="false" customHeight="false" outlineLevel="0" collapsed="false">
      <c r="A594" s="37"/>
      <c r="B594" s="37"/>
      <c r="C594" s="41" t="str">
        <f aca="false">IF($B594="","",IFERROR(INDEX('LEAD MASTER'!$E$3:$E$402,MATCH($B594,'LEAD MASTER'!$A$3:$A$402,0)),"Lead ID not found"))</f>
        <v/>
      </c>
      <c r="D594" s="17"/>
      <c r="E594" s="17"/>
      <c r="F594" s="37"/>
      <c r="G594" s="37"/>
      <c r="H594" s="17"/>
      <c r="I594" s="37"/>
      <c r="J594" s="37"/>
      <c r="K594" s="37"/>
      <c r="L594" s="17"/>
      <c r="M594" s="37"/>
      <c r="N594" s="37"/>
      <c r="O594" s="37"/>
      <c r="P594" s="38"/>
      <c r="Q594" s="37"/>
      <c r="R594" s="17"/>
    </row>
    <row r="595" customFormat="false" ht="15" hidden="false" customHeight="false" outlineLevel="0" collapsed="false">
      <c r="A595" s="37"/>
      <c r="B595" s="37"/>
      <c r="C595" s="41" t="str">
        <f aca="false">IF($B595="","",IFERROR(INDEX('LEAD MASTER'!$E$3:$E$402,MATCH($B595,'LEAD MASTER'!$A$3:$A$402,0)),"Lead ID not found"))</f>
        <v/>
      </c>
      <c r="D595" s="17"/>
      <c r="E595" s="17"/>
      <c r="F595" s="37"/>
      <c r="G595" s="37"/>
      <c r="H595" s="17"/>
      <c r="I595" s="37"/>
      <c r="J595" s="37"/>
      <c r="K595" s="37"/>
      <c r="L595" s="17"/>
      <c r="M595" s="37"/>
      <c r="N595" s="37"/>
      <c r="O595" s="37"/>
      <c r="P595" s="38"/>
      <c r="Q595" s="37"/>
      <c r="R595" s="17"/>
    </row>
    <row r="596" customFormat="false" ht="15" hidden="false" customHeight="false" outlineLevel="0" collapsed="false">
      <c r="A596" s="37"/>
      <c r="B596" s="37"/>
      <c r="C596" s="41" t="str">
        <f aca="false">IF($B596="","",IFERROR(INDEX('LEAD MASTER'!$E$3:$E$402,MATCH($B596,'LEAD MASTER'!$A$3:$A$402,0)),"Lead ID not found"))</f>
        <v/>
      </c>
      <c r="D596" s="17"/>
      <c r="E596" s="17"/>
      <c r="F596" s="37"/>
      <c r="G596" s="37"/>
      <c r="H596" s="17"/>
      <c r="I596" s="37"/>
      <c r="J596" s="37"/>
      <c r="K596" s="37"/>
      <c r="L596" s="17"/>
      <c r="M596" s="37"/>
      <c r="N596" s="37"/>
      <c r="O596" s="37"/>
      <c r="P596" s="38"/>
      <c r="Q596" s="37"/>
      <c r="R596" s="17"/>
    </row>
    <row r="597" customFormat="false" ht="15" hidden="false" customHeight="false" outlineLevel="0" collapsed="false">
      <c r="A597" s="37"/>
      <c r="B597" s="37"/>
      <c r="C597" s="41" t="str">
        <f aca="false">IF($B597="","",IFERROR(INDEX('LEAD MASTER'!$E$3:$E$402,MATCH($B597,'LEAD MASTER'!$A$3:$A$402,0)),"Lead ID not found"))</f>
        <v/>
      </c>
      <c r="D597" s="17"/>
      <c r="E597" s="17"/>
      <c r="F597" s="37"/>
      <c r="G597" s="37"/>
      <c r="H597" s="17"/>
      <c r="I597" s="37"/>
      <c r="J597" s="37"/>
      <c r="K597" s="37"/>
      <c r="L597" s="17"/>
      <c r="M597" s="37"/>
      <c r="N597" s="37"/>
      <c r="O597" s="37"/>
      <c r="P597" s="38"/>
      <c r="Q597" s="37"/>
      <c r="R597" s="17"/>
    </row>
    <row r="598" customFormat="false" ht="15" hidden="false" customHeight="false" outlineLevel="0" collapsed="false">
      <c r="A598" s="37"/>
      <c r="B598" s="37"/>
      <c r="C598" s="41" t="str">
        <f aca="false">IF($B598="","",IFERROR(INDEX('LEAD MASTER'!$E$3:$E$402,MATCH($B598,'LEAD MASTER'!$A$3:$A$402,0)),"Lead ID not found"))</f>
        <v/>
      </c>
      <c r="D598" s="17"/>
      <c r="E598" s="17"/>
      <c r="F598" s="37"/>
      <c r="G598" s="37"/>
      <c r="H598" s="17"/>
      <c r="I598" s="37"/>
      <c r="J598" s="37"/>
      <c r="K598" s="37"/>
      <c r="L598" s="17"/>
      <c r="M598" s="37"/>
      <c r="N598" s="37"/>
      <c r="O598" s="37"/>
      <c r="P598" s="38"/>
      <c r="Q598" s="37"/>
      <c r="R598" s="17"/>
    </row>
    <row r="599" customFormat="false" ht="15" hidden="false" customHeight="false" outlineLevel="0" collapsed="false">
      <c r="A599" s="37"/>
      <c r="B599" s="37"/>
      <c r="C599" s="41" t="str">
        <f aca="false">IF($B599="","",IFERROR(INDEX('LEAD MASTER'!$E$3:$E$402,MATCH($B599,'LEAD MASTER'!$A$3:$A$402,0)),"Lead ID not found"))</f>
        <v/>
      </c>
      <c r="D599" s="17"/>
      <c r="E599" s="17"/>
      <c r="F599" s="37"/>
      <c r="G599" s="37"/>
      <c r="H599" s="17"/>
      <c r="I599" s="37"/>
      <c r="J599" s="37"/>
      <c r="K599" s="37"/>
      <c r="L599" s="17"/>
      <c r="M599" s="37"/>
      <c r="N599" s="37"/>
      <c r="O599" s="37"/>
      <c r="P599" s="38"/>
      <c r="Q599" s="37"/>
      <c r="R599" s="17"/>
    </row>
    <row r="600" customFormat="false" ht="15" hidden="false" customHeight="false" outlineLevel="0" collapsed="false">
      <c r="A600" s="37"/>
      <c r="B600" s="37"/>
      <c r="C600" s="41" t="str">
        <f aca="false">IF($B600="","",IFERROR(INDEX('LEAD MASTER'!$E$3:$E$402,MATCH($B600,'LEAD MASTER'!$A$3:$A$402,0)),"Lead ID not found"))</f>
        <v/>
      </c>
      <c r="D600" s="17"/>
      <c r="E600" s="17"/>
      <c r="F600" s="37"/>
      <c r="G600" s="37"/>
      <c r="H600" s="17"/>
      <c r="I600" s="37"/>
      <c r="J600" s="37"/>
      <c r="K600" s="37"/>
      <c r="L600" s="17"/>
      <c r="M600" s="37"/>
      <c r="N600" s="37"/>
      <c r="O600" s="37"/>
      <c r="P600" s="38"/>
      <c r="Q600" s="37"/>
      <c r="R600" s="17"/>
    </row>
    <row r="601" customFormat="false" ht="15" hidden="false" customHeight="false" outlineLevel="0" collapsed="false">
      <c r="A601" s="37"/>
      <c r="B601" s="37"/>
      <c r="C601" s="41" t="str">
        <f aca="false">IF($B601="","",IFERROR(INDEX('LEAD MASTER'!$E$3:$E$402,MATCH($B601,'LEAD MASTER'!$A$3:$A$402,0)),"Lead ID not found"))</f>
        <v/>
      </c>
      <c r="D601" s="17"/>
      <c r="E601" s="17"/>
      <c r="F601" s="37"/>
      <c r="G601" s="37"/>
      <c r="H601" s="17"/>
      <c r="I601" s="37"/>
      <c r="J601" s="37"/>
      <c r="K601" s="37"/>
      <c r="L601" s="17"/>
      <c r="M601" s="37"/>
      <c r="N601" s="37"/>
      <c r="O601" s="37"/>
      <c r="P601" s="38"/>
      <c r="Q601" s="37"/>
      <c r="R601" s="17"/>
    </row>
    <row r="602" customFormat="false" ht="15" hidden="false" customHeight="false" outlineLevel="0" collapsed="false">
      <c r="A602" s="37"/>
      <c r="B602" s="37"/>
      <c r="C602" s="41" t="str">
        <f aca="false">IF($B602="","",IFERROR(INDEX('LEAD MASTER'!$E$3:$E$402,MATCH($B602,'LEAD MASTER'!$A$3:$A$402,0)),"Lead ID not found"))</f>
        <v/>
      </c>
      <c r="D602" s="17"/>
      <c r="E602" s="17"/>
      <c r="F602" s="37"/>
      <c r="G602" s="37"/>
      <c r="H602" s="17"/>
      <c r="I602" s="37"/>
      <c r="J602" s="37"/>
      <c r="K602" s="37"/>
      <c r="L602" s="17"/>
      <c r="M602" s="37"/>
      <c r="N602" s="37"/>
      <c r="O602" s="37"/>
      <c r="P602" s="38"/>
      <c r="Q602" s="37"/>
      <c r="R602" s="17"/>
    </row>
    <row r="603" customFormat="false" ht="15" hidden="false" customHeight="false" outlineLevel="0" collapsed="false">
      <c r="A603" s="37"/>
      <c r="B603" s="37"/>
      <c r="C603" s="41" t="str">
        <f aca="false">IF($B603="","",IFERROR(INDEX('LEAD MASTER'!$E$3:$E$402,MATCH($B603,'LEAD MASTER'!$A$3:$A$402,0)),"Lead ID not found"))</f>
        <v/>
      </c>
      <c r="D603" s="17"/>
      <c r="E603" s="17"/>
      <c r="F603" s="37"/>
      <c r="G603" s="37"/>
      <c r="H603" s="17"/>
      <c r="I603" s="37"/>
      <c r="J603" s="37"/>
      <c r="K603" s="37"/>
      <c r="L603" s="17"/>
      <c r="M603" s="37"/>
      <c r="N603" s="37"/>
      <c r="O603" s="37"/>
      <c r="P603" s="38"/>
      <c r="Q603" s="37"/>
      <c r="R603" s="17"/>
    </row>
    <row r="604" customFormat="false" ht="15" hidden="false" customHeight="false" outlineLevel="0" collapsed="false">
      <c r="A604" s="37"/>
      <c r="B604" s="37"/>
      <c r="C604" s="41" t="str">
        <f aca="false">IF($B604="","",IFERROR(INDEX('LEAD MASTER'!$E$3:$E$402,MATCH($B604,'LEAD MASTER'!$A$3:$A$402,0)),"Lead ID not found"))</f>
        <v/>
      </c>
      <c r="D604" s="17"/>
      <c r="E604" s="17"/>
      <c r="F604" s="37"/>
      <c r="G604" s="37"/>
      <c r="H604" s="17"/>
      <c r="I604" s="37"/>
      <c r="J604" s="37"/>
      <c r="K604" s="37"/>
      <c r="L604" s="17"/>
      <c r="M604" s="37"/>
      <c r="N604" s="37"/>
      <c r="O604" s="37"/>
      <c r="P604" s="38"/>
      <c r="Q604" s="37"/>
      <c r="R604" s="17"/>
    </row>
  </sheetData>
  <autoFilter ref="A4:R604"/>
  <mergeCells count="1">
    <mergeCell ref="A2:R2"/>
  </mergeCells>
  <dataValidations count="5">
    <dataValidation allowBlank="true" errorStyle="stop" operator="between" showDropDown="false" showErrorMessage="false" showInputMessage="false" sqref="F5:F604" type="list">
      <formula1>LISTS!$U$3:$U$11</formula1>
      <formula2>0</formula2>
    </dataValidation>
    <dataValidation allowBlank="true" errorStyle="stop" operator="between" showDropDown="false" showErrorMessage="false" showInputMessage="false" sqref="G5:G604" type="list">
      <formula1>LISTS!$R$3:$R$7</formula1>
      <formula2>0</formula2>
    </dataValidation>
    <dataValidation allowBlank="true" errorStyle="stop" operator="between" showDropDown="false" showErrorMessage="false" showInputMessage="false" sqref="I5:I604" type="list">
      <formula1>LISTS!$S$3:$S$7</formula1>
      <formula2>0</formula2>
    </dataValidation>
    <dataValidation allowBlank="true" errorStyle="stop" operator="between" showDropDown="false" showErrorMessage="false" showInputMessage="false" sqref="O5:O604" type="list">
      <formula1>LISTS!$T$3:$T$12</formula1>
      <formula2>0</formula2>
    </dataValidation>
    <dataValidation allowBlank="true" errorStyle="stop" operator="between" showDropDown="false" showErrorMessage="false" showInputMessage="false" sqref="Q5:Q604" type="list">
      <formula1>LISTS!$V$3:$V$5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4F24"/>
    <pageSetUpPr fitToPage="false"/>
  </sheetPr>
  <dimension ref="A1:G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24"/>
    <col collapsed="false" customWidth="true" hidden="false" outlineLevel="0" max="4" min="4" style="0" width="12"/>
    <col collapsed="false" customWidth="true" hidden="false" outlineLevel="0" max="5" min="5" style="0" width="22"/>
    <col collapsed="false" customWidth="true" hidden="false" outlineLevel="0" max="6" min="6" style="0" width="62"/>
    <col collapsed="false" customWidth="true" hidden="false" outlineLevel="0" max="7" min="7" style="0" width="30"/>
  </cols>
  <sheetData>
    <row r="1" customFormat="false" ht="16.15" hidden="false" customHeight="false" outlineLevel="0" collapsed="false">
      <c r="A1" s="42" t="s">
        <v>516</v>
      </c>
    </row>
    <row r="2" customFormat="false" ht="27.75" hidden="false" customHeight="true" outlineLevel="0" collapsed="false">
      <c r="A2" s="13" t="s">
        <v>517</v>
      </c>
      <c r="B2" s="13"/>
      <c r="C2" s="13"/>
      <c r="D2" s="13"/>
      <c r="E2" s="13"/>
      <c r="F2" s="13"/>
      <c r="G2" s="13"/>
    </row>
    <row r="4" customFormat="false" ht="25.5" hidden="false" customHeight="true" outlineLevel="0" collapsed="false">
      <c r="A4" s="43" t="s">
        <v>518</v>
      </c>
      <c r="B4" s="43" t="s">
        <v>519</v>
      </c>
      <c r="C4" s="43" t="s">
        <v>520</v>
      </c>
      <c r="D4" s="43" t="s">
        <v>521</v>
      </c>
      <c r="E4" s="43" t="s">
        <v>522</v>
      </c>
      <c r="F4" s="43" t="s">
        <v>523</v>
      </c>
      <c r="G4" s="43" t="s">
        <v>524</v>
      </c>
    </row>
    <row r="5" customFormat="false" ht="15" hidden="false" customHeight="false" outlineLevel="0" collapsed="false">
      <c r="A5" s="37" t="s">
        <v>525</v>
      </c>
      <c r="B5" s="19" t="s">
        <v>387</v>
      </c>
      <c r="C5" s="37" t="s">
        <v>380</v>
      </c>
      <c r="D5" s="37"/>
      <c r="E5" s="17" t="s">
        <v>526</v>
      </c>
      <c r="F5" s="17" t="s">
        <v>527</v>
      </c>
      <c r="G5" s="17" t="s">
        <v>444</v>
      </c>
    </row>
    <row r="6" customFormat="false" ht="15" hidden="false" customHeight="false" outlineLevel="0" collapsed="false">
      <c r="A6" s="37" t="s">
        <v>528</v>
      </c>
      <c r="B6" s="19" t="s">
        <v>388</v>
      </c>
      <c r="C6" s="37" t="s">
        <v>380</v>
      </c>
      <c r="D6" s="37"/>
      <c r="E6" s="17" t="s">
        <v>526</v>
      </c>
      <c r="F6" s="17" t="s">
        <v>529</v>
      </c>
      <c r="G6" s="17" t="s">
        <v>530</v>
      </c>
    </row>
    <row r="7" customFormat="false" ht="15" hidden="false" customHeight="false" outlineLevel="0" collapsed="false">
      <c r="A7" s="37" t="s">
        <v>531</v>
      </c>
      <c r="B7" s="19" t="s">
        <v>389</v>
      </c>
      <c r="C7" s="37" t="s">
        <v>380</v>
      </c>
      <c r="D7" s="37"/>
      <c r="E7" s="17" t="s">
        <v>526</v>
      </c>
      <c r="F7" s="17" t="s">
        <v>532</v>
      </c>
      <c r="G7" s="17" t="s">
        <v>445</v>
      </c>
    </row>
    <row r="8" customFormat="false" ht="15" hidden="false" customHeight="false" outlineLevel="0" collapsed="false">
      <c r="A8" s="37" t="s">
        <v>533</v>
      </c>
      <c r="B8" s="19" t="s">
        <v>390</v>
      </c>
      <c r="C8" s="37" t="s">
        <v>380</v>
      </c>
      <c r="D8" s="37"/>
      <c r="E8" s="17" t="s">
        <v>534</v>
      </c>
      <c r="F8" s="17" t="s">
        <v>535</v>
      </c>
      <c r="G8" s="17" t="s">
        <v>124</v>
      </c>
    </row>
    <row r="9" customFormat="false" ht="22.35" hidden="false" customHeight="false" outlineLevel="0" collapsed="false">
      <c r="A9" s="37" t="s">
        <v>536</v>
      </c>
      <c r="B9" s="19" t="s">
        <v>493</v>
      </c>
      <c r="C9" s="37" t="s">
        <v>381</v>
      </c>
      <c r="D9" s="44" t="s">
        <v>537</v>
      </c>
      <c r="E9" s="17" t="s">
        <v>538</v>
      </c>
      <c r="F9" s="17" t="s">
        <v>539</v>
      </c>
      <c r="G9" s="17" t="s">
        <v>446</v>
      </c>
    </row>
    <row r="10" customFormat="false" ht="15" hidden="false" customHeight="false" outlineLevel="0" collapsed="false">
      <c r="A10" s="37" t="s">
        <v>540</v>
      </c>
      <c r="B10" s="19" t="s">
        <v>541</v>
      </c>
      <c r="C10" s="37" t="s">
        <v>381</v>
      </c>
      <c r="D10" s="44" t="s">
        <v>537</v>
      </c>
      <c r="E10" s="17" t="s">
        <v>538</v>
      </c>
      <c r="F10" s="17" t="s">
        <v>542</v>
      </c>
      <c r="G10" s="17" t="s">
        <v>447</v>
      </c>
    </row>
    <row r="11" customFormat="false" ht="22.35" hidden="false" customHeight="false" outlineLevel="0" collapsed="false">
      <c r="A11" s="37" t="s">
        <v>543</v>
      </c>
      <c r="B11" s="19" t="s">
        <v>544</v>
      </c>
      <c r="C11" s="37" t="s">
        <v>381</v>
      </c>
      <c r="D11" s="44" t="s">
        <v>537</v>
      </c>
      <c r="E11" s="17" t="s">
        <v>538</v>
      </c>
      <c r="F11" s="17" t="s">
        <v>545</v>
      </c>
      <c r="G11" s="17" t="s">
        <v>211</v>
      </c>
    </row>
    <row r="12" customFormat="false" ht="15" hidden="false" customHeight="false" outlineLevel="0" collapsed="false">
      <c r="A12" s="32" t="s">
        <v>546</v>
      </c>
      <c r="B12" s="45" t="s">
        <v>394</v>
      </c>
      <c r="C12" s="32" t="s">
        <v>381</v>
      </c>
      <c r="D12" s="32" t="s">
        <v>547</v>
      </c>
      <c r="E12" s="41" t="s">
        <v>548</v>
      </c>
      <c r="F12" s="41" t="s">
        <v>549</v>
      </c>
      <c r="G12" s="41" t="s">
        <v>212</v>
      </c>
    </row>
    <row r="13" customFormat="false" ht="15" hidden="false" customHeight="false" outlineLevel="0" collapsed="false">
      <c r="A13" s="37" t="s">
        <v>550</v>
      </c>
      <c r="B13" s="19" t="s">
        <v>395</v>
      </c>
      <c r="C13" s="37" t="s">
        <v>381</v>
      </c>
      <c r="D13" s="37"/>
      <c r="E13" s="17" t="s">
        <v>538</v>
      </c>
      <c r="F13" s="17" t="s">
        <v>551</v>
      </c>
      <c r="G13" s="17" t="s">
        <v>448</v>
      </c>
    </row>
    <row r="14" customFormat="false" ht="15" hidden="false" customHeight="false" outlineLevel="0" collapsed="false">
      <c r="A14" s="37" t="s">
        <v>552</v>
      </c>
      <c r="B14" s="19" t="s">
        <v>553</v>
      </c>
      <c r="C14" s="37" t="s">
        <v>381</v>
      </c>
      <c r="D14" s="44" t="s">
        <v>537</v>
      </c>
      <c r="E14" s="17" t="s">
        <v>534</v>
      </c>
      <c r="F14" s="17" t="s">
        <v>554</v>
      </c>
      <c r="G14" s="17" t="s">
        <v>106</v>
      </c>
    </row>
    <row r="15" customFormat="false" ht="22.35" hidden="false" customHeight="false" outlineLevel="0" collapsed="false">
      <c r="A15" s="37" t="s">
        <v>555</v>
      </c>
      <c r="B15" s="19" t="s">
        <v>397</v>
      </c>
      <c r="C15" s="37" t="s">
        <v>381</v>
      </c>
      <c r="D15" s="37"/>
      <c r="E15" s="17" t="s">
        <v>556</v>
      </c>
      <c r="F15" s="17" t="s">
        <v>557</v>
      </c>
      <c r="G15" s="17" t="s">
        <v>449</v>
      </c>
    </row>
    <row r="16" customFormat="false" ht="15" hidden="false" customHeight="false" outlineLevel="0" collapsed="false">
      <c r="A16" s="37" t="s">
        <v>558</v>
      </c>
      <c r="B16" s="19" t="s">
        <v>559</v>
      </c>
      <c r="C16" s="37" t="s">
        <v>381</v>
      </c>
      <c r="D16" s="44" t="s">
        <v>537</v>
      </c>
      <c r="E16" s="17" t="s">
        <v>560</v>
      </c>
      <c r="F16" s="17" t="s">
        <v>561</v>
      </c>
      <c r="G16" s="17" t="s">
        <v>88</v>
      </c>
    </row>
    <row r="17" customFormat="false" ht="15" hidden="false" customHeight="false" outlineLevel="0" collapsed="false">
      <c r="A17" s="37" t="s">
        <v>562</v>
      </c>
      <c r="B17" s="19" t="s">
        <v>399</v>
      </c>
      <c r="C17" s="37" t="s">
        <v>381</v>
      </c>
      <c r="D17" s="37"/>
      <c r="E17" s="17" t="s">
        <v>541</v>
      </c>
      <c r="F17" s="17" t="s">
        <v>563</v>
      </c>
      <c r="G17" s="17" t="s">
        <v>109</v>
      </c>
    </row>
    <row r="18" customFormat="false" ht="15" hidden="false" customHeight="false" outlineLevel="0" collapsed="false">
      <c r="A18" s="37" t="s">
        <v>564</v>
      </c>
      <c r="B18" s="19" t="s">
        <v>400</v>
      </c>
      <c r="C18" s="37" t="s">
        <v>381</v>
      </c>
      <c r="D18" s="37"/>
      <c r="E18" s="17" t="s">
        <v>565</v>
      </c>
      <c r="F18" s="17" t="s">
        <v>566</v>
      </c>
      <c r="G18" s="17" t="s">
        <v>567</v>
      </c>
    </row>
    <row r="19" customFormat="false" ht="15" hidden="false" customHeight="false" outlineLevel="0" collapsed="false">
      <c r="A19" s="37" t="s">
        <v>568</v>
      </c>
      <c r="B19" s="19" t="s">
        <v>401</v>
      </c>
      <c r="C19" s="37" t="s">
        <v>381</v>
      </c>
      <c r="D19" s="37"/>
      <c r="E19" s="17" t="s">
        <v>569</v>
      </c>
      <c r="F19" s="17" t="s">
        <v>570</v>
      </c>
      <c r="G19" s="17" t="s">
        <v>129</v>
      </c>
    </row>
    <row r="20" customFormat="false" ht="15" hidden="false" customHeight="false" outlineLevel="0" collapsed="false">
      <c r="A20" s="37" t="s">
        <v>571</v>
      </c>
      <c r="B20" s="19" t="s">
        <v>402</v>
      </c>
      <c r="C20" s="37" t="s">
        <v>381</v>
      </c>
      <c r="D20" s="37"/>
      <c r="E20" s="17" t="s">
        <v>572</v>
      </c>
      <c r="F20" s="17" t="s">
        <v>573</v>
      </c>
      <c r="G20" s="17" t="s">
        <v>574</v>
      </c>
    </row>
    <row r="21" customFormat="false" ht="15" hidden="false" customHeight="false" outlineLevel="0" collapsed="false">
      <c r="A21" s="37" t="s">
        <v>575</v>
      </c>
      <c r="B21" s="19" t="s">
        <v>576</v>
      </c>
      <c r="C21" s="37" t="s">
        <v>381</v>
      </c>
      <c r="D21" s="44" t="s">
        <v>537</v>
      </c>
      <c r="E21" s="17" t="s">
        <v>534</v>
      </c>
      <c r="F21" s="17" t="s">
        <v>577</v>
      </c>
      <c r="G21" s="17" t="s">
        <v>111</v>
      </c>
    </row>
    <row r="22" customFormat="false" ht="15" hidden="false" customHeight="false" outlineLevel="0" collapsed="false">
      <c r="A22" s="37" t="s">
        <v>578</v>
      </c>
      <c r="B22" s="19" t="s">
        <v>404</v>
      </c>
      <c r="C22" s="37" t="s">
        <v>381</v>
      </c>
      <c r="D22" s="37"/>
      <c r="E22" s="17" t="s">
        <v>541</v>
      </c>
      <c r="F22" s="17" t="s">
        <v>579</v>
      </c>
      <c r="G22" s="17" t="s">
        <v>580</v>
      </c>
    </row>
    <row r="23" customFormat="false" ht="15" hidden="false" customHeight="false" outlineLevel="0" collapsed="false">
      <c r="A23" s="37" t="s">
        <v>581</v>
      </c>
      <c r="B23" s="19" t="s">
        <v>405</v>
      </c>
      <c r="C23" s="37" t="s">
        <v>381</v>
      </c>
      <c r="D23" s="37"/>
      <c r="E23" s="17" t="s">
        <v>582</v>
      </c>
      <c r="F23" s="17" t="s">
        <v>583</v>
      </c>
      <c r="G23" s="17" t="s">
        <v>584</v>
      </c>
    </row>
    <row r="24" customFormat="false" ht="22.35" hidden="false" customHeight="false" outlineLevel="0" collapsed="false">
      <c r="A24" s="37" t="s">
        <v>585</v>
      </c>
      <c r="B24" s="19" t="s">
        <v>406</v>
      </c>
      <c r="C24" s="37" t="s">
        <v>381</v>
      </c>
      <c r="D24" s="37"/>
      <c r="E24" s="17" t="s">
        <v>156</v>
      </c>
      <c r="F24" s="17" t="s">
        <v>586</v>
      </c>
      <c r="G24" s="17" t="s">
        <v>451</v>
      </c>
    </row>
    <row r="25" customFormat="false" ht="15" hidden="false" customHeight="false" outlineLevel="0" collapsed="false">
      <c r="A25" s="37" t="s">
        <v>587</v>
      </c>
      <c r="B25" s="19" t="s">
        <v>588</v>
      </c>
      <c r="C25" s="37" t="s">
        <v>382</v>
      </c>
      <c r="D25" s="44" t="s">
        <v>537</v>
      </c>
      <c r="E25" s="17" t="s">
        <v>589</v>
      </c>
      <c r="F25" s="17" t="s">
        <v>590</v>
      </c>
      <c r="G25" s="17" t="s">
        <v>92</v>
      </c>
    </row>
    <row r="26" customFormat="false" ht="15" hidden="false" customHeight="false" outlineLevel="0" collapsed="false">
      <c r="A26" s="37" t="s">
        <v>591</v>
      </c>
      <c r="B26" s="19" t="s">
        <v>408</v>
      </c>
      <c r="C26" s="37" t="s">
        <v>382</v>
      </c>
      <c r="D26" s="37"/>
      <c r="E26" s="17" t="s">
        <v>592</v>
      </c>
      <c r="F26" s="17" t="s">
        <v>593</v>
      </c>
      <c r="G26" s="17" t="s">
        <v>452</v>
      </c>
    </row>
    <row r="27" customFormat="false" ht="15" hidden="false" customHeight="false" outlineLevel="0" collapsed="false">
      <c r="A27" s="37" t="s">
        <v>594</v>
      </c>
      <c r="B27" s="19" t="s">
        <v>409</v>
      </c>
      <c r="C27" s="37" t="s">
        <v>382</v>
      </c>
      <c r="D27" s="37"/>
      <c r="E27" s="17" t="s">
        <v>592</v>
      </c>
      <c r="F27" s="17" t="s">
        <v>595</v>
      </c>
      <c r="G27" s="17" t="s">
        <v>453</v>
      </c>
    </row>
    <row r="28" customFormat="false" ht="15" hidden="false" customHeight="false" outlineLevel="0" collapsed="false">
      <c r="A28" s="37" t="s">
        <v>596</v>
      </c>
      <c r="B28" s="19" t="s">
        <v>597</v>
      </c>
      <c r="C28" s="37" t="s">
        <v>382</v>
      </c>
      <c r="D28" s="44" t="s">
        <v>537</v>
      </c>
      <c r="E28" s="17" t="s">
        <v>598</v>
      </c>
      <c r="F28" s="17" t="s">
        <v>599</v>
      </c>
      <c r="G28" s="17" t="s">
        <v>92</v>
      </c>
    </row>
    <row r="29" customFormat="false" ht="15" hidden="false" customHeight="false" outlineLevel="0" collapsed="false">
      <c r="A29" s="37" t="s">
        <v>600</v>
      </c>
      <c r="B29" s="19" t="s">
        <v>411</v>
      </c>
      <c r="C29" s="37" t="s">
        <v>382</v>
      </c>
      <c r="D29" s="37"/>
      <c r="E29" s="17" t="s">
        <v>592</v>
      </c>
      <c r="F29" s="17" t="s">
        <v>601</v>
      </c>
      <c r="G29" s="17" t="s">
        <v>454</v>
      </c>
    </row>
    <row r="30" customFormat="false" ht="15" hidden="false" customHeight="false" outlineLevel="0" collapsed="false">
      <c r="A30" s="37" t="s">
        <v>602</v>
      </c>
      <c r="B30" s="19" t="s">
        <v>412</v>
      </c>
      <c r="C30" s="37" t="s">
        <v>382</v>
      </c>
      <c r="D30" s="37"/>
      <c r="E30" s="17" t="s">
        <v>592</v>
      </c>
      <c r="F30" s="17" t="s">
        <v>603</v>
      </c>
      <c r="G30" s="17" t="s">
        <v>604</v>
      </c>
    </row>
    <row r="31" customFormat="false" ht="15" hidden="false" customHeight="false" outlineLevel="0" collapsed="false">
      <c r="A31" s="37" t="s">
        <v>605</v>
      </c>
      <c r="B31" s="19" t="s">
        <v>413</v>
      </c>
      <c r="C31" s="37" t="s">
        <v>382</v>
      </c>
      <c r="D31" s="37"/>
      <c r="E31" s="17" t="s">
        <v>592</v>
      </c>
      <c r="F31" s="17" t="s">
        <v>606</v>
      </c>
      <c r="G31" s="17" t="s">
        <v>607</v>
      </c>
    </row>
    <row r="32" customFormat="false" ht="15" hidden="false" customHeight="false" outlineLevel="0" collapsed="false">
      <c r="A32" s="37" t="s">
        <v>608</v>
      </c>
      <c r="B32" s="19" t="s">
        <v>414</v>
      </c>
      <c r="C32" s="37" t="s">
        <v>382</v>
      </c>
      <c r="D32" s="37"/>
      <c r="E32" s="17" t="s">
        <v>592</v>
      </c>
      <c r="F32" s="17" t="s">
        <v>609</v>
      </c>
      <c r="G32" s="17" t="s">
        <v>135</v>
      </c>
    </row>
    <row r="33" customFormat="false" ht="15" hidden="false" customHeight="false" outlineLevel="0" collapsed="false">
      <c r="A33" s="37" t="s">
        <v>610</v>
      </c>
      <c r="B33" s="19" t="s">
        <v>415</v>
      </c>
      <c r="C33" s="37" t="s">
        <v>382</v>
      </c>
      <c r="D33" s="37"/>
      <c r="E33" s="17" t="s">
        <v>592</v>
      </c>
      <c r="F33" s="17" t="s">
        <v>611</v>
      </c>
      <c r="G33" s="17" t="s">
        <v>132</v>
      </c>
    </row>
    <row r="34" customFormat="false" ht="15" hidden="false" customHeight="false" outlineLevel="0" collapsed="false">
      <c r="A34" s="37" t="s">
        <v>612</v>
      </c>
      <c r="B34" s="19" t="s">
        <v>416</v>
      </c>
      <c r="C34" s="37" t="s">
        <v>382</v>
      </c>
      <c r="D34" s="37"/>
      <c r="E34" s="17" t="s">
        <v>592</v>
      </c>
      <c r="F34" s="17" t="s">
        <v>613</v>
      </c>
      <c r="G34" s="17" t="s">
        <v>614</v>
      </c>
    </row>
    <row r="35" customFormat="false" ht="15" hidden="false" customHeight="false" outlineLevel="0" collapsed="false">
      <c r="A35" s="37" t="s">
        <v>615</v>
      </c>
      <c r="B35" s="19" t="s">
        <v>417</v>
      </c>
      <c r="C35" s="37" t="s">
        <v>382</v>
      </c>
      <c r="D35" s="37"/>
      <c r="E35" s="17" t="s">
        <v>560</v>
      </c>
      <c r="F35" s="17" t="s">
        <v>616</v>
      </c>
      <c r="G35" s="17" t="s">
        <v>94</v>
      </c>
    </row>
    <row r="36" customFormat="false" ht="15" hidden="false" customHeight="false" outlineLevel="0" collapsed="false">
      <c r="A36" s="37" t="s">
        <v>617</v>
      </c>
      <c r="B36" s="19" t="s">
        <v>418</v>
      </c>
      <c r="C36" s="37" t="s">
        <v>382</v>
      </c>
      <c r="D36" s="37"/>
      <c r="E36" s="17" t="s">
        <v>534</v>
      </c>
      <c r="F36" s="17" t="s">
        <v>618</v>
      </c>
      <c r="G36" s="17" t="s">
        <v>95</v>
      </c>
    </row>
    <row r="37" customFormat="false" ht="15" hidden="false" customHeight="false" outlineLevel="0" collapsed="false">
      <c r="A37" s="37" t="s">
        <v>619</v>
      </c>
      <c r="B37" s="19" t="s">
        <v>419</v>
      </c>
      <c r="C37" s="37" t="s">
        <v>383</v>
      </c>
      <c r="D37" s="37"/>
      <c r="E37" s="17" t="s">
        <v>526</v>
      </c>
      <c r="F37" s="17" t="s">
        <v>620</v>
      </c>
      <c r="G37" s="17" t="s">
        <v>455</v>
      </c>
    </row>
    <row r="38" customFormat="false" ht="15" hidden="false" customHeight="false" outlineLevel="0" collapsed="false">
      <c r="A38" s="37" t="s">
        <v>621</v>
      </c>
      <c r="B38" s="19" t="s">
        <v>420</v>
      </c>
      <c r="C38" s="37" t="s">
        <v>383</v>
      </c>
      <c r="D38" s="37"/>
      <c r="E38" s="17" t="s">
        <v>534</v>
      </c>
      <c r="F38" s="17" t="s">
        <v>622</v>
      </c>
      <c r="G38" s="17" t="s">
        <v>99</v>
      </c>
    </row>
    <row r="39" customFormat="false" ht="15" hidden="false" customHeight="false" outlineLevel="0" collapsed="false">
      <c r="A39" s="37" t="s">
        <v>623</v>
      </c>
      <c r="B39" s="19" t="s">
        <v>421</v>
      </c>
      <c r="C39" s="37" t="s">
        <v>383</v>
      </c>
      <c r="D39" s="37"/>
      <c r="E39" s="17" t="s">
        <v>156</v>
      </c>
      <c r="F39" s="17" t="s">
        <v>624</v>
      </c>
      <c r="G39" s="17" t="s">
        <v>456</v>
      </c>
    </row>
    <row r="40" customFormat="false" ht="15" hidden="false" customHeight="false" outlineLevel="0" collapsed="false">
      <c r="A40" s="37" t="s">
        <v>625</v>
      </c>
      <c r="B40" s="19" t="s">
        <v>422</v>
      </c>
      <c r="C40" s="37" t="s">
        <v>383</v>
      </c>
      <c r="D40" s="37"/>
      <c r="E40" s="17" t="s">
        <v>526</v>
      </c>
      <c r="F40" s="17" t="s">
        <v>626</v>
      </c>
      <c r="G40" s="17" t="s">
        <v>457</v>
      </c>
    </row>
    <row r="41" customFormat="false" ht="15" hidden="false" customHeight="false" outlineLevel="0" collapsed="false">
      <c r="A41" s="37" t="s">
        <v>627</v>
      </c>
      <c r="B41" s="19" t="s">
        <v>423</v>
      </c>
      <c r="C41" s="37" t="s">
        <v>383</v>
      </c>
      <c r="D41" s="37"/>
      <c r="E41" s="17" t="s">
        <v>560</v>
      </c>
      <c r="F41" s="17" t="s">
        <v>628</v>
      </c>
      <c r="G41" s="17" t="s">
        <v>629</v>
      </c>
    </row>
    <row r="42" customFormat="false" ht="15" hidden="false" customHeight="false" outlineLevel="0" collapsed="false">
      <c r="A42" s="37" t="s">
        <v>630</v>
      </c>
      <c r="B42" s="19" t="s">
        <v>424</v>
      </c>
      <c r="C42" s="37" t="s">
        <v>383</v>
      </c>
      <c r="D42" s="37"/>
      <c r="E42" s="17" t="s">
        <v>560</v>
      </c>
      <c r="F42" s="17" t="s">
        <v>631</v>
      </c>
      <c r="G42" s="17" t="s">
        <v>632</v>
      </c>
    </row>
    <row r="43" customFormat="false" ht="15" hidden="false" customHeight="false" outlineLevel="0" collapsed="false">
      <c r="A43" s="37" t="s">
        <v>633</v>
      </c>
      <c r="B43" s="19" t="s">
        <v>634</v>
      </c>
      <c r="C43" s="37" t="s">
        <v>384</v>
      </c>
      <c r="D43" s="44" t="s">
        <v>537</v>
      </c>
      <c r="E43" s="17" t="s">
        <v>635</v>
      </c>
      <c r="F43" s="17" t="s">
        <v>636</v>
      </c>
      <c r="G43" s="17" t="s">
        <v>459</v>
      </c>
    </row>
    <row r="44" customFormat="false" ht="15" hidden="false" customHeight="false" outlineLevel="0" collapsed="false">
      <c r="A44" s="37" t="s">
        <v>637</v>
      </c>
      <c r="B44" s="19" t="s">
        <v>495</v>
      </c>
      <c r="C44" s="37" t="s">
        <v>384</v>
      </c>
      <c r="D44" s="44" t="s">
        <v>537</v>
      </c>
      <c r="E44" s="17" t="s">
        <v>582</v>
      </c>
      <c r="F44" s="17" t="s">
        <v>638</v>
      </c>
      <c r="G44" s="17" t="s">
        <v>460</v>
      </c>
    </row>
    <row r="45" customFormat="false" ht="15" hidden="false" customHeight="false" outlineLevel="0" collapsed="false">
      <c r="A45" s="37" t="s">
        <v>639</v>
      </c>
      <c r="B45" s="19" t="s">
        <v>427</v>
      </c>
      <c r="C45" s="37" t="s">
        <v>384</v>
      </c>
      <c r="D45" s="37"/>
      <c r="E45" s="17" t="s">
        <v>560</v>
      </c>
      <c r="F45" s="17" t="s">
        <v>640</v>
      </c>
      <c r="G45" s="17" t="s">
        <v>100</v>
      </c>
    </row>
    <row r="46" customFormat="false" ht="15" hidden="false" customHeight="false" outlineLevel="0" collapsed="false">
      <c r="A46" s="37" t="s">
        <v>641</v>
      </c>
      <c r="B46" s="19" t="s">
        <v>497</v>
      </c>
      <c r="C46" s="37" t="s">
        <v>384</v>
      </c>
      <c r="D46" s="44" t="s">
        <v>537</v>
      </c>
      <c r="E46" s="17" t="s">
        <v>121</v>
      </c>
      <c r="F46" s="17" t="s">
        <v>642</v>
      </c>
      <c r="G46" s="17" t="s">
        <v>461</v>
      </c>
    </row>
    <row r="47" customFormat="false" ht="15" hidden="false" customHeight="false" outlineLevel="0" collapsed="false">
      <c r="A47" s="37" t="s">
        <v>643</v>
      </c>
      <c r="B47" s="19" t="s">
        <v>429</v>
      </c>
      <c r="C47" s="37" t="s">
        <v>384</v>
      </c>
      <c r="D47" s="37"/>
      <c r="E47" s="17" t="s">
        <v>644</v>
      </c>
      <c r="F47" s="17" t="s">
        <v>645</v>
      </c>
      <c r="G47" s="17" t="s">
        <v>101</v>
      </c>
    </row>
    <row r="48" customFormat="false" ht="15" hidden="false" customHeight="false" outlineLevel="0" collapsed="false">
      <c r="A48" s="37" t="s">
        <v>646</v>
      </c>
      <c r="B48" s="19" t="s">
        <v>498</v>
      </c>
      <c r="C48" s="37" t="s">
        <v>384</v>
      </c>
      <c r="D48" s="44" t="s">
        <v>537</v>
      </c>
      <c r="E48" s="17" t="s">
        <v>121</v>
      </c>
      <c r="F48" s="17" t="s">
        <v>647</v>
      </c>
      <c r="G48" s="17" t="s">
        <v>462</v>
      </c>
    </row>
    <row r="49" customFormat="false" ht="15" hidden="false" customHeight="false" outlineLevel="0" collapsed="false">
      <c r="A49" s="37" t="s">
        <v>648</v>
      </c>
      <c r="B49" s="19" t="s">
        <v>431</v>
      </c>
      <c r="C49" s="37" t="s">
        <v>384</v>
      </c>
      <c r="D49" s="37"/>
      <c r="E49" s="17" t="s">
        <v>526</v>
      </c>
      <c r="F49" s="17" t="s">
        <v>649</v>
      </c>
      <c r="G49" s="17" t="s">
        <v>463</v>
      </c>
    </row>
    <row r="50" customFormat="false" ht="15" hidden="false" customHeight="false" outlineLevel="0" collapsed="false">
      <c r="A50" s="37" t="s">
        <v>650</v>
      </c>
      <c r="B50" s="19" t="s">
        <v>432</v>
      </c>
      <c r="C50" s="37" t="s">
        <v>384</v>
      </c>
      <c r="D50" s="37"/>
      <c r="E50" s="17" t="s">
        <v>582</v>
      </c>
      <c r="F50" s="17" t="s">
        <v>651</v>
      </c>
      <c r="G50" s="17" t="s">
        <v>652</v>
      </c>
    </row>
    <row r="51" customFormat="false" ht="15" hidden="false" customHeight="false" outlineLevel="0" collapsed="false">
      <c r="A51" s="37" t="s">
        <v>653</v>
      </c>
      <c r="B51" s="19" t="s">
        <v>433</v>
      </c>
      <c r="C51" s="37" t="s">
        <v>384</v>
      </c>
      <c r="D51" s="37"/>
      <c r="E51" s="17" t="s">
        <v>534</v>
      </c>
      <c r="F51" s="17" t="s">
        <v>654</v>
      </c>
      <c r="G51" s="17" t="s">
        <v>121</v>
      </c>
    </row>
    <row r="52" customFormat="false" ht="15" hidden="false" customHeight="false" outlineLevel="0" collapsed="false">
      <c r="A52" s="37" t="s">
        <v>655</v>
      </c>
      <c r="B52" s="19" t="s">
        <v>434</v>
      </c>
      <c r="C52" s="37" t="s">
        <v>385</v>
      </c>
      <c r="D52" s="37"/>
      <c r="E52" s="17" t="s">
        <v>534</v>
      </c>
      <c r="F52" s="17" t="s">
        <v>656</v>
      </c>
      <c r="G52" s="17" t="s">
        <v>102</v>
      </c>
    </row>
    <row r="53" customFormat="false" ht="15" hidden="false" customHeight="false" outlineLevel="0" collapsed="false">
      <c r="A53" s="37" t="s">
        <v>657</v>
      </c>
      <c r="B53" s="19" t="s">
        <v>435</v>
      </c>
      <c r="C53" s="37" t="s">
        <v>385</v>
      </c>
      <c r="D53" s="37"/>
      <c r="E53" s="17" t="s">
        <v>526</v>
      </c>
      <c r="F53" s="17" t="s">
        <v>658</v>
      </c>
      <c r="G53" s="17" t="s">
        <v>659</v>
      </c>
    </row>
    <row r="54" customFormat="false" ht="15" hidden="false" customHeight="false" outlineLevel="0" collapsed="false">
      <c r="A54" s="37" t="s">
        <v>660</v>
      </c>
      <c r="B54" s="19" t="s">
        <v>436</v>
      </c>
      <c r="C54" s="37" t="s">
        <v>385</v>
      </c>
      <c r="D54" s="37"/>
      <c r="E54" s="17" t="s">
        <v>526</v>
      </c>
      <c r="F54" s="17" t="s">
        <v>661</v>
      </c>
      <c r="G54" s="17" t="s">
        <v>445</v>
      </c>
    </row>
    <row r="55" customFormat="false" ht="15" hidden="false" customHeight="false" outlineLevel="0" collapsed="false">
      <c r="A55" s="37" t="s">
        <v>662</v>
      </c>
      <c r="B55" s="19" t="s">
        <v>437</v>
      </c>
      <c r="C55" s="37" t="s">
        <v>385</v>
      </c>
      <c r="D55" s="37"/>
      <c r="E55" s="17" t="s">
        <v>526</v>
      </c>
      <c r="F55" s="17" t="s">
        <v>663</v>
      </c>
      <c r="G55" s="17" t="s">
        <v>664</v>
      </c>
    </row>
    <row r="56" customFormat="false" ht="15" hidden="false" customHeight="false" outlineLevel="0" collapsed="false">
      <c r="A56" s="32" t="s">
        <v>665</v>
      </c>
      <c r="B56" s="45" t="s">
        <v>438</v>
      </c>
      <c r="C56" s="32" t="s">
        <v>385</v>
      </c>
      <c r="D56" s="32" t="s">
        <v>547</v>
      </c>
      <c r="E56" s="41" t="s">
        <v>548</v>
      </c>
      <c r="F56" s="41" t="s">
        <v>666</v>
      </c>
      <c r="G56" s="41" t="s">
        <v>667</v>
      </c>
    </row>
    <row r="57" customFormat="false" ht="15" hidden="false" customHeight="false" outlineLevel="0" collapsed="false">
      <c r="A57" s="32" t="s">
        <v>668</v>
      </c>
      <c r="B57" s="45" t="s">
        <v>439</v>
      </c>
      <c r="C57" s="32" t="s">
        <v>385</v>
      </c>
      <c r="D57" s="32" t="s">
        <v>547</v>
      </c>
      <c r="E57" s="41" t="s">
        <v>548</v>
      </c>
      <c r="F57" s="41" t="s">
        <v>669</v>
      </c>
      <c r="G57" s="41"/>
    </row>
    <row r="58" customFormat="false" ht="15" hidden="false" customHeight="false" outlineLevel="0" collapsed="false">
      <c r="A58" s="37" t="s">
        <v>670</v>
      </c>
      <c r="B58" s="19" t="s">
        <v>440</v>
      </c>
      <c r="C58" s="37" t="s">
        <v>385</v>
      </c>
      <c r="D58" s="37"/>
      <c r="E58" s="17" t="s">
        <v>526</v>
      </c>
      <c r="F58" s="17" t="s">
        <v>671</v>
      </c>
      <c r="G58" s="17" t="s">
        <v>672</v>
      </c>
    </row>
    <row r="59" customFormat="false" ht="15" hidden="false" customHeight="false" outlineLevel="0" collapsed="false">
      <c r="A59" s="32" t="s">
        <v>673</v>
      </c>
      <c r="B59" s="45" t="s">
        <v>441</v>
      </c>
      <c r="C59" s="32" t="s">
        <v>674</v>
      </c>
      <c r="D59" s="32" t="s">
        <v>547</v>
      </c>
      <c r="E59" s="41" t="s">
        <v>548</v>
      </c>
      <c r="F59" s="41" t="s">
        <v>675</v>
      </c>
      <c r="G59" s="41" t="s">
        <v>676</v>
      </c>
    </row>
    <row r="60" customFormat="false" ht="15" hidden="false" customHeight="false" outlineLevel="0" collapsed="false">
      <c r="A60" s="32" t="s">
        <v>677</v>
      </c>
      <c r="B60" s="45" t="s">
        <v>442</v>
      </c>
      <c r="C60" s="32" t="s">
        <v>674</v>
      </c>
      <c r="D60" s="32" t="s">
        <v>547</v>
      </c>
      <c r="E60" s="41" t="s">
        <v>548</v>
      </c>
      <c r="F60" s="41" t="s">
        <v>678</v>
      </c>
      <c r="G60" s="41" t="s">
        <v>525</v>
      </c>
    </row>
    <row r="61" customFormat="false" ht="15" hidden="false" customHeight="false" outlineLevel="0" collapsed="false">
      <c r="A61" s="37" t="s">
        <v>679</v>
      </c>
      <c r="B61" s="19" t="s">
        <v>443</v>
      </c>
      <c r="C61" s="37" t="s">
        <v>674</v>
      </c>
      <c r="D61" s="37"/>
      <c r="E61" s="17" t="s">
        <v>534</v>
      </c>
      <c r="F61" s="17" t="s">
        <v>680</v>
      </c>
      <c r="G61" s="17" t="s">
        <v>143</v>
      </c>
    </row>
  </sheetData>
  <autoFilter ref="A4:G61"/>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K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16"/>
    <col collapsed="false" customWidth="true" hidden="false" outlineLevel="0" max="5" min="5" style="0" width="28"/>
    <col collapsed="false" customWidth="true" hidden="false" outlineLevel="0" max="13" min="6" style="0" width="16"/>
  </cols>
  <sheetData>
    <row r="1" customFormat="false" ht="18.55" hidden="false" customHeight="false" outlineLevel="0" collapsed="false">
      <c r="A1" s="46" t="s">
        <v>681</v>
      </c>
    </row>
    <row r="2" customFormat="false" ht="15" hidden="false" customHeight="false" outlineLevel="0" collapsed="false">
      <c r="A2" s="10" t="str">
        <f aca="true">("Live from LEAD MASTER. Opened: ")&amp;TEXT(TODAY(),"DD-MMM-YYYY")</f>
        <v>Live from LEAD MASTER. Opened: 26-Aug-2026</v>
      </c>
    </row>
    <row r="4" customFormat="false" ht="15" hidden="false" customHeight="false" outlineLevel="0" collapsed="false">
      <c r="A4" s="47" t="s">
        <v>682</v>
      </c>
    </row>
    <row r="5" customFormat="false" ht="30" hidden="false" customHeight="true" outlineLevel="0" collapsed="false">
      <c r="A5" s="48" t="s">
        <v>683</v>
      </c>
      <c r="C5" s="49" t="s">
        <v>684</v>
      </c>
      <c r="E5" s="48" t="s">
        <v>685</v>
      </c>
      <c r="G5" s="50" t="s">
        <v>686</v>
      </c>
      <c r="I5" s="51" t="s">
        <v>687</v>
      </c>
      <c r="K5" s="51" t="s">
        <v>688</v>
      </c>
    </row>
    <row r="6" customFormat="false" ht="33.75" hidden="false" customHeight="true" outlineLevel="0" collapsed="false">
      <c r="A6" s="52" t="n">
        <f aca="false">COUNTA('LEAD MASTER'!$E$3:$E$402)</f>
        <v>3</v>
      </c>
      <c r="C6" s="52" t="n">
        <f aca="false">COUNTIF('LEAD MASTER'!$BD$3:$BD$402,"A")</f>
        <v>2</v>
      </c>
      <c r="E6" s="52" t="n">
        <f aca="false">COUNTIF('LEAD MASTER'!$BD$3:$BD$402,"B")</f>
        <v>0</v>
      </c>
      <c r="G6" s="52" t="n">
        <f aca="false">COUNTIF('LEAD MASTER'!$BD$3:$BD$402,"C")</f>
        <v>1</v>
      </c>
      <c r="I6" s="52" t="n">
        <f aca="false">COUNTIF('LEAD MASTER'!$BD$3:$BD$402,"D")</f>
        <v>0</v>
      </c>
      <c r="K6" s="52" t="n">
        <f aca="false">COUNTIF('LEAD MASTER'!$BA$3:$BA$402,"DUPLICATE")</f>
        <v>0</v>
      </c>
    </row>
    <row r="9" customFormat="false" ht="15" hidden="false" customHeight="false" outlineLevel="0" collapsed="false">
      <c r="A9" s="47" t="s">
        <v>689</v>
      </c>
    </row>
    <row r="10" customFormat="false" ht="30" hidden="false" customHeight="true" outlineLevel="0" collapsed="false">
      <c r="A10" s="48" t="s">
        <v>690</v>
      </c>
      <c r="C10" s="48" t="s">
        <v>691</v>
      </c>
      <c r="E10" s="48" t="s">
        <v>692</v>
      </c>
      <c r="G10" s="48" t="s">
        <v>693</v>
      </c>
      <c r="I10" s="48" t="s">
        <v>694</v>
      </c>
      <c r="K10" s="48" t="s">
        <v>424</v>
      </c>
    </row>
    <row r="11" customFormat="false" ht="33.75" hidden="false" customHeight="true" outlineLevel="0" collapsed="false">
      <c r="A11" s="52" t="n">
        <f aca="false">IF(COUNT('LEAD MASTER'!$BC$3:$BC$402)=0,"-",ROUND(AVERAGE('LEAD MASTER'!$BC$3:$BC$402),1))</f>
        <v>81</v>
      </c>
      <c r="C11" s="53" t="n">
        <f aca="false">IF(COUNT('LEAD MASTER'!$AZ$3:$AZ$402)=0,"-",AVERAGE('LEAD MASTER'!$AZ$3:$AZ$402))</f>
        <v>0.944444444444445</v>
      </c>
      <c r="E11" s="52" t="n">
        <f aca="false">COUNTIFS('LEAD MASTER'!$AZ$3:$AZ$402,"&lt;0.7",'LEAD MASTER'!$AZ$3:$AZ$402,"&lt;&gt;")</f>
        <v>0</v>
      </c>
      <c r="G11" s="52" t="n">
        <f aca="false">COUNTIF('LEAD MASTER'!$U$3:$U$402,"Yes")</f>
        <v>2</v>
      </c>
      <c r="I11" s="52" t="n">
        <f aca="false">COUNTIF('LEAD MASTER'!$X$3:$X$402,"Yes")</f>
        <v>2</v>
      </c>
      <c r="K11" s="54" t="n">
        <f aca="false">SUM('LEAD MASTER'!$AL$3:$AL$402)</f>
        <v>180000</v>
      </c>
    </row>
    <row r="14" customFormat="false" ht="15" hidden="false" customHeight="false" outlineLevel="0" collapsed="false">
      <c r="A14" s="47" t="s">
        <v>695</v>
      </c>
      <c r="E14" s="47" t="s">
        <v>696</v>
      </c>
    </row>
    <row r="15" customFormat="false" ht="15" hidden="false" customHeight="false" outlineLevel="0" collapsed="false">
      <c r="A15" s="55" t="s">
        <v>553</v>
      </c>
      <c r="B15" s="55" t="s">
        <v>697</v>
      </c>
      <c r="C15" s="55" t="s">
        <v>684</v>
      </c>
      <c r="E15" s="55" t="s">
        <v>394</v>
      </c>
      <c r="F15" s="55" t="s">
        <v>697</v>
      </c>
      <c r="G15" s="55" t="s">
        <v>684</v>
      </c>
    </row>
    <row r="16" customFormat="false" ht="15" hidden="false" customHeight="false" outlineLevel="0" collapsed="false">
      <c r="A16" s="17" t="str">
        <f aca="false">LISTS!$C$3</f>
        <v>Importer</v>
      </c>
      <c r="B16" s="56" t="n">
        <f aca="false">COUNTIF('LEAD MASTER'!$J$3:$J$402,LISTS!$C$3)</f>
        <v>1</v>
      </c>
      <c r="C16" s="56" t="n">
        <f aca="false">COUNTIFS('LEAD MASTER'!$J$3:$J$402,LISTS!$C$3,'LEAD MASTER'!$BD$3:$BD$402,"A")</f>
        <v>1</v>
      </c>
      <c r="E16" s="17" t="s">
        <v>224</v>
      </c>
      <c r="F16" s="56" t="n">
        <f aca="false">COUNTIF('LEAD MASTER'!$H$3:$H$402,$E16)</f>
        <v>0</v>
      </c>
      <c r="G16" s="56" t="n">
        <f aca="false">COUNTIFS('LEAD MASTER'!$H$3:$H$402,$E16,'LEAD MASTER'!$BD$3:$BD$402,"A")</f>
        <v>0</v>
      </c>
    </row>
    <row r="17" customFormat="false" ht="15" hidden="false" customHeight="false" outlineLevel="0" collapsed="false">
      <c r="A17" s="17" t="str">
        <f aca="false">LISTS!$C$4</f>
        <v>Distributor</v>
      </c>
      <c r="B17" s="56" t="n">
        <f aca="false">COUNTIF('LEAD MASTER'!$J$3:$J$402,LISTS!$C$4)</f>
        <v>1</v>
      </c>
      <c r="C17" s="56" t="n">
        <f aca="false">COUNTIFS('LEAD MASTER'!$J$3:$J$402,LISTS!$C$4,'LEAD MASTER'!$BD$3:$BD$402,"A")</f>
        <v>1</v>
      </c>
      <c r="E17" s="17" t="s">
        <v>329</v>
      </c>
      <c r="F17" s="56" t="n">
        <f aca="false">COUNTIF('LEAD MASTER'!$H$3:$H$402,$E17)</f>
        <v>0</v>
      </c>
      <c r="G17" s="56" t="n">
        <f aca="false">COUNTIFS('LEAD MASTER'!$H$3:$H$402,$E17,'LEAD MASTER'!$BD$3:$BD$402,"A")</f>
        <v>0</v>
      </c>
    </row>
    <row r="18" customFormat="false" ht="15" hidden="false" customHeight="false" outlineLevel="0" collapsed="false">
      <c r="A18" s="17" t="str">
        <f aca="false">LISTS!$C$5</f>
        <v>Wholesaler</v>
      </c>
      <c r="B18" s="56" t="n">
        <f aca="false">COUNTIF('LEAD MASTER'!$J$3:$J$402,LISTS!$C$5)</f>
        <v>1</v>
      </c>
      <c r="C18" s="56" t="n">
        <f aca="false">COUNTIFS('LEAD MASTER'!$J$3:$J$402,LISTS!$C$5,'LEAD MASTER'!$BD$3:$BD$402,"A")</f>
        <v>0</v>
      </c>
      <c r="E18" s="17" t="s">
        <v>212</v>
      </c>
      <c r="F18" s="56" t="n">
        <f aca="false">COUNTIF('LEAD MASTER'!$H$3:$H$402,$E18)</f>
        <v>1</v>
      </c>
      <c r="G18" s="56" t="n">
        <f aca="false">COUNTIFS('LEAD MASTER'!$H$3:$H$402,$E18,'LEAD MASTER'!$BD$3:$BD$402,"A")</f>
        <v>1</v>
      </c>
    </row>
    <row r="19" customFormat="false" ht="15" hidden="false" customHeight="false" outlineLevel="0" collapsed="false">
      <c r="A19" s="17" t="str">
        <f aca="false">LISTS!$C$6</f>
        <v>Retail chain</v>
      </c>
      <c r="B19" s="56" t="n">
        <f aca="false">COUNTIF('LEAD MASTER'!$J$3:$J$402,LISTS!$C$6)</f>
        <v>0</v>
      </c>
      <c r="C19" s="56" t="n">
        <f aca="false">COUNTIFS('LEAD MASTER'!$J$3:$J$402,LISTS!$C$6,'LEAD MASTER'!$BD$3:$BD$402,"A")</f>
        <v>0</v>
      </c>
      <c r="E19" s="17" t="s">
        <v>280</v>
      </c>
      <c r="F19" s="56" t="n">
        <f aca="false">COUNTIF('LEAD MASTER'!$H$3:$H$402,$E19)</f>
        <v>0</v>
      </c>
      <c r="G19" s="56" t="n">
        <f aca="false">COUNTIFS('LEAD MASTER'!$H$3:$H$402,$E19,'LEAD MASTER'!$BD$3:$BD$402,"A")</f>
        <v>0</v>
      </c>
    </row>
    <row r="20" customFormat="false" ht="15" hidden="false" customHeight="false" outlineLevel="0" collapsed="false">
      <c r="A20" s="17" t="str">
        <f aca="false">LISTS!$C$7</f>
        <v>Supermarket group</v>
      </c>
      <c r="B20" s="56" t="n">
        <f aca="false">COUNTIF('LEAD MASTER'!$J$3:$J$402,LISTS!$C$7)</f>
        <v>0</v>
      </c>
      <c r="C20" s="56" t="n">
        <f aca="false">COUNTIFS('LEAD MASTER'!$J$3:$J$402,LISTS!$C$7,'LEAD MASTER'!$BD$3:$BD$402,"A")</f>
        <v>0</v>
      </c>
      <c r="E20" s="17" t="s">
        <v>312</v>
      </c>
      <c r="F20" s="56" t="n">
        <f aca="false">COUNTIF('LEAD MASTER'!$H$3:$H$402,$E20)</f>
        <v>0</v>
      </c>
      <c r="G20" s="56" t="n">
        <f aca="false">COUNTIFS('LEAD MASTER'!$H$3:$H$402,$E20,'LEAD MASTER'!$BD$3:$BD$402,"A")</f>
        <v>0</v>
      </c>
    </row>
    <row r="21" customFormat="false" ht="15" hidden="false" customHeight="false" outlineLevel="0" collapsed="false">
      <c r="A21" s="17" t="str">
        <f aca="false">LISTS!$C$8</f>
        <v>Cash &amp; carry</v>
      </c>
      <c r="B21" s="56" t="n">
        <f aca="false">COUNTIF('LEAD MASTER'!$J$3:$J$402,LISTS!$C$8)</f>
        <v>0</v>
      </c>
      <c r="C21" s="56" t="n">
        <f aca="false">COUNTIFS('LEAD MASTER'!$J$3:$J$402,LISTS!$C$8,'LEAD MASTER'!$BD$3:$BD$402,"A")</f>
        <v>0</v>
      </c>
      <c r="E21" s="17" t="s">
        <v>264</v>
      </c>
      <c r="F21" s="56" t="n">
        <f aca="false">COUNTIF('LEAD MASTER'!$H$3:$H$402,$E21)</f>
        <v>0</v>
      </c>
      <c r="G21" s="56" t="n">
        <f aca="false">COUNTIFS('LEAD MASTER'!$H$3:$H$402,$E21,'LEAD MASTER'!$BD$3:$BD$402,"A")</f>
        <v>0</v>
      </c>
    </row>
    <row r="22" customFormat="false" ht="15" hidden="false" customHeight="false" outlineLevel="0" collapsed="false">
      <c r="A22" s="17" t="str">
        <f aca="false">LISTS!$C$9</f>
        <v>Buying house / Sourcing agent</v>
      </c>
      <c r="B22" s="56" t="n">
        <f aca="false">COUNTIF('LEAD MASTER'!$J$3:$J$402,LISTS!$C$9)</f>
        <v>0</v>
      </c>
      <c r="C22" s="56" t="n">
        <f aca="false">COUNTIFS('LEAD MASTER'!$J$3:$J$402,LISTS!$C$9,'LEAD MASTER'!$BD$3:$BD$402,"A")</f>
        <v>0</v>
      </c>
      <c r="E22" s="17" t="s">
        <v>251</v>
      </c>
      <c r="F22" s="56" t="n">
        <f aca="false">COUNTIF('LEAD MASTER'!$H$3:$H$402,$E22)</f>
        <v>1</v>
      </c>
      <c r="G22" s="56" t="n">
        <f aca="false">COUNTIFS('LEAD MASTER'!$H$3:$H$402,$E22,'LEAD MASTER'!$BD$3:$BD$402,"A")</f>
        <v>1</v>
      </c>
    </row>
    <row r="23" customFormat="false" ht="15" hidden="false" customHeight="false" outlineLevel="0" collapsed="false">
      <c r="A23" s="17" t="str">
        <f aca="false">LISTS!$C$10</f>
        <v>E-commerce</v>
      </c>
      <c r="B23" s="56" t="n">
        <f aca="false">COUNTIF('LEAD MASTER'!$J$3:$J$402,LISTS!$C$10)</f>
        <v>0</v>
      </c>
      <c r="C23" s="56" t="n">
        <f aca="false">COUNTIFS('LEAD MASTER'!$J$3:$J$402,LISTS!$C$10,'LEAD MASTER'!$BD$3:$BD$402,"A")</f>
        <v>0</v>
      </c>
      <c r="E23" s="17" t="s">
        <v>245</v>
      </c>
      <c r="F23" s="56" t="n">
        <f aca="false">COUNTIF('LEAD MASTER'!$H$3:$H$402,$E23)</f>
        <v>0</v>
      </c>
      <c r="G23" s="56" t="n">
        <f aca="false">COUNTIFS('LEAD MASTER'!$H$3:$H$402,$E23,'LEAD MASTER'!$BD$3:$BD$402,"A")</f>
        <v>0</v>
      </c>
    </row>
    <row r="24" customFormat="false" ht="15" hidden="false" customHeight="false" outlineLevel="0" collapsed="false">
      <c r="A24" s="17" t="str">
        <f aca="false">LISTS!$C$11</f>
        <v>Agent / Broker</v>
      </c>
      <c r="B24" s="56" t="n">
        <f aca="false">COUNTIF('LEAD MASTER'!$J$3:$J$402,LISTS!$C$11)</f>
        <v>0</v>
      </c>
      <c r="C24" s="56" t="n">
        <f aca="false">COUNTIFS('LEAD MASTER'!$J$3:$J$402,LISTS!$C$11,'LEAD MASTER'!$BD$3:$BD$402,"A")</f>
        <v>0</v>
      </c>
      <c r="E24" s="17" t="s">
        <v>325</v>
      </c>
      <c r="F24" s="56" t="n">
        <f aca="false">COUNTIF('LEAD MASTER'!$H$3:$H$402,$E24)</f>
        <v>0</v>
      </c>
      <c r="G24" s="56" t="n">
        <f aca="false">COUNTIFS('LEAD MASTER'!$H$3:$H$402,$E24,'LEAD MASTER'!$BD$3:$BD$402,"A")</f>
        <v>0</v>
      </c>
    </row>
    <row r="25" customFormat="false" ht="15" hidden="false" customHeight="false" outlineLevel="0" collapsed="false">
      <c r="A25" s="17" t="str">
        <f aca="false">LISTS!$C$12</f>
        <v>Manufacturer (complementary range)</v>
      </c>
      <c r="B25" s="56" t="n">
        <f aca="false">COUNTIF('LEAD MASTER'!$J$3:$J$402,LISTS!$C$12)</f>
        <v>0</v>
      </c>
      <c r="C25" s="56" t="n">
        <f aca="false">COUNTIFS('LEAD MASTER'!$J$3:$J$402,LISTS!$C$12,'LEAD MASTER'!$BD$3:$BD$402,"A")</f>
        <v>0</v>
      </c>
      <c r="E25" s="17" t="s">
        <v>286</v>
      </c>
      <c r="F25" s="56" t="n">
        <f aca="false">COUNTIF('LEAD MASTER'!$H$3:$H$402,$E25)</f>
        <v>1</v>
      </c>
      <c r="G25" s="56" t="n">
        <f aca="false">COUNTIFS('LEAD MASTER'!$H$3:$H$402,$E25,'LEAD MASTER'!$BD$3:$BD$402,"A")</f>
        <v>0</v>
      </c>
    </row>
    <row r="26" customFormat="false" ht="15" hidden="false" customHeight="false" outlineLevel="0" collapsed="false">
      <c r="E26" s="17" t="s">
        <v>341</v>
      </c>
      <c r="F26" s="56" t="n">
        <f aca="false">COUNTIF('LEAD MASTER'!$H$3:$H$402,$E26)</f>
        <v>0</v>
      </c>
      <c r="G26" s="56" t="n">
        <f aca="false">COUNTIFS('LEAD MASTER'!$H$3:$H$402,$E26,'LEAD MASTER'!$BD$3:$BD$402,"A")</f>
        <v>0</v>
      </c>
    </row>
    <row r="27" customFormat="false" ht="15" hidden="false" customHeight="false" outlineLevel="0" collapsed="false">
      <c r="E27" s="17" t="s">
        <v>271</v>
      </c>
      <c r="F27" s="56" t="n">
        <f aca="false">COUNTIF('LEAD MASTER'!$H$3:$H$402,$E27)</f>
        <v>0</v>
      </c>
      <c r="G27" s="56" t="n">
        <f aca="false">COUNTIFS('LEAD MASTER'!$H$3:$H$402,$E27,'LEAD MASTER'!$BD$3:$BD$402,"A")</f>
        <v>0</v>
      </c>
    </row>
    <row r="28" customFormat="false" ht="15" hidden="false" customHeight="false" outlineLevel="0" collapsed="false">
      <c r="E28" s="17" t="s">
        <v>233</v>
      </c>
      <c r="F28" s="56" t="n">
        <f aca="false">COUNTIF('LEAD MASTER'!$H$3:$H$402,$E28)</f>
        <v>0</v>
      </c>
      <c r="G28" s="56" t="n">
        <f aca="false">COUNTIFS('LEAD MASTER'!$H$3:$H$402,$E28,'LEAD MASTER'!$BD$3:$BD$402,"A")</f>
        <v>0</v>
      </c>
    </row>
    <row r="29" customFormat="false" ht="15" hidden="false" customHeight="false" outlineLevel="0" collapsed="false">
      <c r="E29" s="17" t="s">
        <v>98</v>
      </c>
      <c r="F29" s="56" t="n">
        <f aca="false">COUNTIF('LEAD MASTER'!$H$3:$H$402,$E29)</f>
        <v>0</v>
      </c>
      <c r="G29" s="56" t="n">
        <f aca="false">COUNTIFS('LEAD MASTER'!$H$3:$H$402,$E29,'LEAD MASTER'!$BD$3:$BD$402,"A")</f>
        <v>0</v>
      </c>
    </row>
    <row r="30" customFormat="false" ht="15" hidden="false" customHeight="false" outlineLevel="0" collapsed="false">
      <c r="E30" s="17" t="s">
        <v>295</v>
      </c>
      <c r="F30" s="56" t="n">
        <f aca="false">COUNTIF('LEAD MASTER'!$H$3:$H$402,$E30)</f>
        <v>0</v>
      </c>
      <c r="G30" s="56" t="n">
        <f aca="false">COUNTIFS('LEAD MASTER'!$H$3:$H$402,$E30,'LEAD MASTER'!$BD$3:$BD$402,"A")</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2026-08-26T06:37:06Z</dcterms:created>
  <dc:creator>openpyxl</dc:creator>
  <dc:description/>
  <dc:language>en-US</dc:language>
  <cp:lastModifiedBy/>
  <dcterms:modified xsi:type="dcterms:W3CDTF">2026-08-26T06:37:09Z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